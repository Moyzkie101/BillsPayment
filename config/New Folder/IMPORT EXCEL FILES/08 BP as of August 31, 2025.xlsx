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B:\BILLS 2015- CAMELLE EMS\00 CHERRY FILES\BALANCE SHEET REPORT\2025-BALANCE SHEET\"/>
    </mc:Choice>
  </mc:AlternateContent>
  <xr:revisionPtr revIDLastSave="0" documentId="13_ncr:1_{0F66E599-D16F-40E2-9710-2A88BF3978C7}" xr6:coauthVersionLast="47" xr6:coauthVersionMax="47" xr10:uidLastSave="{00000000-0000-0000-0000-000000000000}"/>
  <bookViews>
    <workbookView xWindow="-120" yWindow="-120" windowWidth="29040" windowHeight="15990" firstSheet="3" activeTab="3" xr2:uid="{00000000-000D-0000-FFFF-FFFF00000000}"/>
  </bookViews>
  <sheets>
    <sheet name="29" sheetId="32" state="hidden" r:id="rId1"/>
    <sheet name="30" sheetId="31" state="hidden" r:id="rId2"/>
    <sheet name="31" sheetId="30" state="hidden" r:id="rId3"/>
    <sheet name="AP AR" sheetId="26" r:id="rId4"/>
    <sheet name="PAID SC" sheetId="7" state="hidden" r:id="rId5"/>
    <sheet name="UNPAID SF" sheetId="6" state="hidden" r:id="rId6"/>
    <sheet name="BPW UNDEDUCTED" sheetId="8" state="hidden" r:id="rId7"/>
    <sheet name="BPX UNDEDUCTED" sheetId="9" state="hidden" r:id="rId8"/>
    <sheet name="AUDIT FINDINGS" sheetId="10" state="hidden" r:id="rId9"/>
    <sheet name="BANKS" sheetId="15" state="hidden" r:id="rId10"/>
    <sheet name="OTHER PARTNERS" sheetId="16" state="hidden" r:id="rId11"/>
  </sheets>
  <definedNames>
    <definedName name="_xlnm._FilterDatabase" localSheetId="3" hidden="1">'AP AR'!$AJ$1:$AJ$724</definedName>
    <definedName name="_xlnm._FilterDatabase" localSheetId="5" hidden="1">'UNPAID SF'!$B$1:$B$832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11" i="26" l="1"/>
  <c r="O711" i="26"/>
  <c r="P711" i="26"/>
  <c r="M398" i="15"/>
  <c r="C392" i="15"/>
  <c r="D392" i="15"/>
  <c r="E392" i="15"/>
  <c r="F392" i="15"/>
  <c r="G392" i="15"/>
  <c r="H392" i="15"/>
  <c r="I392" i="15"/>
  <c r="J392" i="15"/>
  <c r="K392" i="15"/>
  <c r="L392" i="15"/>
  <c r="M392" i="15"/>
  <c r="G414" i="15"/>
  <c r="B483" i="15" l="1"/>
  <c r="B482" i="15"/>
  <c r="I365" i="15"/>
  <c r="I342" i="15"/>
  <c r="F467" i="26" l="1"/>
  <c r="G467" i="26"/>
  <c r="H467" i="26"/>
  <c r="J467" i="26"/>
  <c r="K467" i="26"/>
  <c r="L467" i="26"/>
  <c r="N467" i="26"/>
  <c r="O467" i="26"/>
  <c r="AB467" i="26" s="1"/>
  <c r="AF467" i="26" s="1"/>
  <c r="P467" i="26"/>
  <c r="V467" i="26"/>
  <c r="Y467" i="26" s="1"/>
  <c r="I71" i="6"/>
  <c r="W467" i="26" l="1"/>
  <c r="Z467" i="26" s="1"/>
  <c r="I7" i="6" l="1"/>
  <c r="B69" i="7"/>
  <c r="J701" i="26" l="1"/>
  <c r="K701" i="26"/>
  <c r="L701" i="26"/>
  <c r="J702" i="26"/>
  <c r="K702" i="26"/>
  <c r="L702" i="26"/>
  <c r="J703" i="26"/>
  <c r="K703" i="26"/>
  <c r="L703" i="26"/>
  <c r="J704" i="26"/>
  <c r="K704" i="26"/>
  <c r="L704" i="26"/>
  <c r="J705" i="26"/>
  <c r="K705" i="26"/>
  <c r="L705" i="26"/>
  <c r="J706" i="26"/>
  <c r="K706" i="26"/>
  <c r="L706" i="26"/>
  <c r="J707" i="26"/>
  <c r="K707" i="26"/>
  <c r="L707" i="26"/>
  <c r="J708" i="26"/>
  <c r="K708" i="26"/>
  <c r="L708" i="26"/>
  <c r="J709" i="26"/>
  <c r="K709" i="26"/>
  <c r="L709" i="26"/>
  <c r="J710" i="26"/>
  <c r="K710" i="26"/>
  <c r="L710" i="26"/>
  <c r="J712" i="26"/>
  <c r="K712" i="26"/>
  <c r="L712" i="26"/>
  <c r="AB700" i="26"/>
  <c r="V700" i="26"/>
  <c r="Y700" i="26" s="1"/>
  <c r="W700" i="26"/>
  <c r="Z700" i="26" s="1"/>
  <c r="N7" i="26"/>
  <c r="V7" i="26" s="1"/>
  <c r="Y7" i="26" s="1"/>
  <c r="O7" i="26"/>
  <c r="W7" i="26" s="1"/>
  <c r="Z7" i="26" s="1"/>
  <c r="P7" i="26"/>
  <c r="N8" i="26"/>
  <c r="V8" i="26" s="1"/>
  <c r="Y8" i="26" s="1"/>
  <c r="O8" i="26"/>
  <c r="W8" i="26" s="1"/>
  <c r="Z8" i="26" s="1"/>
  <c r="P8" i="26"/>
  <c r="N9" i="26"/>
  <c r="V9" i="26" s="1"/>
  <c r="Y9" i="26" s="1"/>
  <c r="O9" i="26"/>
  <c r="W9" i="26" s="1"/>
  <c r="Z9" i="26" s="1"/>
  <c r="P9" i="26"/>
  <c r="N10" i="26"/>
  <c r="V10" i="26" s="1"/>
  <c r="Y10" i="26" s="1"/>
  <c r="O10" i="26"/>
  <c r="W10" i="26" s="1"/>
  <c r="Z10" i="26" s="1"/>
  <c r="P10" i="26"/>
  <c r="N11" i="26"/>
  <c r="V11" i="26" s="1"/>
  <c r="Y11" i="26" s="1"/>
  <c r="O11" i="26"/>
  <c r="W11" i="26" s="1"/>
  <c r="Z11" i="26" s="1"/>
  <c r="P11" i="26"/>
  <c r="N12" i="26"/>
  <c r="V12" i="26" s="1"/>
  <c r="Y12" i="26" s="1"/>
  <c r="O12" i="26"/>
  <c r="W12" i="26" s="1"/>
  <c r="Z12" i="26" s="1"/>
  <c r="P12" i="26"/>
  <c r="N13" i="26"/>
  <c r="V13" i="26" s="1"/>
  <c r="Y13" i="26" s="1"/>
  <c r="O13" i="26"/>
  <c r="W13" i="26" s="1"/>
  <c r="Z13" i="26" s="1"/>
  <c r="P13" i="26"/>
  <c r="N14" i="26"/>
  <c r="V14" i="26" s="1"/>
  <c r="Y14" i="26" s="1"/>
  <c r="O14" i="26"/>
  <c r="W14" i="26" s="1"/>
  <c r="Z14" i="26" s="1"/>
  <c r="P14" i="26"/>
  <c r="N15" i="26"/>
  <c r="V15" i="26" s="1"/>
  <c r="Y15" i="26" s="1"/>
  <c r="O15" i="26"/>
  <c r="W15" i="26" s="1"/>
  <c r="Z15" i="26" s="1"/>
  <c r="P15" i="26"/>
  <c r="N16" i="26"/>
  <c r="V16" i="26" s="1"/>
  <c r="Y16" i="26" s="1"/>
  <c r="O16" i="26"/>
  <c r="W16" i="26" s="1"/>
  <c r="Z16" i="26" s="1"/>
  <c r="P16" i="26"/>
  <c r="N17" i="26"/>
  <c r="V17" i="26" s="1"/>
  <c r="Y17" i="26" s="1"/>
  <c r="O17" i="26"/>
  <c r="W17" i="26" s="1"/>
  <c r="Z17" i="26" s="1"/>
  <c r="P17" i="26"/>
  <c r="N18" i="26"/>
  <c r="V18" i="26" s="1"/>
  <c r="Y18" i="26" s="1"/>
  <c r="O18" i="26"/>
  <c r="W18" i="26" s="1"/>
  <c r="Z18" i="26" s="1"/>
  <c r="P18" i="26"/>
  <c r="N19" i="26"/>
  <c r="V19" i="26" s="1"/>
  <c r="Y19" i="26" s="1"/>
  <c r="O19" i="26"/>
  <c r="W19" i="26" s="1"/>
  <c r="Z19" i="26" s="1"/>
  <c r="P19" i="26"/>
  <c r="N20" i="26"/>
  <c r="V20" i="26" s="1"/>
  <c r="Y20" i="26" s="1"/>
  <c r="O20" i="26"/>
  <c r="W20" i="26" s="1"/>
  <c r="Z20" i="26" s="1"/>
  <c r="P20" i="26"/>
  <c r="N21" i="26"/>
  <c r="V21" i="26" s="1"/>
  <c r="Y21" i="26" s="1"/>
  <c r="O21" i="26"/>
  <c r="W21" i="26" s="1"/>
  <c r="Z21" i="26" s="1"/>
  <c r="P21" i="26"/>
  <c r="N22" i="26"/>
  <c r="V22" i="26" s="1"/>
  <c r="Y22" i="26" s="1"/>
  <c r="O22" i="26"/>
  <c r="W22" i="26" s="1"/>
  <c r="Z22" i="26" s="1"/>
  <c r="P22" i="26"/>
  <c r="N23" i="26"/>
  <c r="V23" i="26" s="1"/>
  <c r="Y23" i="26" s="1"/>
  <c r="O23" i="26"/>
  <c r="W23" i="26" s="1"/>
  <c r="Z23" i="26" s="1"/>
  <c r="P23" i="26"/>
  <c r="N24" i="26"/>
  <c r="V24" i="26" s="1"/>
  <c r="Y24" i="26" s="1"/>
  <c r="O24" i="26"/>
  <c r="W24" i="26" s="1"/>
  <c r="Z24" i="26" s="1"/>
  <c r="P24" i="26"/>
  <c r="N25" i="26"/>
  <c r="V25" i="26" s="1"/>
  <c r="Y25" i="26" s="1"/>
  <c r="O25" i="26"/>
  <c r="W25" i="26" s="1"/>
  <c r="Z25" i="26" s="1"/>
  <c r="P25" i="26"/>
  <c r="N26" i="26"/>
  <c r="V26" i="26" s="1"/>
  <c r="Y26" i="26" s="1"/>
  <c r="O26" i="26"/>
  <c r="W26" i="26" s="1"/>
  <c r="Z26" i="26" s="1"/>
  <c r="P26" i="26"/>
  <c r="N27" i="26"/>
  <c r="V27" i="26" s="1"/>
  <c r="Y27" i="26" s="1"/>
  <c r="O27" i="26"/>
  <c r="W27" i="26" s="1"/>
  <c r="Z27" i="26" s="1"/>
  <c r="P27" i="26"/>
  <c r="N28" i="26"/>
  <c r="V28" i="26" s="1"/>
  <c r="Y28" i="26" s="1"/>
  <c r="O28" i="26"/>
  <c r="W28" i="26" s="1"/>
  <c r="Z28" i="26" s="1"/>
  <c r="P28" i="26"/>
  <c r="N29" i="26"/>
  <c r="V29" i="26" s="1"/>
  <c r="Y29" i="26" s="1"/>
  <c r="O29" i="26"/>
  <c r="W29" i="26" s="1"/>
  <c r="Z29" i="26" s="1"/>
  <c r="P29" i="26"/>
  <c r="N30" i="26"/>
  <c r="V30" i="26" s="1"/>
  <c r="Y30" i="26" s="1"/>
  <c r="O30" i="26"/>
  <c r="W30" i="26" s="1"/>
  <c r="Z30" i="26" s="1"/>
  <c r="P30" i="26"/>
  <c r="N31" i="26"/>
  <c r="V31" i="26" s="1"/>
  <c r="Y31" i="26" s="1"/>
  <c r="O31" i="26"/>
  <c r="W31" i="26" s="1"/>
  <c r="Z31" i="26" s="1"/>
  <c r="P31" i="26"/>
  <c r="N32" i="26"/>
  <c r="V32" i="26" s="1"/>
  <c r="Y32" i="26" s="1"/>
  <c r="O32" i="26"/>
  <c r="W32" i="26" s="1"/>
  <c r="Z32" i="26" s="1"/>
  <c r="P32" i="26"/>
  <c r="N33" i="26"/>
  <c r="V33" i="26" s="1"/>
  <c r="Y33" i="26" s="1"/>
  <c r="O33" i="26"/>
  <c r="W33" i="26" s="1"/>
  <c r="Z33" i="26" s="1"/>
  <c r="P33" i="26"/>
  <c r="N34" i="26"/>
  <c r="V34" i="26" s="1"/>
  <c r="Y34" i="26" s="1"/>
  <c r="O34" i="26"/>
  <c r="W34" i="26" s="1"/>
  <c r="Z34" i="26" s="1"/>
  <c r="P34" i="26"/>
  <c r="N35" i="26"/>
  <c r="V35" i="26" s="1"/>
  <c r="Y35" i="26" s="1"/>
  <c r="O35" i="26"/>
  <c r="W35" i="26" s="1"/>
  <c r="Z35" i="26" s="1"/>
  <c r="P35" i="26"/>
  <c r="N36" i="26"/>
  <c r="V36" i="26" s="1"/>
  <c r="Y36" i="26" s="1"/>
  <c r="O36" i="26"/>
  <c r="W36" i="26" s="1"/>
  <c r="Z36" i="26" s="1"/>
  <c r="P36" i="26"/>
  <c r="N37" i="26"/>
  <c r="V37" i="26" s="1"/>
  <c r="Y37" i="26" s="1"/>
  <c r="O37" i="26"/>
  <c r="W37" i="26" s="1"/>
  <c r="Z37" i="26" s="1"/>
  <c r="P37" i="26"/>
  <c r="N38" i="26"/>
  <c r="V38" i="26" s="1"/>
  <c r="Y38" i="26" s="1"/>
  <c r="O38" i="26"/>
  <c r="W38" i="26" s="1"/>
  <c r="Z38" i="26" s="1"/>
  <c r="P38" i="26"/>
  <c r="N39" i="26"/>
  <c r="V39" i="26" s="1"/>
  <c r="Y39" i="26" s="1"/>
  <c r="O39" i="26"/>
  <c r="W39" i="26" s="1"/>
  <c r="Z39" i="26" s="1"/>
  <c r="P39" i="26"/>
  <c r="N40" i="26"/>
  <c r="V40" i="26" s="1"/>
  <c r="Y40" i="26" s="1"/>
  <c r="O40" i="26"/>
  <c r="W40" i="26" s="1"/>
  <c r="Z40" i="26" s="1"/>
  <c r="P40" i="26"/>
  <c r="N41" i="26"/>
  <c r="V41" i="26" s="1"/>
  <c r="Y41" i="26" s="1"/>
  <c r="O41" i="26"/>
  <c r="W41" i="26" s="1"/>
  <c r="Z41" i="26" s="1"/>
  <c r="P41" i="26"/>
  <c r="N42" i="26"/>
  <c r="V42" i="26" s="1"/>
  <c r="Y42" i="26" s="1"/>
  <c r="O42" i="26"/>
  <c r="W42" i="26" s="1"/>
  <c r="Z42" i="26" s="1"/>
  <c r="P42" i="26"/>
  <c r="N43" i="26"/>
  <c r="V43" i="26" s="1"/>
  <c r="Y43" i="26" s="1"/>
  <c r="O43" i="26"/>
  <c r="W43" i="26" s="1"/>
  <c r="Z43" i="26" s="1"/>
  <c r="P43" i="26"/>
  <c r="N44" i="26"/>
  <c r="V44" i="26" s="1"/>
  <c r="Y44" i="26" s="1"/>
  <c r="O44" i="26"/>
  <c r="W44" i="26" s="1"/>
  <c r="Z44" i="26" s="1"/>
  <c r="P44" i="26"/>
  <c r="N45" i="26"/>
  <c r="V45" i="26" s="1"/>
  <c r="Y45" i="26" s="1"/>
  <c r="O45" i="26"/>
  <c r="W45" i="26" s="1"/>
  <c r="Z45" i="26" s="1"/>
  <c r="P45" i="26"/>
  <c r="N46" i="26"/>
  <c r="V46" i="26" s="1"/>
  <c r="Y46" i="26" s="1"/>
  <c r="O46" i="26"/>
  <c r="W46" i="26" s="1"/>
  <c r="Z46" i="26" s="1"/>
  <c r="P46" i="26"/>
  <c r="N47" i="26"/>
  <c r="V47" i="26" s="1"/>
  <c r="Y47" i="26" s="1"/>
  <c r="O47" i="26"/>
  <c r="W47" i="26" s="1"/>
  <c r="Z47" i="26" s="1"/>
  <c r="P47" i="26"/>
  <c r="N48" i="26"/>
  <c r="V48" i="26" s="1"/>
  <c r="Y48" i="26" s="1"/>
  <c r="O48" i="26"/>
  <c r="W48" i="26" s="1"/>
  <c r="Z48" i="26" s="1"/>
  <c r="P48" i="26"/>
  <c r="N49" i="26"/>
  <c r="V49" i="26" s="1"/>
  <c r="Y49" i="26" s="1"/>
  <c r="O49" i="26"/>
  <c r="W49" i="26" s="1"/>
  <c r="Z49" i="26" s="1"/>
  <c r="P49" i="26"/>
  <c r="N50" i="26"/>
  <c r="V50" i="26" s="1"/>
  <c r="Y50" i="26" s="1"/>
  <c r="O50" i="26"/>
  <c r="W50" i="26" s="1"/>
  <c r="Z50" i="26" s="1"/>
  <c r="P50" i="26"/>
  <c r="N51" i="26"/>
  <c r="V51" i="26" s="1"/>
  <c r="Y51" i="26" s="1"/>
  <c r="O51" i="26"/>
  <c r="W51" i="26" s="1"/>
  <c r="Z51" i="26" s="1"/>
  <c r="P51" i="26"/>
  <c r="N52" i="26"/>
  <c r="V52" i="26" s="1"/>
  <c r="Y52" i="26" s="1"/>
  <c r="O52" i="26"/>
  <c r="W52" i="26" s="1"/>
  <c r="Z52" i="26" s="1"/>
  <c r="P52" i="26"/>
  <c r="N53" i="26"/>
  <c r="V53" i="26" s="1"/>
  <c r="Y53" i="26" s="1"/>
  <c r="O53" i="26"/>
  <c r="W53" i="26" s="1"/>
  <c r="Z53" i="26" s="1"/>
  <c r="P53" i="26"/>
  <c r="N54" i="26"/>
  <c r="V54" i="26" s="1"/>
  <c r="Y54" i="26" s="1"/>
  <c r="O54" i="26"/>
  <c r="W54" i="26" s="1"/>
  <c r="Z54" i="26" s="1"/>
  <c r="P54" i="26"/>
  <c r="N55" i="26"/>
  <c r="V55" i="26" s="1"/>
  <c r="Y55" i="26" s="1"/>
  <c r="O55" i="26"/>
  <c r="W55" i="26" s="1"/>
  <c r="Z55" i="26" s="1"/>
  <c r="P55" i="26"/>
  <c r="N56" i="26"/>
  <c r="V56" i="26" s="1"/>
  <c r="Y56" i="26" s="1"/>
  <c r="O56" i="26"/>
  <c r="W56" i="26" s="1"/>
  <c r="Z56" i="26" s="1"/>
  <c r="P56" i="26"/>
  <c r="N57" i="26"/>
  <c r="V57" i="26" s="1"/>
  <c r="Y57" i="26" s="1"/>
  <c r="O57" i="26"/>
  <c r="W57" i="26" s="1"/>
  <c r="Z57" i="26" s="1"/>
  <c r="P57" i="26"/>
  <c r="N58" i="26"/>
  <c r="V58" i="26" s="1"/>
  <c r="Y58" i="26" s="1"/>
  <c r="O58" i="26"/>
  <c r="W58" i="26" s="1"/>
  <c r="Z58" i="26" s="1"/>
  <c r="P58" i="26"/>
  <c r="N59" i="26"/>
  <c r="V59" i="26" s="1"/>
  <c r="Y59" i="26" s="1"/>
  <c r="O59" i="26"/>
  <c r="W59" i="26" s="1"/>
  <c r="Z59" i="26" s="1"/>
  <c r="P59" i="26"/>
  <c r="N60" i="26"/>
  <c r="V60" i="26" s="1"/>
  <c r="Y60" i="26" s="1"/>
  <c r="O60" i="26"/>
  <c r="W60" i="26" s="1"/>
  <c r="Z60" i="26" s="1"/>
  <c r="P60" i="26"/>
  <c r="N61" i="26"/>
  <c r="V61" i="26" s="1"/>
  <c r="Y61" i="26" s="1"/>
  <c r="O61" i="26"/>
  <c r="W61" i="26" s="1"/>
  <c r="Z61" i="26" s="1"/>
  <c r="P61" i="26"/>
  <c r="N62" i="26"/>
  <c r="V62" i="26" s="1"/>
  <c r="Y62" i="26" s="1"/>
  <c r="O62" i="26"/>
  <c r="W62" i="26" s="1"/>
  <c r="Z62" i="26" s="1"/>
  <c r="P62" i="26"/>
  <c r="N63" i="26"/>
  <c r="V63" i="26" s="1"/>
  <c r="Y63" i="26" s="1"/>
  <c r="O63" i="26"/>
  <c r="W63" i="26" s="1"/>
  <c r="Z63" i="26" s="1"/>
  <c r="P63" i="26"/>
  <c r="N64" i="26"/>
  <c r="V64" i="26" s="1"/>
  <c r="Y64" i="26" s="1"/>
  <c r="O64" i="26"/>
  <c r="W64" i="26" s="1"/>
  <c r="Z64" i="26" s="1"/>
  <c r="P64" i="26"/>
  <c r="N65" i="26"/>
  <c r="V65" i="26" s="1"/>
  <c r="Y65" i="26" s="1"/>
  <c r="O65" i="26"/>
  <c r="W65" i="26" s="1"/>
  <c r="Z65" i="26" s="1"/>
  <c r="P65" i="26"/>
  <c r="N66" i="26"/>
  <c r="V66" i="26" s="1"/>
  <c r="Y66" i="26" s="1"/>
  <c r="O66" i="26"/>
  <c r="W66" i="26" s="1"/>
  <c r="Z66" i="26" s="1"/>
  <c r="P66" i="26"/>
  <c r="N67" i="26"/>
  <c r="V67" i="26" s="1"/>
  <c r="Y67" i="26" s="1"/>
  <c r="O67" i="26"/>
  <c r="W67" i="26" s="1"/>
  <c r="Z67" i="26" s="1"/>
  <c r="P67" i="26"/>
  <c r="N68" i="26"/>
  <c r="V68" i="26" s="1"/>
  <c r="Y68" i="26" s="1"/>
  <c r="O68" i="26"/>
  <c r="W68" i="26" s="1"/>
  <c r="Z68" i="26" s="1"/>
  <c r="P68" i="26"/>
  <c r="N69" i="26"/>
  <c r="V69" i="26" s="1"/>
  <c r="Y69" i="26" s="1"/>
  <c r="O69" i="26"/>
  <c r="W69" i="26" s="1"/>
  <c r="Z69" i="26" s="1"/>
  <c r="P69" i="26"/>
  <c r="N70" i="26"/>
  <c r="V70" i="26" s="1"/>
  <c r="Y70" i="26" s="1"/>
  <c r="O70" i="26"/>
  <c r="W70" i="26" s="1"/>
  <c r="Z70" i="26" s="1"/>
  <c r="P70" i="26"/>
  <c r="N71" i="26"/>
  <c r="V71" i="26" s="1"/>
  <c r="Y71" i="26" s="1"/>
  <c r="O71" i="26"/>
  <c r="W71" i="26" s="1"/>
  <c r="Z71" i="26" s="1"/>
  <c r="P71" i="26"/>
  <c r="N72" i="26"/>
  <c r="V72" i="26" s="1"/>
  <c r="Y72" i="26" s="1"/>
  <c r="O72" i="26"/>
  <c r="W72" i="26" s="1"/>
  <c r="Z72" i="26" s="1"/>
  <c r="P72" i="26"/>
  <c r="N73" i="26"/>
  <c r="V73" i="26" s="1"/>
  <c r="Y73" i="26" s="1"/>
  <c r="O73" i="26"/>
  <c r="W73" i="26" s="1"/>
  <c r="Z73" i="26" s="1"/>
  <c r="P73" i="26"/>
  <c r="N74" i="26"/>
  <c r="V74" i="26" s="1"/>
  <c r="Y74" i="26" s="1"/>
  <c r="O74" i="26"/>
  <c r="W74" i="26" s="1"/>
  <c r="Z74" i="26" s="1"/>
  <c r="P74" i="26"/>
  <c r="N75" i="26"/>
  <c r="V75" i="26" s="1"/>
  <c r="Y75" i="26" s="1"/>
  <c r="O75" i="26"/>
  <c r="W75" i="26" s="1"/>
  <c r="Z75" i="26" s="1"/>
  <c r="P75" i="26"/>
  <c r="N76" i="26"/>
  <c r="V76" i="26" s="1"/>
  <c r="Y76" i="26" s="1"/>
  <c r="O76" i="26"/>
  <c r="W76" i="26" s="1"/>
  <c r="Z76" i="26" s="1"/>
  <c r="P76" i="26"/>
  <c r="N77" i="26"/>
  <c r="V77" i="26" s="1"/>
  <c r="Y77" i="26" s="1"/>
  <c r="O77" i="26"/>
  <c r="W77" i="26" s="1"/>
  <c r="Z77" i="26" s="1"/>
  <c r="P77" i="26"/>
  <c r="N78" i="26"/>
  <c r="V78" i="26" s="1"/>
  <c r="Y78" i="26" s="1"/>
  <c r="O78" i="26"/>
  <c r="W78" i="26" s="1"/>
  <c r="Z78" i="26" s="1"/>
  <c r="P78" i="26"/>
  <c r="N79" i="26"/>
  <c r="V79" i="26" s="1"/>
  <c r="Y79" i="26" s="1"/>
  <c r="O79" i="26"/>
  <c r="W79" i="26" s="1"/>
  <c r="Z79" i="26" s="1"/>
  <c r="P79" i="26"/>
  <c r="N80" i="26"/>
  <c r="V80" i="26" s="1"/>
  <c r="Y80" i="26" s="1"/>
  <c r="O80" i="26"/>
  <c r="W80" i="26" s="1"/>
  <c r="Z80" i="26" s="1"/>
  <c r="P80" i="26"/>
  <c r="N81" i="26"/>
  <c r="V81" i="26" s="1"/>
  <c r="Y81" i="26" s="1"/>
  <c r="O81" i="26"/>
  <c r="W81" i="26" s="1"/>
  <c r="Z81" i="26" s="1"/>
  <c r="P81" i="26"/>
  <c r="N82" i="26"/>
  <c r="V82" i="26" s="1"/>
  <c r="Y82" i="26" s="1"/>
  <c r="O82" i="26"/>
  <c r="W82" i="26" s="1"/>
  <c r="Z82" i="26" s="1"/>
  <c r="P82" i="26"/>
  <c r="N83" i="26"/>
  <c r="V83" i="26" s="1"/>
  <c r="Y83" i="26" s="1"/>
  <c r="O83" i="26"/>
  <c r="W83" i="26" s="1"/>
  <c r="Z83" i="26" s="1"/>
  <c r="P83" i="26"/>
  <c r="N84" i="26"/>
  <c r="V84" i="26" s="1"/>
  <c r="Y84" i="26" s="1"/>
  <c r="O84" i="26"/>
  <c r="W84" i="26" s="1"/>
  <c r="Z84" i="26" s="1"/>
  <c r="P84" i="26"/>
  <c r="N85" i="26"/>
  <c r="V85" i="26" s="1"/>
  <c r="Y85" i="26" s="1"/>
  <c r="O85" i="26"/>
  <c r="W85" i="26" s="1"/>
  <c r="Z85" i="26" s="1"/>
  <c r="P85" i="26"/>
  <c r="N86" i="26"/>
  <c r="V86" i="26" s="1"/>
  <c r="Y86" i="26" s="1"/>
  <c r="O86" i="26"/>
  <c r="W86" i="26" s="1"/>
  <c r="Z86" i="26" s="1"/>
  <c r="P86" i="26"/>
  <c r="N87" i="26"/>
  <c r="V87" i="26" s="1"/>
  <c r="Y87" i="26" s="1"/>
  <c r="O87" i="26"/>
  <c r="W87" i="26" s="1"/>
  <c r="Z87" i="26" s="1"/>
  <c r="P87" i="26"/>
  <c r="N88" i="26"/>
  <c r="V88" i="26" s="1"/>
  <c r="Y88" i="26" s="1"/>
  <c r="O88" i="26"/>
  <c r="W88" i="26" s="1"/>
  <c r="Z88" i="26" s="1"/>
  <c r="P88" i="26"/>
  <c r="N89" i="26"/>
  <c r="V89" i="26" s="1"/>
  <c r="Y89" i="26" s="1"/>
  <c r="O89" i="26"/>
  <c r="W89" i="26" s="1"/>
  <c r="Z89" i="26" s="1"/>
  <c r="P89" i="26"/>
  <c r="N90" i="26"/>
  <c r="V90" i="26" s="1"/>
  <c r="Y90" i="26" s="1"/>
  <c r="O90" i="26"/>
  <c r="W90" i="26" s="1"/>
  <c r="Z90" i="26" s="1"/>
  <c r="P90" i="26"/>
  <c r="N91" i="26"/>
  <c r="V91" i="26" s="1"/>
  <c r="Y91" i="26" s="1"/>
  <c r="O91" i="26"/>
  <c r="W91" i="26" s="1"/>
  <c r="Z91" i="26" s="1"/>
  <c r="P91" i="26"/>
  <c r="N92" i="26"/>
  <c r="V92" i="26" s="1"/>
  <c r="Y92" i="26" s="1"/>
  <c r="O92" i="26"/>
  <c r="W92" i="26" s="1"/>
  <c r="Z92" i="26" s="1"/>
  <c r="P92" i="26"/>
  <c r="N93" i="26"/>
  <c r="V93" i="26" s="1"/>
  <c r="Y93" i="26" s="1"/>
  <c r="O93" i="26"/>
  <c r="W93" i="26" s="1"/>
  <c r="Z93" i="26" s="1"/>
  <c r="P93" i="26"/>
  <c r="N94" i="26"/>
  <c r="V94" i="26" s="1"/>
  <c r="Y94" i="26" s="1"/>
  <c r="O94" i="26"/>
  <c r="W94" i="26" s="1"/>
  <c r="Z94" i="26" s="1"/>
  <c r="P94" i="26"/>
  <c r="N95" i="26"/>
  <c r="V95" i="26" s="1"/>
  <c r="Y95" i="26" s="1"/>
  <c r="O95" i="26"/>
  <c r="W95" i="26" s="1"/>
  <c r="Z95" i="26" s="1"/>
  <c r="P95" i="26"/>
  <c r="N96" i="26"/>
  <c r="V96" i="26" s="1"/>
  <c r="Y96" i="26" s="1"/>
  <c r="O96" i="26"/>
  <c r="W96" i="26" s="1"/>
  <c r="Z96" i="26" s="1"/>
  <c r="P96" i="26"/>
  <c r="N97" i="26"/>
  <c r="V97" i="26" s="1"/>
  <c r="Y97" i="26" s="1"/>
  <c r="O97" i="26"/>
  <c r="W97" i="26" s="1"/>
  <c r="Z97" i="26" s="1"/>
  <c r="P97" i="26"/>
  <c r="N98" i="26"/>
  <c r="V98" i="26" s="1"/>
  <c r="Y98" i="26" s="1"/>
  <c r="O98" i="26"/>
  <c r="W98" i="26" s="1"/>
  <c r="Z98" i="26" s="1"/>
  <c r="P98" i="26"/>
  <c r="N99" i="26"/>
  <c r="V99" i="26" s="1"/>
  <c r="Y99" i="26" s="1"/>
  <c r="O99" i="26"/>
  <c r="W99" i="26" s="1"/>
  <c r="Z99" i="26" s="1"/>
  <c r="P99" i="26"/>
  <c r="N100" i="26"/>
  <c r="V100" i="26" s="1"/>
  <c r="Y100" i="26" s="1"/>
  <c r="O100" i="26"/>
  <c r="W100" i="26" s="1"/>
  <c r="Z100" i="26" s="1"/>
  <c r="P100" i="26"/>
  <c r="N101" i="26"/>
  <c r="V101" i="26" s="1"/>
  <c r="Y101" i="26" s="1"/>
  <c r="O101" i="26"/>
  <c r="W101" i="26" s="1"/>
  <c r="Z101" i="26" s="1"/>
  <c r="P101" i="26"/>
  <c r="N102" i="26"/>
  <c r="V102" i="26" s="1"/>
  <c r="Y102" i="26" s="1"/>
  <c r="O102" i="26"/>
  <c r="W102" i="26" s="1"/>
  <c r="Z102" i="26" s="1"/>
  <c r="P102" i="26"/>
  <c r="N103" i="26"/>
  <c r="V103" i="26" s="1"/>
  <c r="Y103" i="26" s="1"/>
  <c r="O103" i="26"/>
  <c r="W103" i="26" s="1"/>
  <c r="Z103" i="26" s="1"/>
  <c r="P103" i="26"/>
  <c r="N104" i="26"/>
  <c r="V104" i="26" s="1"/>
  <c r="Y104" i="26" s="1"/>
  <c r="O104" i="26"/>
  <c r="W104" i="26" s="1"/>
  <c r="Z104" i="26" s="1"/>
  <c r="P104" i="26"/>
  <c r="N105" i="26"/>
  <c r="V105" i="26" s="1"/>
  <c r="Y105" i="26" s="1"/>
  <c r="O105" i="26"/>
  <c r="W105" i="26" s="1"/>
  <c r="Z105" i="26" s="1"/>
  <c r="P105" i="26"/>
  <c r="N106" i="26"/>
  <c r="V106" i="26" s="1"/>
  <c r="Y106" i="26" s="1"/>
  <c r="O106" i="26"/>
  <c r="W106" i="26" s="1"/>
  <c r="Z106" i="26" s="1"/>
  <c r="P106" i="26"/>
  <c r="N107" i="26"/>
  <c r="V107" i="26" s="1"/>
  <c r="Y107" i="26" s="1"/>
  <c r="O107" i="26"/>
  <c r="W107" i="26" s="1"/>
  <c r="Z107" i="26" s="1"/>
  <c r="P107" i="26"/>
  <c r="N108" i="26"/>
  <c r="V108" i="26" s="1"/>
  <c r="Y108" i="26" s="1"/>
  <c r="O108" i="26"/>
  <c r="W108" i="26" s="1"/>
  <c r="Z108" i="26" s="1"/>
  <c r="P108" i="26"/>
  <c r="N109" i="26"/>
  <c r="V109" i="26" s="1"/>
  <c r="Y109" i="26" s="1"/>
  <c r="O109" i="26"/>
  <c r="W109" i="26" s="1"/>
  <c r="Z109" i="26" s="1"/>
  <c r="P109" i="26"/>
  <c r="N110" i="26"/>
  <c r="V110" i="26" s="1"/>
  <c r="Y110" i="26" s="1"/>
  <c r="O110" i="26"/>
  <c r="W110" i="26" s="1"/>
  <c r="Z110" i="26" s="1"/>
  <c r="P110" i="26"/>
  <c r="N111" i="26"/>
  <c r="V111" i="26" s="1"/>
  <c r="Y111" i="26" s="1"/>
  <c r="O111" i="26"/>
  <c r="W111" i="26" s="1"/>
  <c r="Z111" i="26" s="1"/>
  <c r="P111" i="26"/>
  <c r="N112" i="26"/>
  <c r="V112" i="26" s="1"/>
  <c r="Y112" i="26" s="1"/>
  <c r="O112" i="26"/>
  <c r="W112" i="26" s="1"/>
  <c r="Z112" i="26" s="1"/>
  <c r="P112" i="26"/>
  <c r="N113" i="26"/>
  <c r="V113" i="26" s="1"/>
  <c r="Y113" i="26" s="1"/>
  <c r="O113" i="26"/>
  <c r="W113" i="26" s="1"/>
  <c r="Z113" i="26" s="1"/>
  <c r="P113" i="26"/>
  <c r="N114" i="26"/>
  <c r="V114" i="26" s="1"/>
  <c r="Y114" i="26" s="1"/>
  <c r="O114" i="26"/>
  <c r="W114" i="26" s="1"/>
  <c r="Z114" i="26" s="1"/>
  <c r="P114" i="26"/>
  <c r="N115" i="26"/>
  <c r="V115" i="26" s="1"/>
  <c r="Y115" i="26" s="1"/>
  <c r="O115" i="26"/>
  <c r="W115" i="26" s="1"/>
  <c r="Z115" i="26" s="1"/>
  <c r="P115" i="26"/>
  <c r="N116" i="26"/>
  <c r="V116" i="26" s="1"/>
  <c r="Y116" i="26" s="1"/>
  <c r="O116" i="26"/>
  <c r="W116" i="26" s="1"/>
  <c r="Z116" i="26" s="1"/>
  <c r="P116" i="26"/>
  <c r="N117" i="26"/>
  <c r="V117" i="26" s="1"/>
  <c r="Y117" i="26" s="1"/>
  <c r="O117" i="26"/>
  <c r="W117" i="26" s="1"/>
  <c r="Z117" i="26" s="1"/>
  <c r="P117" i="26"/>
  <c r="N118" i="26"/>
  <c r="V118" i="26" s="1"/>
  <c r="Y118" i="26" s="1"/>
  <c r="O118" i="26"/>
  <c r="W118" i="26" s="1"/>
  <c r="Z118" i="26" s="1"/>
  <c r="P118" i="26"/>
  <c r="N119" i="26"/>
  <c r="V119" i="26" s="1"/>
  <c r="Y119" i="26" s="1"/>
  <c r="O119" i="26"/>
  <c r="W119" i="26" s="1"/>
  <c r="Z119" i="26" s="1"/>
  <c r="P119" i="26"/>
  <c r="N120" i="26"/>
  <c r="V120" i="26" s="1"/>
  <c r="Y120" i="26" s="1"/>
  <c r="O120" i="26"/>
  <c r="W120" i="26" s="1"/>
  <c r="Z120" i="26" s="1"/>
  <c r="P120" i="26"/>
  <c r="N121" i="26"/>
  <c r="V121" i="26" s="1"/>
  <c r="Y121" i="26" s="1"/>
  <c r="O121" i="26"/>
  <c r="W121" i="26" s="1"/>
  <c r="Z121" i="26" s="1"/>
  <c r="P121" i="26"/>
  <c r="N122" i="26"/>
  <c r="V122" i="26" s="1"/>
  <c r="Y122" i="26" s="1"/>
  <c r="O122" i="26"/>
  <c r="W122" i="26" s="1"/>
  <c r="Z122" i="26" s="1"/>
  <c r="P122" i="26"/>
  <c r="N123" i="26"/>
  <c r="V123" i="26" s="1"/>
  <c r="Y123" i="26" s="1"/>
  <c r="O123" i="26"/>
  <c r="W123" i="26" s="1"/>
  <c r="Z123" i="26" s="1"/>
  <c r="P123" i="26"/>
  <c r="N124" i="26"/>
  <c r="V124" i="26" s="1"/>
  <c r="Y124" i="26" s="1"/>
  <c r="O124" i="26"/>
  <c r="W124" i="26" s="1"/>
  <c r="Z124" i="26" s="1"/>
  <c r="P124" i="26"/>
  <c r="N125" i="26"/>
  <c r="V125" i="26" s="1"/>
  <c r="Y125" i="26" s="1"/>
  <c r="O125" i="26"/>
  <c r="W125" i="26" s="1"/>
  <c r="Z125" i="26" s="1"/>
  <c r="P125" i="26"/>
  <c r="N126" i="26"/>
  <c r="V126" i="26" s="1"/>
  <c r="Y126" i="26" s="1"/>
  <c r="O126" i="26"/>
  <c r="W126" i="26" s="1"/>
  <c r="Z126" i="26" s="1"/>
  <c r="P126" i="26"/>
  <c r="N127" i="26"/>
  <c r="V127" i="26" s="1"/>
  <c r="Y127" i="26" s="1"/>
  <c r="O127" i="26"/>
  <c r="W127" i="26" s="1"/>
  <c r="Z127" i="26" s="1"/>
  <c r="P127" i="26"/>
  <c r="N128" i="26"/>
  <c r="V128" i="26" s="1"/>
  <c r="Y128" i="26" s="1"/>
  <c r="O128" i="26"/>
  <c r="W128" i="26" s="1"/>
  <c r="Z128" i="26" s="1"/>
  <c r="P128" i="26"/>
  <c r="N129" i="26"/>
  <c r="V129" i="26" s="1"/>
  <c r="Y129" i="26" s="1"/>
  <c r="O129" i="26"/>
  <c r="W129" i="26" s="1"/>
  <c r="Z129" i="26" s="1"/>
  <c r="P129" i="26"/>
  <c r="N130" i="26"/>
  <c r="V130" i="26" s="1"/>
  <c r="Y130" i="26" s="1"/>
  <c r="O130" i="26"/>
  <c r="W130" i="26" s="1"/>
  <c r="Z130" i="26" s="1"/>
  <c r="P130" i="26"/>
  <c r="N131" i="26"/>
  <c r="V131" i="26" s="1"/>
  <c r="Y131" i="26" s="1"/>
  <c r="O131" i="26"/>
  <c r="W131" i="26" s="1"/>
  <c r="Z131" i="26" s="1"/>
  <c r="P131" i="26"/>
  <c r="N132" i="26"/>
  <c r="V132" i="26" s="1"/>
  <c r="Y132" i="26" s="1"/>
  <c r="O132" i="26"/>
  <c r="W132" i="26" s="1"/>
  <c r="Z132" i="26" s="1"/>
  <c r="P132" i="26"/>
  <c r="N133" i="26"/>
  <c r="V133" i="26" s="1"/>
  <c r="Y133" i="26" s="1"/>
  <c r="O133" i="26"/>
  <c r="W133" i="26" s="1"/>
  <c r="Z133" i="26" s="1"/>
  <c r="P133" i="26"/>
  <c r="N134" i="26"/>
  <c r="V134" i="26" s="1"/>
  <c r="Y134" i="26" s="1"/>
  <c r="O134" i="26"/>
  <c r="W134" i="26" s="1"/>
  <c r="Z134" i="26" s="1"/>
  <c r="P134" i="26"/>
  <c r="N135" i="26"/>
  <c r="V135" i="26" s="1"/>
  <c r="Y135" i="26" s="1"/>
  <c r="O135" i="26"/>
  <c r="W135" i="26" s="1"/>
  <c r="Z135" i="26" s="1"/>
  <c r="P135" i="26"/>
  <c r="N136" i="26"/>
  <c r="V136" i="26" s="1"/>
  <c r="Y136" i="26" s="1"/>
  <c r="O136" i="26"/>
  <c r="W136" i="26" s="1"/>
  <c r="Z136" i="26" s="1"/>
  <c r="P136" i="26"/>
  <c r="N137" i="26"/>
  <c r="V137" i="26" s="1"/>
  <c r="Y137" i="26" s="1"/>
  <c r="O137" i="26"/>
  <c r="W137" i="26" s="1"/>
  <c r="Z137" i="26" s="1"/>
  <c r="P137" i="26"/>
  <c r="N138" i="26"/>
  <c r="V138" i="26" s="1"/>
  <c r="Y138" i="26" s="1"/>
  <c r="O138" i="26"/>
  <c r="W138" i="26" s="1"/>
  <c r="Z138" i="26" s="1"/>
  <c r="P138" i="26"/>
  <c r="N139" i="26"/>
  <c r="V139" i="26" s="1"/>
  <c r="Y139" i="26" s="1"/>
  <c r="O139" i="26"/>
  <c r="W139" i="26" s="1"/>
  <c r="Z139" i="26" s="1"/>
  <c r="P139" i="26"/>
  <c r="N140" i="26"/>
  <c r="V140" i="26" s="1"/>
  <c r="Y140" i="26" s="1"/>
  <c r="O140" i="26"/>
  <c r="W140" i="26" s="1"/>
  <c r="Z140" i="26" s="1"/>
  <c r="P140" i="26"/>
  <c r="N141" i="26"/>
  <c r="V141" i="26" s="1"/>
  <c r="Y141" i="26" s="1"/>
  <c r="O141" i="26"/>
  <c r="W141" i="26" s="1"/>
  <c r="Z141" i="26" s="1"/>
  <c r="P141" i="26"/>
  <c r="N142" i="26"/>
  <c r="V142" i="26" s="1"/>
  <c r="Y142" i="26" s="1"/>
  <c r="O142" i="26"/>
  <c r="W142" i="26" s="1"/>
  <c r="Z142" i="26" s="1"/>
  <c r="P142" i="26"/>
  <c r="N143" i="26"/>
  <c r="V143" i="26" s="1"/>
  <c r="Y143" i="26" s="1"/>
  <c r="O143" i="26"/>
  <c r="W143" i="26" s="1"/>
  <c r="Z143" i="26" s="1"/>
  <c r="P143" i="26"/>
  <c r="N144" i="26"/>
  <c r="V144" i="26" s="1"/>
  <c r="Y144" i="26" s="1"/>
  <c r="O144" i="26"/>
  <c r="W144" i="26" s="1"/>
  <c r="Z144" i="26" s="1"/>
  <c r="P144" i="26"/>
  <c r="N145" i="26"/>
  <c r="V145" i="26" s="1"/>
  <c r="Y145" i="26" s="1"/>
  <c r="O145" i="26"/>
  <c r="W145" i="26" s="1"/>
  <c r="Z145" i="26" s="1"/>
  <c r="P145" i="26"/>
  <c r="N146" i="26"/>
  <c r="V146" i="26" s="1"/>
  <c r="Y146" i="26" s="1"/>
  <c r="O146" i="26"/>
  <c r="W146" i="26" s="1"/>
  <c r="Z146" i="26" s="1"/>
  <c r="P146" i="26"/>
  <c r="N147" i="26"/>
  <c r="V147" i="26" s="1"/>
  <c r="Y147" i="26" s="1"/>
  <c r="O147" i="26"/>
  <c r="W147" i="26" s="1"/>
  <c r="Z147" i="26" s="1"/>
  <c r="P147" i="26"/>
  <c r="N148" i="26"/>
  <c r="V148" i="26" s="1"/>
  <c r="Y148" i="26" s="1"/>
  <c r="O148" i="26"/>
  <c r="W148" i="26" s="1"/>
  <c r="Z148" i="26" s="1"/>
  <c r="P148" i="26"/>
  <c r="N149" i="26"/>
  <c r="V149" i="26" s="1"/>
  <c r="Y149" i="26" s="1"/>
  <c r="O149" i="26"/>
  <c r="W149" i="26" s="1"/>
  <c r="Z149" i="26" s="1"/>
  <c r="P149" i="26"/>
  <c r="N150" i="26"/>
  <c r="V150" i="26" s="1"/>
  <c r="Y150" i="26" s="1"/>
  <c r="O150" i="26"/>
  <c r="W150" i="26" s="1"/>
  <c r="Z150" i="26" s="1"/>
  <c r="P150" i="26"/>
  <c r="N151" i="26"/>
  <c r="V151" i="26" s="1"/>
  <c r="Y151" i="26" s="1"/>
  <c r="O151" i="26"/>
  <c r="W151" i="26" s="1"/>
  <c r="Z151" i="26" s="1"/>
  <c r="P151" i="26"/>
  <c r="N152" i="26"/>
  <c r="V152" i="26" s="1"/>
  <c r="Y152" i="26" s="1"/>
  <c r="O152" i="26"/>
  <c r="W152" i="26" s="1"/>
  <c r="Z152" i="26" s="1"/>
  <c r="P152" i="26"/>
  <c r="N153" i="26"/>
  <c r="V153" i="26" s="1"/>
  <c r="Y153" i="26" s="1"/>
  <c r="O153" i="26"/>
  <c r="W153" i="26" s="1"/>
  <c r="Z153" i="26" s="1"/>
  <c r="P153" i="26"/>
  <c r="N154" i="26"/>
  <c r="V154" i="26" s="1"/>
  <c r="Y154" i="26" s="1"/>
  <c r="O154" i="26"/>
  <c r="W154" i="26" s="1"/>
  <c r="Z154" i="26" s="1"/>
  <c r="P154" i="26"/>
  <c r="N155" i="26"/>
  <c r="V155" i="26" s="1"/>
  <c r="Y155" i="26" s="1"/>
  <c r="O155" i="26"/>
  <c r="W155" i="26" s="1"/>
  <c r="Z155" i="26" s="1"/>
  <c r="P155" i="26"/>
  <c r="N156" i="26"/>
  <c r="V156" i="26" s="1"/>
  <c r="Y156" i="26" s="1"/>
  <c r="O156" i="26"/>
  <c r="W156" i="26" s="1"/>
  <c r="Z156" i="26" s="1"/>
  <c r="P156" i="26"/>
  <c r="N157" i="26"/>
  <c r="V157" i="26" s="1"/>
  <c r="Y157" i="26" s="1"/>
  <c r="O157" i="26"/>
  <c r="W157" i="26" s="1"/>
  <c r="Z157" i="26" s="1"/>
  <c r="P157" i="26"/>
  <c r="N158" i="26"/>
  <c r="V158" i="26" s="1"/>
  <c r="Y158" i="26" s="1"/>
  <c r="O158" i="26"/>
  <c r="W158" i="26" s="1"/>
  <c r="Z158" i="26" s="1"/>
  <c r="P158" i="26"/>
  <c r="N159" i="26"/>
  <c r="V159" i="26" s="1"/>
  <c r="Y159" i="26" s="1"/>
  <c r="O159" i="26"/>
  <c r="W159" i="26" s="1"/>
  <c r="Z159" i="26" s="1"/>
  <c r="P159" i="26"/>
  <c r="N160" i="26"/>
  <c r="V160" i="26" s="1"/>
  <c r="Y160" i="26" s="1"/>
  <c r="O160" i="26"/>
  <c r="W160" i="26" s="1"/>
  <c r="Z160" i="26" s="1"/>
  <c r="P160" i="26"/>
  <c r="N161" i="26"/>
  <c r="V161" i="26" s="1"/>
  <c r="Y161" i="26" s="1"/>
  <c r="O161" i="26"/>
  <c r="W161" i="26" s="1"/>
  <c r="Z161" i="26" s="1"/>
  <c r="P161" i="26"/>
  <c r="N162" i="26"/>
  <c r="V162" i="26" s="1"/>
  <c r="Y162" i="26" s="1"/>
  <c r="O162" i="26"/>
  <c r="W162" i="26" s="1"/>
  <c r="Z162" i="26" s="1"/>
  <c r="P162" i="26"/>
  <c r="N163" i="26"/>
  <c r="V163" i="26" s="1"/>
  <c r="Y163" i="26" s="1"/>
  <c r="O163" i="26"/>
  <c r="W163" i="26" s="1"/>
  <c r="Z163" i="26" s="1"/>
  <c r="P163" i="26"/>
  <c r="N164" i="26"/>
  <c r="V164" i="26" s="1"/>
  <c r="Y164" i="26" s="1"/>
  <c r="O164" i="26"/>
  <c r="W164" i="26" s="1"/>
  <c r="Z164" i="26" s="1"/>
  <c r="P164" i="26"/>
  <c r="N165" i="26"/>
  <c r="V165" i="26" s="1"/>
  <c r="Y165" i="26" s="1"/>
  <c r="O165" i="26"/>
  <c r="W165" i="26" s="1"/>
  <c r="Z165" i="26" s="1"/>
  <c r="P165" i="26"/>
  <c r="N166" i="26"/>
  <c r="V166" i="26" s="1"/>
  <c r="Y166" i="26" s="1"/>
  <c r="O166" i="26"/>
  <c r="W166" i="26" s="1"/>
  <c r="Z166" i="26" s="1"/>
  <c r="P166" i="26"/>
  <c r="N167" i="26"/>
  <c r="V167" i="26" s="1"/>
  <c r="Y167" i="26" s="1"/>
  <c r="O167" i="26"/>
  <c r="W167" i="26" s="1"/>
  <c r="Z167" i="26" s="1"/>
  <c r="P167" i="26"/>
  <c r="N168" i="26"/>
  <c r="V168" i="26" s="1"/>
  <c r="Y168" i="26" s="1"/>
  <c r="O168" i="26"/>
  <c r="W168" i="26" s="1"/>
  <c r="Z168" i="26" s="1"/>
  <c r="P168" i="26"/>
  <c r="N169" i="26"/>
  <c r="V169" i="26" s="1"/>
  <c r="Y169" i="26" s="1"/>
  <c r="O169" i="26"/>
  <c r="W169" i="26" s="1"/>
  <c r="Z169" i="26" s="1"/>
  <c r="P169" i="26"/>
  <c r="N170" i="26"/>
  <c r="V170" i="26" s="1"/>
  <c r="Y170" i="26" s="1"/>
  <c r="O170" i="26"/>
  <c r="W170" i="26" s="1"/>
  <c r="Z170" i="26" s="1"/>
  <c r="P170" i="26"/>
  <c r="N171" i="26"/>
  <c r="V171" i="26" s="1"/>
  <c r="Y171" i="26" s="1"/>
  <c r="O171" i="26"/>
  <c r="W171" i="26" s="1"/>
  <c r="Z171" i="26" s="1"/>
  <c r="P171" i="26"/>
  <c r="N172" i="26"/>
  <c r="V172" i="26" s="1"/>
  <c r="Y172" i="26" s="1"/>
  <c r="O172" i="26"/>
  <c r="W172" i="26" s="1"/>
  <c r="Z172" i="26" s="1"/>
  <c r="P172" i="26"/>
  <c r="N173" i="26"/>
  <c r="V173" i="26" s="1"/>
  <c r="Y173" i="26" s="1"/>
  <c r="O173" i="26"/>
  <c r="W173" i="26" s="1"/>
  <c r="Z173" i="26" s="1"/>
  <c r="P173" i="26"/>
  <c r="N174" i="26"/>
  <c r="V174" i="26" s="1"/>
  <c r="Y174" i="26" s="1"/>
  <c r="O174" i="26"/>
  <c r="W174" i="26" s="1"/>
  <c r="Z174" i="26" s="1"/>
  <c r="P174" i="26"/>
  <c r="N175" i="26"/>
  <c r="V175" i="26" s="1"/>
  <c r="Y175" i="26" s="1"/>
  <c r="O175" i="26"/>
  <c r="W175" i="26" s="1"/>
  <c r="Z175" i="26" s="1"/>
  <c r="P175" i="26"/>
  <c r="N176" i="26"/>
  <c r="V176" i="26" s="1"/>
  <c r="Y176" i="26" s="1"/>
  <c r="O176" i="26"/>
  <c r="W176" i="26" s="1"/>
  <c r="Z176" i="26" s="1"/>
  <c r="P176" i="26"/>
  <c r="N177" i="26"/>
  <c r="V177" i="26" s="1"/>
  <c r="Y177" i="26" s="1"/>
  <c r="O177" i="26"/>
  <c r="W177" i="26" s="1"/>
  <c r="Z177" i="26" s="1"/>
  <c r="P177" i="26"/>
  <c r="N178" i="26"/>
  <c r="V178" i="26" s="1"/>
  <c r="Y178" i="26" s="1"/>
  <c r="O178" i="26"/>
  <c r="W178" i="26" s="1"/>
  <c r="Z178" i="26" s="1"/>
  <c r="P178" i="26"/>
  <c r="N179" i="26"/>
  <c r="V179" i="26" s="1"/>
  <c r="Y179" i="26" s="1"/>
  <c r="O179" i="26"/>
  <c r="W179" i="26" s="1"/>
  <c r="Z179" i="26" s="1"/>
  <c r="P179" i="26"/>
  <c r="N180" i="26"/>
  <c r="V180" i="26" s="1"/>
  <c r="Y180" i="26" s="1"/>
  <c r="O180" i="26"/>
  <c r="W180" i="26" s="1"/>
  <c r="Z180" i="26" s="1"/>
  <c r="P180" i="26"/>
  <c r="N181" i="26"/>
  <c r="V181" i="26" s="1"/>
  <c r="Y181" i="26" s="1"/>
  <c r="O181" i="26"/>
  <c r="W181" i="26" s="1"/>
  <c r="Z181" i="26" s="1"/>
  <c r="P181" i="26"/>
  <c r="N182" i="26"/>
  <c r="V182" i="26" s="1"/>
  <c r="Y182" i="26" s="1"/>
  <c r="O182" i="26"/>
  <c r="W182" i="26" s="1"/>
  <c r="Z182" i="26" s="1"/>
  <c r="P182" i="26"/>
  <c r="N183" i="26"/>
  <c r="V183" i="26" s="1"/>
  <c r="Y183" i="26" s="1"/>
  <c r="O183" i="26"/>
  <c r="W183" i="26" s="1"/>
  <c r="Z183" i="26" s="1"/>
  <c r="P183" i="26"/>
  <c r="N184" i="26"/>
  <c r="V184" i="26" s="1"/>
  <c r="Y184" i="26" s="1"/>
  <c r="O184" i="26"/>
  <c r="W184" i="26" s="1"/>
  <c r="Z184" i="26" s="1"/>
  <c r="P184" i="26"/>
  <c r="N185" i="26"/>
  <c r="V185" i="26" s="1"/>
  <c r="Y185" i="26" s="1"/>
  <c r="O185" i="26"/>
  <c r="W185" i="26" s="1"/>
  <c r="Z185" i="26" s="1"/>
  <c r="P185" i="26"/>
  <c r="N186" i="26"/>
  <c r="V186" i="26" s="1"/>
  <c r="Y186" i="26" s="1"/>
  <c r="O186" i="26"/>
  <c r="W186" i="26" s="1"/>
  <c r="Z186" i="26" s="1"/>
  <c r="P186" i="26"/>
  <c r="N187" i="26"/>
  <c r="V187" i="26" s="1"/>
  <c r="Y187" i="26" s="1"/>
  <c r="O187" i="26"/>
  <c r="W187" i="26" s="1"/>
  <c r="Z187" i="26" s="1"/>
  <c r="P187" i="26"/>
  <c r="N188" i="26"/>
  <c r="V188" i="26" s="1"/>
  <c r="Y188" i="26" s="1"/>
  <c r="O188" i="26"/>
  <c r="W188" i="26" s="1"/>
  <c r="Z188" i="26" s="1"/>
  <c r="P188" i="26"/>
  <c r="N189" i="26"/>
  <c r="V189" i="26" s="1"/>
  <c r="Y189" i="26" s="1"/>
  <c r="O189" i="26"/>
  <c r="W189" i="26" s="1"/>
  <c r="Z189" i="26" s="1"/>
  <c r="P189" i="26"/>
  <c r="N190" i="26"/>
  <c r="V190" i="26" s="1"/>
  <c r="Y190" i="26" s="1"/>
  <c r="O190" i="26"/>
  <c r="W190" i="26" s="1"/>
  <c r="Z190" i="26" s="1"/>
  <c r="P190" i="26"/>
  <c r="N191" i="26"/>
  <c r="V191" i="26" s="1"/>
  <c r="Y191" i="26" s="1"/>
  <c r="O191" i="26"/>
  <c r="W191" i="26" s="1"/>
  <c r="Z191" i="26" s="1"/>
  <c r="P191" i="26"/>
  <c r="N192" i="26"/>
  <c r="V192" i="26" s="1"/>
  <c r="Y192" i="26" s="1"/>
  <c r="O192" i="26"/>
  <c r="W192" i="26" s="1"/>
  <c r="Z192" i="26" s="1"/>
  <c r="P192" i="26"/>
  <c r="N193" i="26"/>
  <c r="V193" i="26" s="1"/>
  <c r="Y193" i="26" s="1"/>
  <c r="O193" i="26"/>
  <c r="W193" i="26" s="1"/>
  <c r="Z193" i="26" s="1"/>
  <c r="P193" i="26"/>
  <c r="N194" i="26"/>
  <c r="V194" i="26" s="1"/>
  <c r="Y194" i="26" s="1"/>
  <c r="O194" i="26"/>
  <c r="W194" i="26" s="1"/>
  <c r="Z194" i="26" s="1"/>
  <c r="P194" i="26"/>
  <c r="N195" i="26"/>
  <c r="V195" i="26" s="1"/>
  <c r="Y195" i="26" s="1"/>
  <c r="O195" i="26"/>
  <c r="W195" i="26" s="1"/>
  <c r="Z195" i="26" s="1"/>
  <c r="P195" i="26"/>
  <c r="N196" i="26"/>
  <c r="V196" i="26" s="1"/>
  <c r="Y196" i="26" s="1"/>
  <c r="O196" i="26"/>
  <c r="W196" i="26" s="1"/>
  <c r="Z196" i="26" s="1"/>
  <c r="P196" i="26"/>
  <c r="N197" i="26"/>
  <c r="V197" i="26" s="1"/>
  <c r="Y197" i="26" s="1"/>
  <c r="O197" i="26"/>
  <c r="W197" i="26" s="1"/>
  <c r="Z197" i="26" s="1"/>
  <c r="P197" i="26"/>
  <c r="N198" i="26"/>
  <c r="V198" i="26" s="1"/>
  <c r="Y198" i="26" s="1"/>
  <c r="O198" i="26"/>
  <c r="W198" i="26" s="1"/>
  <c r="Z198" i="26" s="1"/>
  <c r="P198" i="26"/>
  <c r="N199" i="26"/>
  <c r="V199" i="26" s="1"/>
  <c r="Y199" i="26" s="1"/>
  <c r="O199" i="26"/>
  <c r="W199" i="26" s="1"/>
  <c r="Z199" i="26" s="1"/>
  <c r="P199" i="26"/>
  <c r="N200" i="26"/>
  <c r="V200" i="26" s="1"/>
  <c r="Y200" i="26" s="1"/>
  <c r="O200" i="26"/>
  <c r="W200" i="26" s="1"/>
  <c r="Z200" i="26" s="1"/>
  <c r="P200" i="26"/>
  <c r="N201" i="26"/>
  <c r="V201" i="26" s="1"/>
  <c r="Y201" i="26" s="1"/>
  <c r="O201" i="26"/>
  <c r="W201" i="26" s="1"/>
  <c r="Z201" i="26" s="1"/>
  <c r="P201" i="26"/>
  <c r="N202" i="26"/>
  <c r="V202" i="26" s="1"/>
  <c r="Y202" i="26" s="1"/>
  <c r="O202" i="26"/>
  <c r="W202" i="26" s="1"/>
  <c r="Z202" i="26" s="1"/>
  <c r="P202" i="26"/>
  <c r="N203" i="26"/>
  <c r="V203" i="26" s="1"/>
  <c r="Y203" i="26" s="1"/>
  <c r="O203" i="26"/>
  <c r="W203" i="26" s="1"/>
  <c r="Z203" i="26" s="1"/>
  <c r="P203" i="26"/>
  <c r="N204" i="26"/>
  <c r="V204" i="26" s="1"/>
  <c r="Y204" i="26" s="1"/>
  <c r="O204" i="26"/>
  <c r="W204" i="26" s="1"/>
  <c r="Z204" i="26" s="1"/>
  <c r="P204" i="26"/>
  <c r="N205" i="26"/>
  <c r="V205" i="26" s="1"/>
  <c r="Y205" i="26" s="1"/>
  <c r="O205" i="26"/>
  <c r="W205" i="26" s="1"/>
  <c r="Z205" i="26" s="1"/>
  <c r="P205" i="26"/>
  <c r="N206" i="26"/>
  <c r="V206" i="26" s="1"/>
  <c r="Y206" i="26" s="1"/>
  <c r="O206" i="26"/>
  <c r="W206" i="26" s="1"/>
  <c r="Z206" i="26" s="1"/>
  <c r="P206" i="26"/>
  <c r="N207" i="26"/>
  <c r="V207" i="26" s="1"/>
  <c r="Y207" i="26" s="1"/>
  <c r="O207" i="26"/>
  <c r="W207" i="26" s="1"/>
  <c r="Z207" i="26" s="1"/>
  <c r="P207" i="26"/>
  <c r="N208" i="26"/>
  <c r="V208" i="26" s="1"/>
  <c r="Y208" i="26" s="1"/>
  <c r="O208" i="26"/>
  <c r="W208" i="26" s="1"/>
  <c r="Z208" i="26" s="1"/>
  <c r="P208" i="26"/>
  <c r="N209" i="26"/>
  <c r="V209" i="26" s="1"/>
  <c r="Y209" i="26" s="1"/>
  <c r="O209" i="26"/>
  <c r="W209" i="26" s="1"/>
  <c r="Z209" i="26" s="1"/>
  <c r="P209" i="26"/>
  <c r="N210" i="26"/>
  <c r="V210" i="26" s="1"/>
  <c r="Y210" i="26" s="1"/>
  <c r="O210" i="26"/>
  <c r="W210" i="26" s="1"/>
  <c r="Z210" i="26" s="1"/>
  <c r="P210" i="26"/>
  <c r="N211" i="26"/>
  <c r="V211" i="26" s="1"/>
  <c r="Y211" i="26" s="1"/>
  <c r="O211" i="26"/>
  <c r="W211" i="26" s="1"/>
  <c r="Z211" i="26" s="1"/>
  <c r="P211" i="26"/>
  <c r="N212" i="26"/>
  <c r="V212" i="26" s="1"/>
  <c r="Y212" i="26" s="1"/>
  <c r="O212" i="26"/>
  <c r="W212" i="26" s="1"/>
  <c r="Z212" i="26" s="1"/>
  <c r="P212" i="26"/>
  <c r="N213" i="26"/>
  <c r="V213" i="26" s="1"/>
  <c r="Y213" i="26" s="1"/>
  <c r="O213" i="26"/>
  <c r="W213" i="26" s="1"/>
  <c r="Z213" i="26" s="1"/>
  <c r="P213" i="26"/>
  <c r="N214" i="26"/>
  <c r="V214" i="26" s="1"/>
  <c r="Y214" i="26" s="1"/>
  <c r="O214" i="26"/>
  <c r="W214" i="26" s="1"/>
  <c r="Z214" i="26" s="1"/>
  <c r="P214" i="26"/>
  <c r="N215" i="26"/>
  <c r="V215" i="26" s="1"/>
  <c r="Y215" i="26" s="1"/>
  <c r="O215" i="26"/>
  <c r="W215" i="26" s="1"/>
  <c r="Z215" i="26" s="1"/>
  <c r="P215" i="26"/>
  <c r="N216" i="26"/>
  <c r="V216" i="26" s="1"/>
  <c r="Y216" i="26" s="1"/>
  <c r="O216" i="26"/>
  <c r="W216" i="26" s="1"/>
  <c r="Z216" i="26" s="1"/>
  <c r="P216" i="26"/>
  <c r="N217" i="26"/>
  <c r="V217" i="26" s="1"/>
  <c r="Y217" i="26" s="1"/>
  <c r="O217" i="26"/>
  <c r="W217" i="26" s="1"/>
  <c r="Z217" i="26" s="1"/>
  <c r="P217" i="26"/>
  <c r="N218" i="26"/>
  <c r="V218" i="26" s="1"/>
  <c r="Y218" i="26" s="1"/>
  <c r="O218" i="26"/>
  <c r="W218" i="26" s="1"/>
  <c r="Z218" i="26" s="1"/>
  <c r="P218" i="26"/>
  <c r="N219" i="26"/>
  <c r="V219" i="26" s="1"/>
  <c r="Y219" i="26" s="1"/>
  <c r="O219" i="26"/>
  <c r="W219" i="26" s="1"/>
  <c r="Z219" i="26" s="1"/>
  <c r="P219" i="26"/>
  <c r="N220" i="26"/>
  <c r="V220" i="26" s="1"/>
  <c r="Y220" i="26" s="1"/>
  <c r="O220" i="26"/>
  <c r="W220" i="26" s="1"/>
  <c r="Z220" i="26" s="1"/>
  <c r="P220" i="26"/>
  <c r="N221" i="26"/>
  <c r="V221" i="26" s="1"/>
  <c r="Y221" i="26" s="1"/>
  <c r="O221" i="26"/>
  <c r="W221" i="26" s="1"/>
  <c r="Z221" i="26" s="1"/>
  <c r="P221" i="26"/>
  <c r="N222" i="26"/>
  <c r="V222" i="26" s="1"/>
  <c r="Y222" i="26" s="1"/>
  <c r="O222" i="26"/>
  <c r="W222" i="26" s="1"/>
  <c r="Z222" i="26" s="1"/>
  <c r="P222" i="26"/>
  <c r="N223" i="26"/>
  <c r="V223" i="26" s="1"/>
  <c r="Y223" i="26" s="1"/>
  <c r="O223" i="26"/>
  <c r="W223" i="26" s="1"/>
  <c r="Z223" i="26" s="1"/>
  <c r="P223" i="26"/>
  <c r="N224" i="26"/>
  <c r="V224" i="26" s="1"/>
  <c r="Y224" i="26" s="1"/>
  <c r="O224" i="26"/>
  <c r="W224" i="26" s="1"/>
  <c r="Z224" i="26" s="1"/>
  <c r="P224" i="26"/>
  <c r="N225" i="26"/>
  <c r="V225" i="26" s="1"/>
  <c r="Y225" i="26" s="1"/>
  <c r="O225" i="26"/>
  <c r="W225" i="26" s="1"/>
  <c r="Z225" i="26" s="1"/>
  <c r="P225" i="26"/>
  <c r="N226" i="26"/>
  <c r="V226" i="26" s="1"/>
  <c r="Y226" i="26" s="1"/>
  <c r="O226" i="26"/>
  <c r="W226" i="26" s="1"/>
  <c r="Z226" i="26" s="1"/>
  <c r="P226" i="26"/>
  <c r="N227" i="26"/>
  <c r="V227" i="26" s="1"/>
  <c r="Y227" i="26" s="1"/>
  <c r="O227" i="26"/>
  <c r="W227" i="26" s="1"/>
  <c r="Z227" i="26" s="1"/>
  <c r="P227" i="26"/>
  <c r="N228" i="26"/>
  <c r="V228" i="26" s="1"/>
  <c r="Y228" i="26" s="1"/>
  <c r="O228" i="26"/>
  <c r="W228" i="26" s="1"/>
  <c r="Z228" i="26" s="1"/>
  <c r="P228" i="26"/>
  <c r="N229" i="26"/>
  <c r="V229" i="26" s="1"/>
  <c r="Y229" i="26" s="1"/>
  <c r="O229" i="26"/>
  <c r="W229" i="26" s="1"/>
  <c r="Z229" i="26" s="1"/>
  <c r="P229" i="26"/>
  <c r="N230" i="26"/>
  <c r="V230" i="26" s="1"/>
  <c r="Y230" i="26" s="1"/>
  <c r="O230" i="26"/>
  <c r="W230" i="26" s="1"/>
  <c r="Z230" i="26" s="1"/>
  <c r="P230" i="26"/>
  <c r="N231" i="26"/>
  <c r="V231" i="26" s="1"/>
  <c r="Y231" i="26" s="1"/>
  <c r="O231" i="26"/>
  <c r="W231" i="26" s="1"/>
  <c r="Z231" i="26" s="1"/>
  <c r="P231" i="26"/>
  <c r="N232" i="26"/>
  <c r="V232" i="26" s="1"/>
  <c r="Y232" i="26" s="1"/>
  <c r="O232" i="26"/>
  <c r="W232" i="26" s="1"/>
  <c r="Z232" i="26" s="1"/>
  <c r="P232" i="26"/>
  <c r="N233" i="26"/>
  <c r="V233" i="26" s="1"/>
  <c r="Y233" i="26" s="1"/>
  <c r="O233" i="26"/>
  <c r="W233" i="26" s="1"/>
  <c r="Z233" i="26" s="1"/>
  <c r="P233" i="26"/>
  <c r="N234" i="26"/>
  <c r="V234" i="26" s="1"/>
  <c r="Y234" i="26" s="1"/>
  <c r="O234" i="26"/>
  <c r="W234" i="26" s="1"/>
  <c r="Z234" i="26" s="1"/>
  <c r="P234" i="26"/>
  <c r="N235" i="26"/>
  <c r="V235" i="26" s="1"/>
  <c r="Y235" i="26" s="1"/>
  <c r="O235" i="26"/>
  <c r="W235" i="26" s="1"/>
  <c r="Z235" i="26" s="1"/>
  <c r="P235" i="26"/>
  <c r="N236" i="26"/>
  <c r="V236" i="26" s="1"/>
  <c r="Y236" i="26" s="1"/>
  <c r="O236" i="26"/>
  <c r="W236" i="26" s="1"/>
  <c r="Z236" i="26" s="1"/>
  <c r="P236" i="26"/>
  <c r="N237" i="26"/>
  <c r="V237" i="26" s="1"/>
  <c r="Y237" i="26" s="1"/>
  <c r="O237" i="26"/>
  <c r="W237" i="26" s="1"/>
  <c r="Z237" i="26" s="1"/>
  <c r="P237" i="26"/>
  <c r="N238" i="26"/>
  <c r="V238" i="26" s="1"/>
  <c r="Y238" i="26" s="1"/>
  <c r="O238" i="26"/>
  <c r="W238" i="26" s="1"/>
  <c r="Z238" i="26" s="1"/>
  <c r="P238" i="26"/>
  <c r="N239" i="26"/>
  <c r="V239" i="26" s="1"/>
  <c r="Y239" i="26" s="1"/>
  <c r="O239" i="26"/>
  <c r="W239" i="26" s="1"/>
  <c r="Z239" i="26" s="1"/>
  <c r="P239" i="26"/>
  <c r="N240" i="26"/>
  <c r="V240" i="26" s="1"/>
  <c r="Y240" i="26" s="1"/>
  <c r="O240" i="26"/>
  <c r="W240" i="26" s="1"/>
  <c r="Z240" i="26" s="1"/>
  <c r="P240" i="26"/>
  <c r="N241" i="26"/>
  <c r="V241" i="26" s="1"/>
  <c r="Y241" i="26" s="1"/>
  <c r="O241" i="26"/>
  <c r="W241" i="26" s="1"/>
  <c r="Z241" i="26" s="1"/>
  <c r="P241" i="26"/>
  <c r="N242" i="26"/>
  <c r="V242" i="26" s="1"/>
  <c r="Y242" i="26" s="1"/>
  <c r="O242" i="26"/>
  <c r="W242" i="26" s="1"/>
  <c r="Z242" i="26" s="1"/>
  <c r="P242" i="26"/>
  <c r="N243" i="26"/>
  <c r="V243" i="26" s="1"/>
  <c r="Y243" i="26" s="1"/>
  <c r="O243" i="26"/>
  <c r="W243" i="26" s="1"/>
  <c r="Z243" i="26" s="1"/>
  <c r="P243" i="26"/>
  <c r="N244" i="26"/>
  <c r="V244" i="26" s="1"/>
  <c r="Y244" i="26" s="1"/>
  <c r="O244" i="26"/>
  <c r="W244" i="26" s="1"/>
  <c r="Z244" i="26" s="1"/>
  <c r="P244" i="26"/>
  <c r="N245" i="26"/>
  <c r="V245" i="26" s="1"/>
  <c r="Y245" i="26" s="1"/>
  <c r="O245" i="26"/>
  <c r="W245" i="26" s="1"/>
  <c r="Z245" i="26" s="1"/>
  <c r="P245" i="26"/>
  <c r="N246" i="26"/>
  <c r="V246" i="26" s="1"/>
  <c r="Y246" i="26" s="1"/>
  <c r="O246" i="26"/>
  <c r="W246" i="26" s="1"/>
  <c r="Z246" i="26" s="1"/>
  <c r="P246" i="26"/>
  <c r="N247" i="26"/>
  <c r="V247" i="26" s="1"/>
  <c r="Y247" i="26" s="1"/>
  <c r="O247" i="26"/>
  <c r="W247" i="26" s="1"/>
  <c r="Z247" i="26" s="1"/>
  <c r="P247" i="26"/>
  <c r="N248" i="26"/>
  <c r="V248" i="26" s="1"/>
  <c r="Y248" i="26" s="1"/>
  <c r="O248" i="26"/>
  <c r="W248" i="26" s="1"/>
  <c r="Z248" i="26" s="1"/>
  <c r="P248" i="26"/>
  <c r="N249" i="26"/>
  <c r="V249" i="26" s="1"/>
  <c r="Y249" i="26" s="1"/>
  <c r="O249" i="26"/>
  <c r="W249" i="26" s="1"/>
  <c r="Z249" i="26" s="1"/>
  <c r="P249" i="26"/>
  <c r="N250" i="26"/>
  <c r="V250" i="26" s="1"/>
  <c r="Y250" i="26" s="1"/>
  <c r="O250" i="26"/>
  <c r="W250" i="26" s="1"/>
  <c r="Z250" i="26" s="1"/>
  <c r="P250" i="26"/>
  <c r="N251" i="26"/>
  <c r="V251" i="26" s="1"/>
  <c r="Y251" i="26" s="1"/>
  <c r="O251" i="26"/>
  <c r="W251" i="26" s="1"/>
  <c r="Z251" i="26" s="1"/>
  <c r="P251" i="26"/>
  <c r="N252" i="26"/>
  <c r="V252" i="26" s="1"/>
  <c r="Y252" i="26" s="1"/>
  <c r="O252" i="26"/>
  <c r="W252" i="26" s="1"/>
  <c r="Z252" i="26" s="1"/>
  <c r="P252" i="26"/>
  <c r="N253" i="26"/>
  <c r="V253" i="26" s="1"/>
  <c r="Y253" i="26" s="1"/>
  <c r="O253" i="26"/>
  <c r="W253" i="26" s="1"/>
  <c r="Z253" i="26" s="1"/>
  <c r="P253" i="26"/>
  <c r="N254" i="26"/>
  <c r="V254" i="26" s="1"/>
  <c r="Y254" i="26" s="1"/>
  <c r="O254" i="26"/>
  <c r="W254" i="26" s="1"/>
  <c r="Z254" i="26" s="1"/>
  <c r="P254" i="26"/>
  <c r="N255" i="26"/>
  <c r="V255" i="26" s="1"/>
  <c r="Y255" i="26" s="1"/>
  <c r="O255" i="26"/>
  <c r="W255" i="26" s="1"/>
  <c r="Z255" i="26" s="1"/>
  <c r="P255" i="26"/>
  <c r="N256" i="26"/>
  <c r="V256" i="26" s="1"/>
  <c r="Y256" i="26" s="1"/>
  <c r="O256" i="26"/>
  <c r="W256" i="26" s="1"/>
  <c r="Z256" i="26" s="1"/>
  <c r="P256" i="26"/>
  <c r="N257" i="26"/>
  <c r="V257" i="26" s="1"/>
  <c r="Y257" i="26" s="1"/>
  <c r="O257" i="26"/>
  <c r="W257" i="26" s="1"/>
  <c r="Z257" i="26" s="1"/>
  <c r="P257" i="26"/>
  <c r="N258" i="26"/>
  <c r="V258" i="26" s="1"/>
  <c r="Y258" i="26" s="1"/>
  <c r="O258" i="26"/>
  <c r="W258" i="26" s="1"/>
  <c r="Z258" i="26" s="1"/>
  <c r="P258" i="26"/>
  <c r="N259" i="26"/>
  <c r="V259" i="26" s="1"/>
  <c r="Y259" i="26" s="1"/>
  <c r="O259" i="26"/>
  <c r="W259" i="26" s="1"/>
  <c r="Z259" i="26" s="1"/>
  <c r="P259" i="26"/>
  <c r="N260" i="26"/>
  <c r="V260" i="26" s="1"/>
  <c r="Y260" i="26" s="1"/>
  <c r="O260" i="26"/>
  <c r="W260" i="26" s="1"/>
  <c r="Z260" i="26" s="1"/>
  <c r="P260" i="26"/>
  <c r="N261" i="26"/>
  <c r="V261" i="26" s="1"/>
  <c r="Y261" i="26" s="1"/>
  <c r="O261" i="26"/>
  <c r="W261" i="26" s="1"/>
  <c r="Z261" i="26" s="1"/>
  <c r="P261" i="26"/>
  <c r="N262" i="26"/>
  <c r="V262" i="26" s="1"/>
  <c r="Y262" i="26" s="1"/>
  <c r="O262" i="26"/>
  <c r="W262" i="26" s="1"/>
  <c r="Z262" i="26" s="1"/>
  <c r="P262" i="26"/>
  <c r="N263" i="26"/>
  <c r="V263" i="26" s="1"/>
  <c r="Y263" i="26" s="1"/>
  <c r="O263" i="26"/>
  <c r="W263" i="26" s="1"/>
  <c r="Z263" i="26" s="1"/>
  <c r="P263" i="26"/>
  <c r="N264" i="26"/>
  <c r="V264" i="26" s="1"/>
  <c r="Y264" i="26" s="1"/>
  <c r="O264" i="26"/>
  <c r="W264" i="26" s="1"/>
  <c r="Z264" i="26" s="1"/>
  <c r="P264" i="26"/>
  <c r="N265" i="26"/>
  <c r="V265" i="26" s="1"/>
  <c r="Y265" i="26" s="1"/>
  <c r="O265" i="26"/>
  <c r="W265" i="26" s="1"/>
  <c r="Z265" i="26" s="1"/>
  <c r="P265" i="26"/>
  <c r="N266" i="26"/>
  <c r="V266" i="26" s="1"/>
  <c r="Y266" i="26" s="1"/>
  <c r="O266" i="26"/>
  <c r="W266" i="26" s="1"/>
  <c r="Z266" i="26" s="1"/>
  <c r="P266" i="26"/>
  <c r="N267" i="26"/>
  <c r="V267" i="26" s="1"/>
  <c r="Y267" i="26" s="1"/>
  <c r="O267" i="26"/>
  <c r="W267" i="26" s="1"/>
  <c r="Z267" i="26" s="1"/>
  <c r="P267" i="26"/>
  <c r="N268" i="26"/>
  <c r="V268" i="26" s="1"/>
  <c r="Y268" i="26" s="1"/>
  <c r="O268" i="26"/>
  <c r="W268" i="26" s="1"/>
  <c r="Z268" i="26" s="1"/>
  <c r="P268" i="26"/>
  <c r="N269" i="26"/>
  <c r="V269" i="26" s="1"/>
  <c r="Y269" i="26" s="1"/>
  <c r="O269" i="26"/>
  <c r="W269" i="26" s="1"/>
  <c r="Z269" i="26" s="1"/>
  <c r="P269" i="26"/>
  <c r="N270" i="26"/>
  <c r="V270" i="26" s="1"/>
  <c r="Y270" i="26" s="1"/>
  <c r="O270" i="26"/>
  <c r="W270" i="26" s="1"/>
  <c r="Z270" i="26" s="1"/>
  <c r="P270" i="26"/>
  <c r="N271" i="26"/>
  <c r="V271" i="26" s="1"/>
  <c r="Y271" i="26" s="1"/>
  <c r="O271" i="26"/>
  <c r="W271" i="26" s="1"/>
  <c r="Z271" i="26" s="1"/>
  <c r="P271" i="26"/>
  <c r="N272" i="26"/>
  <c r="V272" i="26" s="1"/>
  <c r="Y272" i="26" s="1"/>
  <c r="O272" i="26"/>
  <c r="W272" i="26" s="1"/>
  <c r="Z272" i="26" s="1"/>
  <c r="P272" i="26"/>
  <c r="N273" i="26"/>
  <c r="V273" i="26" s="1"/>
  <c r="Y273" i="26" s="1"/>
  <c r="O273" i="26"/>
  <c r="W273" i="26" s="1"/>
  <c r="Z273" i="26" s="1"/>
  <c r="P273" i="26"/>
  <c r="N274" i="26"/>
  <c r="V274" i="26" s="1"/>
  <c r="Y274" i="26" s="1"/>
  <c r="O274" i="26"/>
  <c r="W274" i="26" s="1"/>
  <c r="Z274" i="26" s="1"/>
  <c r="P274" i="26"/>
  <c r="N275" i="26"/>
  <c r="V275" i="26" s="1"/>
  <c r="Y275" i="26" s="1"/>
  <c r="O275" i="26"/>
  <c r="W275" i="26" s="1"/>
  <c r="Z275" i="26" s="1"/>
  <c r="P275" i="26"/>
  <c r="N276" i="26"/>
  <c r="V276" i="26" s="1"/>
  <c r="Y276" i="26" s="1"/>
  <c r="O276" i="26"/>
  <c r="W276" i="26" s="1"/>
  <c r="Z276" i="26" s="1"/>
  <c r="P276" i="26"/>
  <c r="N277" i="26"/>
  <c r="V277" i="26" s="1"/>
  <c r="Y277" i="26" s="1"/>
  <c r="O277" i="26"/>
  <c r="W277" i="26" s="1"/>
  <c r="Z277" i="26" s="1"/>
  <c r="P277" i="26"/>
  <c r="N278" i="26"/>
  <c r="V278" i="26" s="1"/>
  <c r="Y278" i="26" s="1"/>
  <c r="O278" i="26"/>
  <c r="W278" i="26" s="1"/>
  <c r="Z278" i="26" s="1"/>
  <c r="P278" i="26"/>
  <c r="N279" i="26"/>
  <c r="V279" i="26" s="1"/>
  <c r="Y279" i="26" s="1"/>
  <c r="O279" i="26"/>
  <c r="W279" i="26" s="1"/>
  <c r="Z279" i="26" s="1"/>
  <c r="P279" i="26"/>
  <c r="N280" i="26"/>
  <c r="V280" i="26" s="1"/>
  <c r="Y280" i="26" s="1"/>
  <c r="O280" i="26"/>
  <c r="W280" i="26" s="1"/>
  <c r="Z280" i="26" s="1"/>
  <c r="P280" i="26"/>
  <c r="N281" i="26"/>
  <c r="V281" i="26" s="1"/>
  <c r="Y281" i="26" s="1"/>
  <c r="O281" i="26"/>
  <c r="W281" i="26" s="1"/>
  <c r="Z281" i="26" s="1"/>
  <c r="P281" i="26"/>
  <c r="N282" i="26"/>
  <c r="V282" i="26" s="1"/>
  <c r="Y282" i="26" s="1"/>
  <c r="O282" i="26"/>
  <c r="W282" i="26" s="1"/>
  <c r="Z282" i="26" s="1"/>
  <c r="P282" i="26"/>
  <c r="N283" i="26"/>
  <c r="V283" i="26" s="1"/>
  <c r="Y283" i="26" s="1"/>
  <c r="O283" i="26"/>
  <c r="W283" i="26" s="1"/>
  <c r="Z283" i="26" s="1"/>
  <c r="P283" i="26"/>
  <c r="N284" i="26"/>
  <c r="V284" i="26" s="1"/>
  <c r="Y284" i="26" s="1"/>
  <c r="O284" i="26"/>
  <c r="W284" i="26" s="1"/>
  <c r="Z284" i="26" s="1"/>
  <c r="P284" i="26"/>
  <c r="N285" i="26"/>
  <c r="V285" i="26" s="1"/>
  <c r="Y285" i="26" s="1"/>
  <c r="O285" i="26"/>
  <c r="W285" i="26" s="1"/>
  <c r="Z285" i="26" s="1"/>
  <c r="P285" i="26"/>
  <c r="N286" i="26"/>
  <c r="V286" i="26" s="1"/>
  <c r="Y286" i="26" s="1"/>
  <c r="O286" i="26"/>
  <c r="W286" i="26" s="1"/>
  <c r="Z286" i="26" s="1"/>
  <c r="P286" i="26"/>
  <c r="N287" i="26"/>
  <c r="V287" i="26" s="1"/>
  <c r="Y287" i="26" s="1"/>
  <c r="O287" i="26"/>
  <c r="W287" i="26" s="1"/>
  <c r="Z287" i="26" s="1"/>
  <c r="P287" i="26"/>
  <c r="N288" i="26"/>
  <c r="V288" i="26" s="1"/>
  <c r="Y288" i="26" s="1"/>
  <c r="O288" i="26"/>
  <c r="W288" i="26" s="1"/>
  <c r="Z288" i="26" s="1"/>
  <c r="P288" i="26"/>
  <c r="N289" i="26"/>
  <c r="V289" i="26" s="1"/>
  <c r="Y289" i="26" s="1"/>
  <c r="O289" i="26"/>
  <c r="W289" i="26" s="1"/>
  <c r="Z289" i="26" s="1"/>
  <c r="P289" i="26"/>
  <c r="N290" i="26"/>
  <c r="V290" i="26" s="1"/>
  <c r="Y290" i="26" s="1"/>
  <c r="O290" i="26"/>
  <c r="W290" i="26" s="1"/>
  <c r="Z290" i="26" s="1"/>
  <c r="P290" i="26"/>
  <c r="N291" i="26"/>
  <c r="V291" i="26" s="1"/>
  <c r="Y291" i="26" s="1"/>
  <c r="O291" i="26"/>
  <c r="W291" i="26" s="1"/>
  <c r="Z291" i="26" s="1"/>
  <c r="P291" i="26"/>
  <c r="N292" i="26"/>
  <c r="V292" i="26" s="1"/>
  <c r="Y292" i="26" s="1"/>
  <c r="O292" i="26"/>
  <c r="W292" i="26" s="1"/>
  <c r="Z292" i="26" s="1"/>
  <c r="P292" i="26"/>
  <c r="N293" i="26"/>
  <c r="V293" i="26" s="1"/>
  <c r="Y293" i="26" s="1"/>
  <c r="O293" i="26"/>
  <c r="W293" i="26" s="1"/>
  <c r="Z293" i="26" s="1"/>
  <c r="P293" i="26"/>
  <c r="N294" i="26"/>
  <c r="V294" i="26" s="1"/>
  <c r="Y294" i="26" s="1"/>
  <c r="O294" i="26"/>
  <c r="W294" i="26" s="1"/>
  <c r="Z294" i="26" s="1"/>
  <c r="P294" i="26"/>
  <c r="N295" i="26"/>
  <c r="V295" i="26" s="1"/>
  <c r="Y295" i="26" s="1"/>
  <c r="O295" i="26"/>
  <c r="W295" i="26" s="1"/>
  <c r="Z295" i="26" s="1"/>
  <c r="P295" i="26"/>
  <c r="N296" i="26"/>
  <c r="V296" i="26" s="1"/>
  <c r="Y296" i="26" s="1"/>
  <c r="O296" i="26"/>
  <c r="W296" i="26" s="1"/>
  <c r="Z296" i="26" s="1"/>
  <c r="P296" i="26"/>
  <c r="N297" i="26"/>
  <c r="V297" i="26" s="1"/>
  <c r="Y297" i="26" s="1"/>
  <c r="O297" i="26"/>
  <c r="W297" i="26" s="1"/>
  <c r="Z297" i="26" s="1"/>
  <c r="P297" i="26"/>
  <c r="N298" i="26"/>
  <c r="V298" i="26" s="1"/>
  <c r="Y298" i="26" s="1"/>
  <c r="O298" i="26"/>
  <c r="W298" i="26" s="1"/>
  <c r="Z298" i="26" s="1"/>
  <c r="P298" i="26"/>
  <c r="N299" i="26"/>
  <c r="V299" i="26" s="1"/>
  <c r="Y299" i="26" s="1"/>
  <c r="O299" i="26"/>
  <c r="W299" i="26" s="1"/>
  <c r="Z299" i="26" s="1"/>
  <c r="P299" i="26"/>
  <c r="N300" i="26"/>
  <c r="V300" i="26" s="1"/>
  <c r="Y300" i="26" s="1"/>
  <c r="O300" i="26"/>
  <c r="W300" i="26" s="1"/>
  <c r="Z300" i="26" s="1"/>
  <c r="P300" i="26"/>
  <c r="N301" i="26"/>
  <c r="V301" i="26" s="1"/>
  <c r="Y301" i="26" s="1"/>
  <c r="O301" i="26"/>
  <c r="W301" i="26" s="1"/>
  <c r="Z301" i="26" s="1"/>
  <c r="P301" i="26"/>
  <c r="N302" i="26"/>
  <c r="V302" i="26" s="1"/>
  <c r="Y302" i="26" s="1"/>
  <c r="O302" i="26"/>
  <c r="W302" i="26" s="1"/>
  <c r="Z302" i="26" s="1"/>
  <c r="P302" i="26"/>
  <c r="N303" i="26"/>
  <c r="V303" i="26" s="1"/>
  <c r="Y303" i="26" s="1"/>
  <c r="O303" i="26"/>
  <c r="W303" i="26" s="1"/>
  <c r="Z303" i="26" s="1"/>
  <c r="P303" i="26"/>
  <c r="N304" i="26"/>
  <c r="V304" i="26" s="1"/>
  <c r="Y304" i="26" s="1"/>
  <c r="O304" i="26"/>
  <c r="W304" i="26" s="1"/>
  <c r="Z304" i="26" s="1"/>
  <c r="P304" i="26"/>
  <c r="N305" i="26"/>
  <c r="V305" i="26" s="1"/>
  <c r="Y305" i="26" s="1"/>
  <c r="O305" i="26"/>
  <c r="W305" i="26" s="1"/>
  <c r="Z305" i="26" s="1"/>
  <c r="P305" i="26"/>
  <c r="N306" i="26"/>
  <c r="V306" i="26" s="1"/>
  <c r="Y306" i="26" s="1"/>
  <c r="O306" i="26"/>
  <c r="W306" i="26" s="1"/>
  <c r="Z306" i="26" s="1"/>
  <c r="P306" i="26"/>
  <c r="N307" i="26"/>
  <c r="V307" i="26" s="1"/>
  <c r="Y307" i="26" s="1"/>
  <c r="O307" i="26"/>
  <c r="W307" i="26" s="1"/>
  <c r="Z307" i="26" s="1"/>
  <c r="P307" i="26"/>
  <c r="N308" i="26"/>
  <c r="V308" i="26" s="1"/>
  <c r="Y308" i="26" s="1"/>
  <c r="O308" i="26"/>
  <c r="W308" i="26" s="1"/>
  <c r="Z308" i="26" s="1"/>
  <c r="P308" i="26"/>
  <c r="N309" i="26"/>
  <c r="V309" i="26" s="1"/>
  <c r="Y309" i="26" s="1"/>
  <c r="O309" i="26"/>
  <c r="W309" i="26" s="1"/>
  <c r="Z309" i="26" s="1"/>
  <c r="P309" i="26"/>
  <c r="N310" i="26"/>
  <c r="V310" i="26" s="1"/>
  <c r="Y310" i="26" s="1"/>
  <c r="O310" i="26"/>
  <c r="W310" i="26" s="1"/>
  <c r="Z310" i="26" s="1"/>
  <c r="P310" i="26"/>
  <c r="N311" i="26"/>
  <c r="V311" i="26" s="1"/>
  <c r="Y311" i="26" s="1"/>
  <c r="O311" i="26"/>
  <c r="W311" i="26" s="1"/>
  <c r="Z311" i="26" s="1"/>
  <c r="P311" i="26"/>
  <c r="N312" i="26"/>
  <c r="V312" i="26" s="1"/>
  <c r="Y312" i="26" s="1"/>
  <c r="O312" i="26"/>
  <c r="W312" i="26" s="1"/>
  <c r="Z312" i="26" s="1"/>
  <c r="P312" i="26"/>
  <c r="N313" i="26"/>
  <c r="V313" i="26" s="1"/>
  <c r="Y313" i="26" s="1"/>
  <c r="O313" i="26"/>
  <c r="W313" i="26" s="1"/>
  <c r="Z313" i="26" s="1"/>
  <c r="P313" i="26"/>
  <c r="N314" i="26"/>
  <c r="V314" i="26" s="1"/>
  <c r="Y314" i="26" s="1"/>
  <c r="O314" i="26"/>
  <c r="W314" i="26" s="1"/>
  <c r="Z314" i="26" s="1"/>
  <c r="P314" i="26"/>
  <c r="N315" i="26"/>
  <c r="V315" i="26" s="1"/>
  <c r="Y315" i="26" s="1"/>
  <c r="O315" i="26"/>
  <c r="W315" i="26" s="1"/>
  <c r="Z315" i="26" s="1"/>
  <c r="P315" i="26"/>
  <c r="N316" i="26"/>
  <c r="V316" i="26" s="1"/>
  <c r="Y316" i="26" s="1"/>
  <c r="O316" i="26"/>
  <c r="W316" i="26" s="1"/>
  <c r="Z316" i="26" s="1"/>
  <c r="P316" i="26"/>
  <c r="N317" i="26"/>
  <c r="V317" i="26" s="1"/>
  <c r="Y317" i="26" s="1"/>
  <c r="O317" i="26"/>
  <c r="W317" i="26" s="1"/>
  <c r="Z317" i="26" s="1"/>
  <c r="P317" i="26"/>
  <c r="N318" i="26"/>
  <c r="V318" i="26" s="1"/>
  <c r="Y318" i="26" s="1"/>
  <c r="O318" i="26"/>
  <c r="W318" i="26" s="1"/>
  <c r="Z318" i="26" s="1"/>
  <c r="P318" i="26"/>
  <c r="N319" i="26"/>
  <c r="V319" i="26" s="1"/>
  <c r="Y319" i="26" s="1"/>
  <c r="O319" i="26"/>
  <c r="W319" i="26" s="1"/>
  <c r="Z319" i="26" s="1"/>
  <c r="P319" i="26"/>
  <c r="N320" i="26"/>
  <c r="V320" i="26" s="1"/>
  <c r="Y320" i="26" s="1"/>
  <c r="O320" i="26"/>
  <c r="W320" i="26" s="1"/>
  <c r="Z320" i="26" s="1"/>
  <c r="P320" i="26"/>
  <c r="N321" i="26"/>
  <c r="V321" i="26" s="1"/>
  <c r="Y321" i="26" s="1"/>
  <c r="O321" i="26"/>
  <c r="W321" i="26" s="1"/>
  <c r="Z321" i="26" s="1"/>
  <c r="P321" i="26"/>
  <c r="N322" i="26"/>
  <c r="V322" i="26" s="1"/>
  <c r="Y322" i="26" s="1"/>
  <c r="O322" i="26"/>
  <c r="W322" i="26" s="1"/>
  <c r="Z322" i="26" s="1"/>
  <c r="P322" i="26"/>
  <c r="N323" i="26"/>
  <c r="V323" i="26" s="1"/>
  <c r="Y323" i="26" s="1"/>
  <c r="O323" i="26"/>
  <c r="W323" i="26" s="1"/>
  <c r="Z323" i="26" s="1"/>
  <c r="P323" i="26"/>
  <c r="N324" i="26"/>
  <c r="V324" i="26" s="1"/>
  <c r="Y324" i="26" s="1"/>
  <c r="O324" i="26"/>
  <c r="W324" i="26" s="1"/>
  <c r="Z324" i="26" s="1"/>
  <c r="P324" i="26"/>
  <c r="N325" i="26"/>
  <c r="V325" i="26" s="1"/>
  <c r="Y325" i="26" s="1"/>
  <c r="O325" i="26"/>
  <c r="W325" i="26" s="1"/>
  <c r="Z325" i="26" s="1"/>
  <c r="P325" i="26"/>
  <c r="N326" i="26"/>
  <c r="V326" i="26" s="1"/>
  <c r="Y326" i="26" s="1"/>
  <c r="O326" i="26"/>
  <c r="W326" i="26" s="1"/>
  <c r="Z326" i="26" s="1"/>
  <c r="P326" i="26"/>
  <c r="N327" i="26"/>
  <c r="V327" i="26" s="1"/>
  <c r="Y327" i="26" s="1"/>
  <c r="O327" i="26"/>
  <c r="W327" i="26" s="1"/>
  <c r="Z327" i="26" s="1"/>
  <c r="P327" i="26"/>
  <c r="N328" i="26"/>
  <c r="V328" i="26" s="1"/>
  <c r="Y328" i="26" s="1"/>
  <c r="O328" i="26"/>
  <c r="W328" i="26" s="1"/>
  <c r="Z328" i="26" s="1"/>
  <c r="P328" i="26"/>
  <c r="N329" i="26"/>
  <c r="V329" i="26" s="1"/>
  <c r="Y329" i="26" s="1"/>
  <c r="O329" i="26"/>
  <c r="W329" i="26" s="1"/>
  <c r="Z329" i="26" s="1"/>
  <c r="P329" i="26"/>
  <c r="N330" i="26"/>
  <c r="V330" i="26" s="1"/>
  <c r="Y330" i="26" s="1"/>
  <c r="O330" i="26"/>
  <c r="W330" i="26" s="1"/>
  <c r="Z330" i="26" s="1"/>
  <c r="P330" i="26"/>
  <c r="N331" i="26"/>
  <c r="V331" i="26" s="1"/>
  <c r="Y331" i="26" s="1"/>
  <c r="O331" i="26"/>
  <c r="W331" i="26" s="1"/>
  <c r="Z331" i="26" s="1"/>
  <c r="P331" i="26"/>
  <c r="N332" i="26"/>
  <c r="V332" i="26" s="1"/>
  <c r="Y332" i="26" s="1"/>
  <c r="O332" i="26"/>
  <c r="W332" i="26" s="1"/>
  <c r="Z332" i="26" s="1"/>
  <c r="P332" i="26"/>
  <c r="N333" i="26"/>
  <c r="V333" i="26" s="1"/>
  <c r="Y333" i="26" s="1"/>
  <c r="O333" i="26"/>
  <c r="W333" i="26" s="1"/>
  <c r="Z333" i="26" s="1"/>
  <c r="P333" i="26"/>
  <c r="N334" i="26"/>
  <c r="V334" i="26" s="1"/>
  <c r="Y334" i="26" s="1"/>
  <c r="O334" i="26"/>
  <c r="W334" i="26" s="1"/>
  <c r="Z334" i="26" s="1"/>
  <c r="P334" i="26"/>
  <c r="N335" i="26"/>
  <c r="V335" i="26" s="1"/>
  <c r="Y335" i="26" s="1"/>
  <c r="O335" i="26"/>
  <c r="W335" i="26" s="1"/>
  <c r="Z335" i="26" s="1"/>
  <c r="P335" i="26"/>
  <c r="N336" i="26"/>
  <c r="V336" i="26" s="1"/>
  <c r="Y336" i="26" s="1"/>
  <c r="O336" i="26"/>
  <c r="W336" i="26" s="1"/>
  <c r="Z336" i="26" s="1"/>
  <c r="P336" i="26"/>
  <c r="N337" i="26"/>
  <c r="V337" i="26" s="1"/>
  <c r="Y337" i="26" s="1"/>
  <c r="O337" i="26"/>
  <c r="W337" i="26" s="1"/>
  <c r="Z337" i="26" s="1"/>
  <c r="P337" i="26"/>
  <c r="N338" i="26"/>
  <c r="V338" i="26" s="1"/>
  <c r="Y338" i="26" s="1"/>
  <c r="O338" i="26"/>
  <c r="W338" i="26" s="1"/>
  <c r="Z338" i="26" s="1"/>
  <c r="P338" i="26"/>
  <c r="N339" i="26"/>
  <c r="V339" i="26" s="1"/>
  <c r="Y339" i="26" s="1"/>
  <c r="O339" i="26"/>
  <c r="W339" i="26" s="1"/>
  <c r="Z339" i="26" s="1"/>
  <c r="P339" i="26"/>
  <c r="N340" i="26"/>
  <c r="V340" i="26" s="1"/>
  <c r="Y340" i="26" s="1"/>
  <c r="O340" i="26"/>
  <c r="W340" i="26" s="1"/>
  <c r="Z340" i="26" s="1"/>
  <c r="P340" i="26"/>
  <c r="N341" i="26"/>
  <c r="V341" i="26" s="1"/>
  <c r="Y341" i="26" s="1"/>
  <c r="O341" i="26"/>
  <c r="W341" i="26" s="1"/>
  <c r="Z341" i="26" s="1"/>
  <c r="P341" i="26"/>
  <c r="N342" i="26"/>
  <c r="V342" i="26" s="1"/>
  <c r="Y342" i="26" s="1"/>
  <c r="O342" i="26"/>
  <c r="W342" i="26" s="1"/>
  <c r="Z342" i="26" s="1"/>
  <c r="P342" i="26"/>
  <c r="N343" i="26"/>
  <c r="V343" i="26" s="1"/>
  <c r="Y343" i="26" s="1"/>
  <c r="O343" i="26"/>
  <c r="W343" i="26" s="1"/>
  <c r="Z343" i="26" s="1"/>
  <c r="P343" i="26"/>
  <c r="N344" i="26"/>
  <c r="V344" i="26" s="1"/>
  <c r="Y344" i="26" s="1"/>
  <c r="O344" i="26"/>
  <c r="W344" i="26" s="1"/>
  <c r="Z344" i="26" s="1"/>
  <c r="P344" i="26"/>
  <c r="N345" i="26"/>
  <c r="V345" i="26" s="1"/>
  <c r="Y345" i="26" s="1"/>
  <c r="O345" i="26"/>
  <c r="W345" i="26" s="1"/>
  <c r="Z345" i="26" s="1"/>
  <c r="P345" i="26"/>
  <c r="N346" i="26"/>
  <c r="V346" i="26" s="1"/>
  <c r="Y346" i="26" s="1"/>
  <c r="O346" i="26"/>
  <c r="W346" i="26" s="1"/>
  <c r="Z346" i="26" s="1"/>
  <c r="P346" i="26"/>
  <c r="N347" i="26"/>
  <c r="V347" i="26" s="1"/>
  <c r="Y347" i="26" s="1"/>
  <c r="O347" i="26"/>
  <c r="W347" i="26" s="1"/>
  <c r="Z347" i="26" s="1"/>
  <c r="P347" i="26"/>
  <c r="N348" i="26"/>
  <c r="V348" i="26" s="1"/>
  <c r="Y348" i="26" s="1"/>
  <c r="O348" i="26"/>
  <c r="W348" i="26" s="1"/>
  <c r="Z348" i="26" s="1"/>
  <c r="P348" i="26"/>
  <c r="N349" i="26"/>
  <c r="V349" i="26" s="1"/>
  <c r="Y349" i="26" s="1"/>
  <c r="O349" i="26"/>
  <c r="W349" i="26" s="1"/>
  <c r="Z349" i="26" s="1"/>
  <c r="P349" i="26"/>
  <c r="N350" i="26"/>
  <c r="V350" i="26" s="1"/>
  <c r="Y350" i="26" s="1"/>
  <c r="O350" i="26"/>
  <c r="W350" i="26" s="1"/>
  <c r="Z350" i="26" s="1"/>
  <c r="P350" i="26"/>
  <c r="N351" i="26"/>
  <c r="V351" i="26" s="1"/>
  <c r="Y351" i="26" s="1"/>
  <c r="O351" i="26"/>
  <c r="W351" i="26" s="1"/>
  <c r="Z351" i="26" s="1"/>
  <c r="P351" i="26"/>
  <c r="N352" i="26"/>
  <c r="V352" i="26" s="1"/>
  <c r="Y352" i="26" s="1"/>
  <c r="O352" i="26"/>
  <c r="W352" i="26" s="1"/>
  <c r="Z352" i="26" s="1"/>
  <c r="P352" i="26"/>
  <c r="N353" i="26"/>
  <c r="V353" i="26" s="1"/>
  <c r="Y353" i="26" s="1"/>
  <c r="O353" i="26"/>
  <c r="W353" i="26" s="1"/>
  <c r="Z353" i="26" s="1"/>
  <c r="P353" i="26"/>
  <c r="N354" i="26"/>
  <c r="V354" i="26" s="1"/>
  <c r="Y354" i="26" s="1"/>
  <c r="O354" i="26"/>
  <c r="W354" i="26" s="1"/>
  <c r="Z354" i="26" s="1"/>
  <c r="P354" i="26"/>
  <c r="N355" i="26"/>
  <c r="V355" i="26" s="1"/>
  <c r="Y355" i="26" s="1"/>
  <c r="O355" i="26"/>
  <c r="W355" i="26" s="1"/>
  <c r="Z355" i="26" s="1"/>
  <c r="P355" i="26"/>
  <c r="N356" i="26"/>
  <c r="V356" i="26" s="1"/>
  <c r="Y356" i="26" s="1"/>
  <c r="O356" i="26"/>
  <c r="W356" i="26" s="1"/>
  <c r="Z356" i="26" s="1"/>
  <c r="P356" i="26"/>
  <c r="N357" i="26"/>
  <c r="V357" i="26" s="1"/>
  <c r="Y357" i="26" s="1"/>
  <c r="O357" i="26"/>
  <c r="W357" i="26" s="1"/>
  <c r="Z357" i="26" s="1"/>
  <c r="P357" i="26"/>
  <c r="N358" i="26"/>
  <c r="V358" i="26" s="1"/>
  <c r="Y358" i="26" s="1"/>
  <c r="O358" i="26"/>
  <c r="W358" i="26" s="1"/>
  <c r="Z358" i="26" s="1"/>
  <c r="P358" i="26"/>
  <c r="N359" i="26"/>
  <c r="V359" i="26" s="1"/>
  <c r="Y359" i="26" s="1"/>
  <c r="O359" i="26"/>
  <c r="W359" i="26" s="1"/>
  <c r="Z359" i="26" s="1"/>
  <c r="P359" i="26"/>
  <c r="N360" i="26"/>
  <c r="V360" i="26" s="1"/>
  <c r="Y360" i="26" s="1"/>
  <c r="O360" i="26"/>
  <c r="W360" i="26" s="1"/>
  <c r="Z360" i="26" s="1"/>
  <c r="P360" i="26"/>
  <c r="N361" i="26"/>
  <c r="V361" i="26" s="1"/>
  <c r="Y361" i="26" s="1"/>
  <c r="O361" i="26"/>
  <c r="W361" i="26" s="1"/>
  <c r="Z361" i="26" s="1"/>
  <c r="P361" i="26"/>
  <c r="N362" i="26"/>
  <c r="V362" i="26" s="1"/>
  <c r="Y362" i="26" s="1"/>
  <c r="O362" i="26"/>
  <c r="W362" i="26" s="1"/>
  <c r="Z362" i="26" s="1"/>
  <c r="P362" i="26"/>
  <c r="N363" i="26"/>
  <c r="V363" i="26" s="1"/>
  <c r="Y363" i="26" s="1"/>
  <c r="O363" i="26"/>
  <c r="W363" i="26" s="1"/>
  <c r="Z363" i="26" s="1"/>
  <c r="P363" i="26"/>
  <c r="N364" i="26"/>
  <c r="V364" i="26" s="1"/>
  <c r="Y364" i="26" s="1"/>
  <c r="O364" i="26"/>
  <c r="W364" i="26" s="1"/>
  <c r="Z364" i="26" s="1"/>
  <c r="P364" i="26"/>
  <c r="N365" i="26"/>
  <c r="V365" i="26" s="1"/>
  <c r="Y365" i="26" s="1"/>
  <c r="O365" i="26"/>
  <c r="W365" i="26" s="1"/>
  <c r="Z365" i="26" s="1"/>
  <c r="P365" i="26"/>
  <c r="N366" i="26"/>
  <c r="V366" i="26" s="1"/>
  <c r="Y366" i="26" s="1"/>
  <c r="O366" i="26"/>
  <c r="W366" i="26" s="1"/>
  <c r="Z366" i="26" s="1"/>
  <c r="P366" i="26"/>
  <c r="N367" i="26"/>
  <c r="V367" i="26" s="1"/>
  <c r="Y367" i="26" s="1"/>
  <c r="O367" i="26"/>
  <c r="W367" i="26" s="1"/>
  <c r="Z367" i="26" s="1"/>
  <c r="P367" i="26"/>
  <c r="N368" i="26"/>
  <c r="V368" i="26" s="1"/>
  <c r="Y368" i="26" s="1"/>
  <c r="O368" i="26"/>
  <c r="W368" i="26" s="1"/>
  <c r="Z368" i="26" s="1"/>
  <c r="P368" i="26"/>
  <c r="N369" i="26"/>
  <c r="V369" i="26" s="1"/>
  <c r="Y369" i="26" s="1"/>
  <c r="O369" i="26"/>
  <c r="W369" i="26" s="1"/>
  <c r="Z369" i="26" s="1"/>
  <c r="P369" i="26"/>
  <c r="N370" i="26"/>
  <c r="V370" i="26" s="1"/>
  <c r="Y370" i="26" s="1"/>
  <c r="O370" i="26"/>
  <c r="W370" i="26" s="1"/>
  <c r="Z370" i="26" s="1"/>
  <c r="P370" i="26"/>
  <c r="N371" i="26"/>
  <c r="V371" i="26" s="1"/>
  <c r="Y371" i="26" s="1"/>
  <c r="O371" i="26"/>
  <c r="W371" i="26" s="1"/>
  <c r="Z371" i="26" s="1"/>
  <c r="P371" i="26"/>
  <c r="N372" i="26"/>
  <c r="V372" i="26" s="1"/>
  <c r="Y372" i="26" s="1"/>
  <c r="O372" i="26"/>
  <c r="W372" i="26" s="1"/>
  <c r="Z372" i="26" s="1"/>
  <c r="P372" i="26"/>
  <c r="N373" i="26"/>
  <c r="V373" i="26" s="1"/>
  <c r="Y373" i="26" s="1"/>
  <c r="O373" i="26"/>
  <c r="W373" i="26" s="1"/>
  <c r="Z373" i="26" s="1"/>
  <c r="P373" i="26"/>
  <c r="N374" i="26"/>
  <c r="V374" i="26" s="1"/>
  <c r="Y374" i="26" s="1"/>
  <c r="O374" i="26"/>
  <c r="W374" i="26" s="1"/>
  <c r="Z374" i="26" s="1"/>
  <c r="P374" i="26"/>
  <c r="N375" i="26"/>
  <c r="V375" i="26" s="1"/>
  <c r="Y375" i="26" s="1"/>
  <c r="O375" i="26"/>
  <c r="W375" i="26" s="1"/>
  <c r="Z375" i="26" s="1"/>
  <c r="P375" i="26"/>
  <c r="N376" i="26"/>
  <c r="V376" i="26" s="1"/>
  <c r="Y376" i="26" s="1"/>
  <c r="O376" i="26"/>
  <c r="W376" i="26" s="1"/>
  <c r="Z376" i="26" s="1"/>
  <c r="P376" i="26"/>
  <c r="N377" i="26"/>
  <c r="V377" i="26" s="1"/>
  <c r="Y377" i="26" s="1"/>
  <c r="O377" i="26"/>
  <c r="W377" i="26" s="1"/>
  <c r="Z377" i="26" s="1"/>
  <c r="P377" i="26"/>
  <c r="N378" i="26"/>
  <c r="V378" i="26" s="1"/>
  <c r="Y378" i="26" s="1"/>
  <c r="O378" i="26"/>
  <c r="W378" i="26" s="1"/>
  <c r="Z378" i="26" s="1"/>
  <c r="P378" i="26"/>
  <c r="N379" i="26"/>
  <c r="V379" i="26" s="1"/>
  <c r="Y379" i="26" s="1"/>
  <c r="O379" i="26"/>
  <c r="W379" i="26" s="1"/>
  <c r="Z379" i="26" s="1"/>
  <c r="P379" i="26"/>
  <c r="N380" i="26"/>
  <c r="V380" i="26" s="1"/>
  <c r="Y380" i="26" s="1"/>
  <c r="O380" i="26"/>
  <c r="W380" i="26" s="1"/>
  <c r="Z380" i="26" s="1"/>
  <c r="P380" i="26"/>
  <c r="N381" i="26"/>
  <c r="V381" i="26" s="1"/>
  <c r="Y381" i="26" s="1"/>
  <c r="O381" i="26"/>
  <c r="W381" i="26" s="1"/>
  <c r="Z381" i="26" s="1"/>
  <c r="P381" i="26"/>
  <c r="N382" i="26"/>
  <c r="V382" i="26" s="1"/>
  <c r="Y382" i="26" s="1"/>
  <c r="O382" i="26"/>
  <c r="W382" i="26" s="1"/>
  <c r="Z382" i="26" s="1"/>
  <c r="P382" i="26"/>
  <c r="N383" i="26"/>
  <c r="V383" i="26" s="1"/>
  <c r="Y383" i="26" s="1"/>
  <c r="O383" i="26"/>
  <c r="W383" i="26" s="1"/>
  <c r="Z383" i="26" s="1"/>
  <c r="P383" i="26"/>
  <c r="N384" i="26"/>
  <c r="V384" i="26" s="1"/>
  <c r="Y384" i="26" s="1"/>
  <c r="O384" i="26"/>
  <c r="W384" i="26" s="1"/>
  <c r="Z384" i="26" s="1"/>
  <c r="P384" i="26"/>
  <c r="N385" i="26"/>
  <c r="V385" i="26" s="1"/>
  <c r="Y385" i="26" s="1"/>
  <c r="O385" i="26"/>
  <c r="W385" i="26" s="1"/>
  <c r="Z385" i="26" s="1"/>
  <c r="P385" i="26"/>
  <c r="N386" i="26"/>
  <c r="V386" i="26" s="1"/>
  <c r="Y386" i="26" s="1"/>
  <c r="O386" i="26"/>
  <c r="W386" i="26" s="1"/>
  <c r="Z386" i="26" s="1"/>
  <c r="P386" i="26"/>
  <c r="N387" i="26"/>
  <c r="V387" i="26" s="1"/>
  <c r="Y387" i="26" s="1"/>
  <c r="O387" i="26"/>
  <c r="W387" i="26" s="1"/>
  <c r="Z387" i="26" s="1"/>
  <c r="P387" i="26"/>
  <c r="N388" i="26"/>
  <c r="V388" i="26" s="1"/>
  <c r="Y388" i="26" s="1"/>
  <c r="O388" i="26"/>
  <c r="W388" i="26" s="1"/>
  <c r="Z388" i="26" s="1"/>
  <c r="P388" i="26"/>
  <c r="N389" i="26"/>
  <c r="V389" i="26" s="1"/>
  <c r="Y389" i="26" s="1"/>
  <c r="O389" i="26"/>
  <c r="W389" i="26" s="1"/>
  <c r="Z389" i="26" s="1"/>
  <c r="P389" i="26"/>
  <c r="N390" i="26"/>
  <c r="V390" i="26" s="1"/>
  <c r="Y390" i="26" s="1"/>
  <c r="O390" i="26"/>
  <c r="W390" i="26" s="1"/>
  <c r="Z390" i="26" s="1"/>
  <c r="P390" i="26"/>
  <c r="N391" i="26"/>
  <c r="V391" i="26" s="1"/>
  <c r="Y391" i="26" s="1"/>
  <c r="O391" i="26"/>
  <c r="W391" i="26" s="1"/>
  <c r="Z391" i="26" s="1"/>
  <c r="P391" i="26"/>
  <c r="N392" i="26"/>
  <c r="V392" i="26" s="1"/>
  <c r="Y392" i="26" s="1"/>
  <c r="O392" i="26"/>
  <c r="W392" i="26" s="1"/>
  <c r="Z392" i="26" s="1"/>
  <c r="P392" i="26"/>
  <c r="N393" i="26"/>
  <c r="V393" i="26" s="1"/>
  <c r="Y393" i="26" s="1"/>
  <c r="O393" i="26"/>
  <c r="W393" i="26" s="1"/>
  <c r="Z393" i="26" s="1"/>
  <c r="P393" i="26"/>
  <c r="N394" i="26"/>
  <c r="V394" i="26" s="1"/>
  <c r="Y394" i="26" s="1"/>
  <c r="O394" i="26"/>
  <c r="W394" i="26" s="1"/>
  <c r="Z394" i="26" s="1"/>
  <c r="P394" i="26"/>
  <c r="N395" i="26"/>
  <c r="V395" i="26" s="1"/>
  <c r="Y395" i="26" s="1"/>
  <c r="O395" i="26"/>
  <c r="W395" i="26" s="1"/>
  <c r="Z395" i="26" s="1"/>
  <c r="P395" i="26"/>
  <c r="N396" i="26"/>
  <c r="V396" i="26" s="1"/>
  <c r="Y396" i="26" s="1"/>
  <c r="O396" i="26"/>
  <c r="W396" i="26" s="1"/>
  <c r="Z396" i="26" s="1"/>
  <c r="P396" i="26"/>
  <c r="N397" i="26"/>
  <c r="V397" i="26" s="1"/>
  <c r="Y397" i="26" s="1"/>
  <c r="O397" i="26"/>
  <c r="W397" i="26" s="1"/>
  <c r="Z397" i="26" s="1"/>
  <c r="P397" i="26"/>
  <c r="N398" i="26"/>
  <c r="V398" i="26" s="1"/>
  <c r="Y398" i="26" s="1"/>
  <c r="O398" i="26"/>
  <c r="W398" i="26" s="1"/>
  <c r="Z398" i="26" s="1"/>
  <c r="P398" i="26"/>
  <c r="N399" i="26"/>
  <c r="V399" i="26" s="1"/>
  <c r="Y399" i="26" s="1"/>
  <c r="O399" i="26"/>
  <c r="W399" i="26" s="1"/>
  <c r="Z399" i="26" s="1"/>
  <c r="P399" i="26"/>
  <c r="N400" i="26"/>
  <c r="V400" i="26" s="1"/>
  <c r="Y400" i="26" s="1"/>
  <c r="O400" i="26"/>
  <c r="W400" i="26" s="1"/>
  <c r="Z400" i="26" s="1"/>
  <c r="P400" i="26"/>
  <c r="N401" i="26"/>
  <c r="V401" i="26" s="1"/>
  <c r="Y401" i="26" s="1"/>
  <c r="O401" i="26"/>
  <c r="W401" i="26" s="1"/>
  <c r="Z401" i="26" s="1"/>
  <c r="P401" i="26"/>
  <c r="N402" i="26"/>
  <c r="V402" i="26" s="1"/>
  <c r="Y402" i="26" s="1"/>
  <c r="O402" i="26"/>
  <c r="W402" i="26" s="1"/>
  <c r="Z402" i="26" s="1"/>
  <c r="P402" i="26"/>
  <c r="N403" i="26"/>
  <c r="V403" i="26" s="1"/>
  <c r="Y403" i="26" s="1"/>
  <c r="O403" i="26"/>
  <c r="W403" i="26" s="1"/>
  <c r="Z403" i="26" s="1"/>
  <c r="P403" i="26"/>
  <c r="N404" i="26"/>
  <c r="V404" i="26" s="1"/>
  <c r="Y404" i="26" s="1"/>
  <c r="O404" i="26"/>
  <c r="W404" i="26" s="1"/>
  <c r="Z404" i="26" s="1"/>
  <c r="P404" i="26"/>
  <c r="N405" i="26"/>
  <c r="V405" i="26" s="1"/>
  <c r="Y405" i="26" s="1"/>
  <c r="O405" i="26"/>
  <c r="W405" i="26" s="1"/>
  <c r="Z405" i="26" s="1"/>
  <c r="P405" i="26"/>
  <c r="N406" i="26"/>
  <c r="V406" i="26" s="1"/>
  <c r="Y406" i="26" s="1"/>
  <c r="O406" i="26"/>
  <c r="W406" i="26" s="1"/>
  <c r="Z406" i="26" s="1"/>
  <c r="P406" i="26"/>
  <c r="N407" i="26"/>
  <c r="V407" i="26" s="1"/>
  <c r="Y407" i="26" s="1"/>
  <c r="O407" i="26"/>
  <c r="W407" i="26" s="1"/>
  <c r="Z407" i="26" s="1"/>
  <c r="P407" i="26"/>
  <c r="N408" i="26"/>
  <c r="V408" i="26" s="1"/>
  <c r="Y408" i="26" s="1"/>
  <c r="O408" i="26"/>
  <c r="W408" i="26" s="1"/>
  <c r="Z408" i="26" s="1"/>
  <c r="P408" i="26"/>
  <c r="N409" i="26"/>
  <c r="V409" i="26" s="1"/>
  <c r="Y409" i="26" s="1"/>
  <c r="O409" i="26"/>
  <c r="W409" i="26" s="1"/>
  <c r="Z409" i="26" s="1"/>
  <c r="P409" i="26"/>
  <c r="N410" i="26"/>
  <c r="V410" i="26" s="1"/>
  <c r="Y410" i="26" s="1"/>
  <c r="O410" i="26"/>
  <c r="W410" i="26" s="1"/>
  <c r="Z410" i="26" s="1"/>
  <c r="P410" i="26"/>
  <c r="N411" i="26"/>
  <c r="V411" i="26" s="1"/>
  <c r="Y411" i="26" s="1"/>
  <c r="O411" i="26"/>
  <c r="W411" i="26" s="1"/>
  <c r="Z411" i="26" s="1"/>
  <c r="P411" i="26"/>
  <c r="N412" i="26"/>
  <c r="V412" i="26" s="1"/>
  <c r="Y412" i="26" s="1"/>
  <c r="O412" i="26"/>
  <c r="W412" i="26" s="1"/>
  <c r="Z412" i="26" s="1"/>
  <c r="P412" i="26"/>
  <c r="N413" i="26"/>
  <c r="V413" i="26" s="1"/>
  <c r="Y413" i="26" s="1"/>
  <c r="O413" i="26"/>
  <c r="W413" i="26" s="1"/>
  <c r="Z413" i="26" s="1"/>
  <c r="P413" i="26"/>
  <c r="N414" i="26"/>
  <c r="V414" i="26" s="1"/>
  <c r="Y414" i="26" s="1"/>
  <c r="O414" i="26"/>
  <c r="W414" i="26" s="1"/>
  <c r="Z414" i="26" s="1"/>
  <c r="P414" i="26"/>
  <c r="N415" i="26"/>
  <c r="V415" i="26" s="1"/>
  <c r="Y415" i="26" s="1"/>
  <c r="O415" i="26"/>
  <c r="W415" i="26" s="1"/>
  <c r="Z415" i="26" s="1"/>
  <c r="P415" i="26"/>
  <c r="N416" i="26"/>
  <c r="V416" i="26" s="1"/>
  <c r="Y416" i="26" s="1"/>
  <c r="O416" i="26"/>
  <c r="W416" i="26" s="1"/>
  <c r="Z416" i="26" s="1"/>
  <c r="P416" i="26"/>
  <c r="N417" i="26"/>
  <c r="V417" i="26" s="1"/>
  <c r="Y417" i="26" s="1"/>
  <c r="O417" i="26"/>
  <c r="W417" i="26" s="1"/>
  <c r="Z417" i="26" s="1"/>
  <c r="P417" i="26"/>
  <c r="N418" i="26"/>
  <c r="V418" i="26" s="1"/>
  <c r="Y418" i="26" s="1"/>
  <c r="O418" i="26"/>
  <c r="W418" i="26" s="1"/>
  <c r="Z418" i="26" s="1"/>
  <c r="P418" i="26"/>
  <c r="N419" i="26"/>
  <c r="V419" i="26" s="1"/>
  <c r="Y419" i="26" s="1"/>
  <c r="O419" i="26"/>
  <c r="W419" i="26" s="1"/>
  <c r="Z419" i="26" s="1"/>
  <c r="P419" i="26"/>
  <c r="N420" i="26"/>
  <c r="V420" i="26" s="1"/>
  <c r="Y420" i="26" s="1"/>
  <c r="O420" i="26"/>
  <c r="W420" i="26" s="1"/>
  <c r="Z420" i="26" s="1"/>
  <c r="P420" i="26"/>
  <c r="N421" i="26"/>
  <c r="V421" i="26" s="1"/>
  <c r="Y421" i="26" s="1"/>
  <c r="O421" i="26"/>
  <c r="W421" i="26" s="1"/>
  <c r="Z421" i="26" s="1"/>
  <c r="P421" i="26"/>
  <c r="N422" i="26"/>
  <c r="V422" i="26" s="1"/>
  <c r="Y422" i="26" s="1"/>
  <c r="O422" i="26"/>
  <c r="W422" i="26" s="1"/>
  <c r="Z422" i="26" s="1"/>
  <c r="P422" i="26"/>
  <c r="N423" i="26"/>
  <c r="V423" i="26" s="1"/>
  <c r="Y423" i="26" s="1"/>
  <c r="O423" i="26"/>
  <c r="W423" i="26" s="1"/>
  <c r="Z423" i="26" s="1"/>
  <c r="P423" i="26"/>
  <c r="N424" i="26"/>
  <c r="V424" i="26" s="1"/>
  <c r="Y424" i="26" s="1"/>
  <c r="O424" i="26"/>
  <c r="W424" i="26" s="1"/>
  <c r="Z424" i="26" s="1"/>
  <c r="P424" i="26"/>
  <c r="N425" i="26"/>
  <c r="V425" i="26" s="1"/>
  <c r="Y425" i="26" s="1"/>
  <c r="O425" i="26"/>
  <c r="W425" i="26" s="1"/>
  <c r="Z425" i="26" s="1"/>
  <c r="P425" i="26"/>
  <c r="N426" i="26"/>
  <c r="V426" i="26" s="1"/>
  <c r="Y426" i="26" s="1"/>
  <c r="O426" i="26"/>
  <c r="W426" i="26" s="1"/>
  <c r="Z426" i="26" s="1"/>
  <c r="P426" i="26"/>
  <c r="N427" i="26"/>
  <c r="V427" i="26" s="1"/>
  <c r="Y427" i="26" s="1"/>
  <c r="O427" i="26"/>
  <c r="W427" i="26" s="1"/>
  <c r="Z427" i="26" s="1"/>
  <c r="P427" i="26"/>
  <c r="N428" i="26"/>
  <c r="V428" i="26" s="1"/>
  <c r="Y428" i="26" s="1"/>
  <c r="O428" i="26"/>
  <c r="W428" i="26" s="1"/>
  <c r="Z428" i="26" s="1"/>
  <c r="P428" i="26"/>
  <c r="N429" i="26"/>
  <c r="V429" i="26" s="1"/>
  <c r="Y429" i="26" s="1"/>
  <c r="O429" i="26"/>
  <c r="W429" i="26" s="1"/>
  <c r="Z429" i="26" s="1"/>
  <c r="P429" i="26"/>
  <c r="N430" i="26"/>
  <c r="V430" i="26" s="1"/>
  <c r="Y430" i="26" s="1"/>
  <c r="O430" i="26"/>
  <c r="W430" i="26" s="1"/>
  <c r="Z430" i="26" s="1"/>
  <c r="P430" i="26"/>
  <c r="N431" i="26"/>
  <c r="V431" i="26" s="1"/>
  <c r="Y431" i="26" s="1"/>
  <c r="O431" i="26"/>
  <c r="W431" i="26" s="1"/>
  <c r="Z431" i="26" s="1"/>
  <c r="P431" i="26"/>
  <c r="N432" i="26"/>
  <c r="V432" i="26" s="1"/>
  <c r="Y432" i="26" s="1"/>
  <c r="O432" i="26"/>
  <c r="W432" i="26" s="1"/>
  <c r="Z432" i="26" s="1"/>
  <c r="P432" i="26"/>
  <c r="N433" i="26"/>
  <c r="V433" i="26" s="1"/>
  <c r="Y433" i="26" s="1"/>
  <c r="O433" i="26"/>
  <c r="W433" i="26" s="1"/>
  <c r="Z433" i="26" s="1"/>
  <c r="P433" i="26"/>
  <c r="N434" i="26"/>
  <c r="V434" i="26" s="1"/>
  <c r="Y434" i="26" s="1"/>
  <c r="O434" i="26"/>
  <c r="W434" i="26" s="1"/>
  <c r="Z434" i="26" s="1"/>
  <c r="P434" i="26"/>
  <c r="N435" i="26"/>
  <c r="V435" i="26" s="1"/>
  <c r="Y435" i="26" s="1"/>
  <c r="O435" i="26"/>
  <c r="W435" i="26" s="1"/>
  <c r="Z435" i="26" s="1"/>
  <c r="P435" i="26"/>
  <c r="N436" i="26"/>
  <c r="V436" i="26" s="1"/>
  <c r="Y436" i="26" s="1"/>
  <c r="O436" i="26"/>
  <c r="W436" i="26" s="1"/>
  <c r="Z436" i="26" s="1"/>
  <c r="P436" i="26"/>
  <c r="N437" i="26"/>
  <c r="V437" i="26" s="1"/>
  <c r="Y437" i="26" s="1"/>
  <c r="O437" i="26"/>
  <c r="W437" i="26" s="1"/>
  <c r="Z437" i="26" s="1"/>
  <c r="P437" i="26"/>
  <c r="N438" i="26"/>
  <c r="V438" i="26" s="1"/>
  <c r="Y438" i="26" s="1"/>
  <c r="O438" i="26"/>
  <c r="W438" i="26" s="1"/>
  <c r="Z438" i="26" s="1"/>
  <c r="P438" i="26"/>
  <c r="N439" i="26"/>
  <c r="V439" i="26" s="1"/>
  <c r="Y439" i="26" s="1"/>
  <c r="O439" i="26"/>
  <c r="W439" i="26" s="1"/>
  <c r="Z439" i="26" s="1"/>
  <c r="P439" i="26"/>
  <c r="N440" i="26"/>
  <c r="V440" i="26" s="1"/>
  <c r="Y440" i="26" s="1"/>
  <c r="O440" i="26"/>
  <c r="W440" i="26" s="1"/>
  <c r="Z440" i="26" s="1"/>
  <c r="P440" i="26"/>
  <c r="N441" i="26"/>
  <c r="V441" i="26" s="1"/>
  <c r="Y441" i="26" s="1"/>
  <c r="O441" i="26"/>
  <c r="W441" i="26" s="1"/>
  <c r="Z441" i="26" s="1"/>
  <c r="P441" i="26"/>
  <c r="N442" i="26"/>
  <c r="V442" i="26" s="1"/>
  <c r="Y442" i="26" s="1"/>
  <c r="O442" i="26"/>
  <c r="W442" i="26" s="1"/>
  <c r="Z442" i="26" s="1"/>
  <c r="P442" i="26"/>
  <c r="N443" i="26"/>
  <c r="V443" i="26" s="1"/>
  <c r="Y443" i="26" s="1"/>
  <c r="O443" i="26"/>
  <c r="W443" i="26" s="1"/>
  <c r="Z443" i="26" s="1"/>
  <c r="P443" i="26"/>
  <c r="N444" i="26"/>
  <c r="V444" i="26" s="1"/>
  <c r="Y444" i="26" s="1"/>
  <c r="O444" i="26"/>
  <c r="W444" i="26" s="1"/>
  <c r="Z444" i="26" s="1"/>
  <c r="P444" i="26"/>
  <c r="N445" i="26"/>
  <c r="V445" i="26" s="1"/>
  <c r="Y445" i="26" s="1"/>
  <c r="O445" i="26"/>
  <c r="W445" i="26" s="1"/>
  <c r="Z445" i="26" s="1"/>
  <c r="P445" i="26"/>
  <c r="N446" i="26"/>
  <c r="V446" i="26" s="1"/>
  <c r="Y446" i="26" s="1"/>
  <c r="O446" i="26"/>
  <c r="W446" i="26" s="1"/>
  <c r="Z446" i="26" s="1"/>
  <c r="P446" i="26"/>
  <c r="N447" i="26"/>
  <c r="V447" i="26" s="1"/>
  <c r="Y447" i="26" s="1"/>
  <c r="O447" i="26"/>
  <c r="W447" i="26" s="1"/>
  <c r="Z447" i="26" s="1"/>
  <c r="P447" i="26"/>
  <c r="N448" i="26"/>
  <c r="V448" i="26" s="1"/>
  <c r="Y448" i="26" s="1"/>
  <c r="O448" i="26"/>
  <c r="W448" i="26" s="1"/>
  <c r="Z448" i="26" s="1"/>
  <c r="P448" i="26"/>
  <c r="N449" i="26"/>
  <c r="V449" i="26" s="1"/>
  <c r="Y449" i="26" s="1"/>
  <c r="O449" i="26"/>
  <c r="W449" i="26" s="1"/>
  <c r="Z449" i="26" s="1"/>
  <c r="P449" i="26"/>
  <c r="N450" i="26"/>
  <c r="V450" i="26" s="1"/>
  <c r="Y450" i="26" s="1"/>
  <c r="O450" i="26"/>
  <c r="W450" i="26" s="1"/>
  <c r="Z450" i="26" s="1"/>
  <c r="P450" i="26"/>
  <c r="N451" i="26"/>
  <c r="V451" i="26" s="1"/>
  <c r="Y451" i="26" s="1"/>
  <c r="O451" i="26"/>
  <c r="W451" i="26" s="1"/>
  <c r="Z451" i="26" s="1"/>
  <c r="P451" i="26"/>
  <c r="N452" i="26"/>
  <c r="V452" i="26" s="1"/>
  <c r="Y452" i="26" s="1"/>
  <c r="O452" i="26"/>
  <c r="W452" i="26" s="1"/>
  <c r="Z452" i="26" s="1"/>
  <c r="P452" i="26"/>
  <c r="N453" i="26"/>
  <c r="V453" i="26" s="1"/>
  <c r="Y453" i="26" s="1"/>
  <c r="O453" i="26"/>
  <c r="W453" i="26" s="1"/>
  <c r="Z453" i="26" s="1"/>
  <c r="P453" i="26"/>
  <c r="N454" i="26"/>
  <c r="V454" i="26" s="1"/>
  <c r="Y454" i="26" s="1"/>
  <c r="O454" i="26"/>
  <c r="W454" i="26" s="1"/>
  <c r="Z454" i="26" s="1"/>
  <c r="P454" i="26"/>
  <c r="N455" i="26"/>
  <c r="V455" i="26" s="1"/>
  <c r="Y455" i="26" s="1"/>
  <c r="O455" i="26"/>
  <c r="W455" i="26" s="1"/>
  <c r="Z455" i="26" s="1"/>
  <c r="P455" i="26"/>
  <c r="N456" i="26"/>
  <c r="V456" i="26" s="1"/>
  <c r="Y456" i="26" s="1"/>
  <c r="O456" i="26"/>
  <c r="W456" i="26" s="1"/>
  <c r="Z456" i="26" s="1"/>
  <c r="P456" i="26"/>
  <c r="N457" i="26"/>
  <c r="V457" i="26" s="1"/>
  <c r="Y457" i="26" s="1"/>
  <c r="O457" i="26"/>
  <c r="W457" i="26" s="1"/>
  <c r="Z457" i="26" s="1"/>
  <c r="P457" i="26"/>
  <c r="N458" i="26"/>
  <c r="V458" i="26" s="1"/>
  <c r="Y458" i="26" s="1"/>
  <c r="O458" i="26"/>
  <c r="W458" i="26" s="1"/>
  <c r="Z458" i="26" s="1"/>
  <c r="P458" i="26"/>
  <c r="N459" i="26"/>
  <c r="V459" i="26" s="1"/>
  <c r="Y459" i="26" s="1"/>
  <c r="O459" i="26"/>
  <c r="W459" i="26" s="1"/>
  <c r="Z459" i="26" s="1"/>
  <c r="P459" i="26"/>
  <c r="N460" i="26"/>
  <c r="V460" i="26" s="1"/>
  <c r="Y460" i="26" s="1"/>
  <c r="O460" i="26"/>
  <c r="W460" i="26" s="1"/>
  <c r="Z460" i="26" s="1"/>
  <c r="P460" i="26"/>
  <c r="N461" i="26"/>
  <c r="V461" i="26" s="1"/>
  <c r="Y461" i="26" s="1"/>
  <c r="O461" i="26"/>
  <c r="W461" i="26" s="1"/>
  <c r="Z461" i="26" s="1"/>
  <c r="P461" i="26"/>
  <c r="N462" i="26"/>
  <c r="V462" i="26" s="1"/>
  <c r="Y462" i="26" s="1"/>
  <c r="O462" i="26"/>
  <c r="W462" i="26" s="1"/>
  <c r="Z462" i="26" s="1"/>
  <c r="P462" i="26"/>
  <c r="N463" i="26"/>
  <c r="V463" i="26" s="1"/>
  <c r="Y463" i="26" s="1"/>
  <c r="O463" i="26"/>
  <c r="W463" i="26" s="1"/>
  <c r="Z463" i="26" s="1"/>
  <c r="P463" i="26"/>
  <c r="N464" i="26"/>
  <c r="V464" i="26" s="1"/>
  <c r="Y464" i="26" s="1"/>
  <c r="O464" i="26"/>
  <c r="W464" i="26" s="1"/>
  <c r="Z464" i="26" s="1"/>
  <c r="P464" i="26"/>
  <c r="N465" i="26"/>
  <c r="V465" i="26" s="1"/>
  <c r="Y465" i="26" s="1"/>
  <c r="O465" i="26"/>
  <c r="W465" i="26" s="1"/>
  <c r="Z465" i="26" s="1"/>
  <c r="P465" i="26"/>
  <c r="N466" i="26"/>
  <c r="V466" i="26" s="1"/>
  <c r="Y466" i="26" s="1"/>
  <c r="O466" i="26"/>
  <c r="W466" i="26" s="1"/>
  <c r="Z466" i="26" s="1"/>
  <c r="P466" i="26"/>
  <c r="N468" i="26"/>
  <c r="V468" i="26" s="1"/>
  <c r="Y468" i="26" s="1"/>
  <c r="O468" i="26"/>
  <c r="W468" i="26" s="1"/>
  <c r="Z468" i="26" s="1"/>
  <c r="P468" i="26"/>
  <c r="N469" i="26"/>
  <c r="V469" i="26" s="1"/>
  <c r="Y469" i="26" s="1"/>
  <c r="O469" i="26"/>
  <c r="W469" i="26" s="1"/>
  <c r="Z469" i="26" s="1"/>
  <c r="P469" i="26"/>
  <c r="N470" i="26"/>
  <c r="V470" i="26" s="1"/>
  <c r="Y470" i="26" s="1"/>
  <c r="O470" i="26"/>
  <c r="W470" i="26" s="1"/>
  <c r="Z470" i="26" s="1"/>
  <c r="P470" i="26"/>
  <c r="N471" i="26"/>
  <c r="V471" i="26" s="1"/>
  <c r="Y471" i="26" s="1"/>
  <c r="O471" i="26"/>
  <c r="W471" i="26" s="1"/>
  <c r="Z471" i="26" s="1"/>
  <c r="P471" i="26"/>
  <c r="N472" i="26"/>
  <c r="V472" i="26" s="1"/>
  <c r="Y472" i="26" s="1"/>
  <c r="O472" i="26"/>
  <c r="W472" i="26" s="1"/>
  <c r="Z472" i="26" s="1"/>
  <c r="P472" i="26"/>
  <c r="N473" i="26"/>
  <c r="V473" i="26" s="1"/>
  <c r="Y473" i="26" s="1"/>
  <c r="O473" i="26"/>
  <c r="W473" i="26" s="1"/>
  <c r="Z473" i="26" s="1"/>
  <c r="P473" i="26"/>
  <c r="N474" i="26"/>
  <c r="V474" i="26" s="1"/>
  <c r="Y474" i="26" s="1"/>
  <c r="O474" i="26"/>
  <c r="W474" i="26" s="1"/>
  <c r="Z474" i="26" s="1"/>
  <c r="P474" i="26"/>
  <c r="N475" i="26"/>
  <c r="V475" i="26" s="1"/>
  <c r="Y475" i="26" s="1"/>
  <c r="O475" i="26"/>
  <c r="W475" i="26" s="1"/>
  <c r="Z475" i="26" s="1"/>
  <c r="P475" i="26"/>
  <c r="N476" i="26"/>
  <c r="V476" i="26" s="1"/>
  <c r="Y476" i="26" s="1"/>
  <c r="O476" i="26"/>
  <c r="W476" i="26" s="1"/>
  <c r="Z476" i="26" s="1"/>
  <c r="P476" i="26"/>
  <c r="N477" i="26"/>
  <c r="V477" i="26" s="1"/>
  <c r="Y477" i="26" s="1"/>
  <c r="O477" i="26"/>
  <c r="W477" i="26" s="1"/>
  <c r="Z477" i="26" s="1"/>
  <c r="P477" i="26"/>
  <c r="N478" i="26"/>
  <c r="V478" i="26" s="1"/>
  <c r="Y478" i="26" s="1"/>
  <c r="O478" i="26"/>
  <c r="W478" i="26" s="1"/>
  <c r="Z478" i="26" s="1"/>
  <c r="P478" i="26"/>
  <c r="N479" i="26"/>
  <c r="V479" i="26" s="1"/>
  <c r="Y479" i="26" s="1"/>
  <c r="O479" i="26"/>
  <c r="W479" i="26" s="1"/>
  <c r="Z479" i="26" s="1"/>
  <c r="P479" i="26"/>
  <c r="N480" i="26"/>
  <c r="V480" i="26" s="1"/>
  <c r="Y480" i="26" s="1"/>
  <c r="O480" i="26"/>
  <c r="W480" i="26" s="1"/>
  <c r="Z480" i="26" s="1"/>
  <c r="P480" i="26"/>
  <c r="N481" i="26"/>
  <c r="V481" i="26" s="1"/>
  <c r="Y481" i="26" s="1"/>
  <c r="O481" i="26"/>
  <c r="W481" i="26" s="1"/>
  <c r="Z481" i="26" s="1"/>
  <c r="P481" i="26"/>
  <c r="N482" i="26"/>
  <c r="V482" i="26" s="1"/>
  <c r="Y482" i="26" s="1"/>
  <c r="O482" i="26"/>
  <c r="W482" i="26" s="1"/>
  <c r="Z482" i="26" s="1"/>
  <c r="P482" i="26"/>
  <c r="N483" i="26"/>
  <c r="V483" i="26" s="1"/>
  <c r="Y483" i="26" s="1"/>
  <c r="O483" i="26"/>
  <c r="W483" i="26" s="1"/>
  <c r="Z483" i="26" s="1"/>
  <c r="P483" i="26"/>
  <c r="N484" i="26"/>
  <c r="V484" i="26" s="1"/>
  <c r="Y484" i="26" s="1"/>
  <c r="O484" i="26"/>
  <c r="W484" i="26" s="1"/>
  <c r="Z484" i="26" s="1"/>
  <c r="P484" i="26"/>
  <c r="N485" i="26"/>
  <c r="V485" i="26" s="1"/>
  <c r="Y485" i="26" s="1"/>
  <c r="O485" i="26"/>
  <c r="W485" i="26" s="1"/>
  <c r="Z485" i="26" s="1"/>
  <c r="P485" i="26"/>
  <c r="N486" i="26"/>
  <c r="V486" i="26" s="1"/>
  <c r="Y486" i="26" s="1"/>
  <c r="O486" i="26"/>
  <c r="W486" i="26" s="1"/>
  <c r="Z486" i="26" s="1"/>
  <c r="P486" i="26"/>
  <c r="N487" i="26"/>
  <c r="V487" i="26" s="1"/>
  <c r="Y487" i="26" s="1"/>
  <c r="O487" i="26"/>
  <c r="W487" i="26" s="1"/>
  <c r="Z487" i="26" s="1"/>
  <c r="P487" i="26"/>
  <c r="N488" i="26"/>
  <c r="V488" i="26" s="1"/>
  <c r="Y488" i="26" s="1"/>
  <c r="O488" i="26"/>
  <c r="W488" i="26" s="1"/>
  <c r="Z488" i="26" s="1"/>
  <c r="P488" i="26"/>
  <c r="N489" i="26"/>
  <c r="V489" i="26" s="1"/>
  <c r="Y489" i="26" s="1"/>
  <c r="O489" i="26"/>
  <c r="W489" i="26" s="1"/>
  <c r="Z489" i="26" s="1"/>
  <c r="P489" i="26"/>
  <c r="N490" i="26"/>
  <c r="V490" i="26" s="1"/>
  <c r="Y490" i="26" s="1"/>
  <c r="O490" i="26"/>
  <c r="W490" i="26" s="1"/>
  <c r="Z490" i="26" s="1"/>
  <c r="P490" i="26"/>
  <c r="N491" i="26"/>
  <c r="V491" i="26" s="1"/>
  <c r="Y491" i="26" s="1"/>
  <c r="O491" i="26"/>
  <c r="W491" i="26" s="1"/>
  <c r="Z491" i="26" s="1"/>
  <c r="P491" i="26"/>
  <c r="N492" i="26"/>
  <c r="V492" i="26" s="1"/>
  <c r="Y492" i="26" s="1"/>
  <c r="O492" i="26"/>
  <c r="W492" i="26" s="1"/>
  <c r="Z492" i="26" s="1"/>
  <c r="P492" i="26"/>
  <c r="N493" i="26"/>
  <c r="V493" i="26" s="1"/>
  <c r="Y493" i="26" s="1"/>
  <c r="O493" i="26"/>
  <c r="W493" i="26" s="1"/>
  <c r="Z493" i="26" s="1"/>
  <c r="P493" i="26"/>
  <c r="N494" i="26"/>
  <c r="V494" i="26" s="1"/>
  <c r="Y494" i="26" s="1"/>
  <c r="O494" i="26"/>
  <c r="W494" i="26" s="1"/>
  <c r="Z494" i="26" s="1"/>
  <c r="P494" i="26"/>
  <c r="N495" i="26"/>
  <c r="V495" i="26" s="1"/>
  <c r="Y495" i="26" s="1"/>
  <c r="O495" i="26"/>
  <c r="W495" i="26" s="1"/>
  <c r="Z495" i="26" s="1"/>
  <c r="P495" i="26"/>
  <c r="N496" i="26"/>
  <c r="V496" i="26" s="1"/>
  <c r="Y496" i="26" s="1"/>
  <c r="O496" i="26"/>
  <c r="W496" i="26" s="1"/>
  <c r="Z496" i="26" s="1"/>
  <c r="P496" i="26"/>
  <c r="N497" i="26"/>
  <c r="V497" i="26" s="1"/>
  <c r="Y497" i="26" s="1"/>
  <c r="O497" i="26"/>
  <c r="W497" i="26" s="1"/>
  <c r="Z497" i="26" s="1"/>
  <c r="P497" i="26"/>
  <c r="N498" i="26"/>
  <c r="V498" i="26" s="1"/>
  <c r="Y498" i="26" s="1"/>
  <c r="O498" i="26"/>
  <c r="W498" i="26" s="1"/>
  <c r="Z498" i="26" s="1"/>
  <c r="P498" i="26"/>
  <c r="N499" i="26"/>
  <c r="V499" i="26" s="1"/>
  <c r="Y499" i="26" s="1"/>
  <c r="O499" i="26"/>
  <c r="W499" i="26" s="1"/>
  <c r="Z499" i="26" s="1"/>
  <c r="P499" i="26"/>
  <c r="N500" i="26"/>
  <c r="V500" i="26" s="1"/>
  <c r="Y500" i="26" s="1"/>
  <c r="O500" i="26"/>
  <c r="W500" i="26" s="1"/>
  <c r="Z500" i="26" s="1"/>
  <c r="P500" i="26"/>
  <c r="N501" i="26"/>
  <c r="V501" i="26" s="1"/>
  <c r="Y501" i="26" s="1"/>
  <c r="O501" i="26"/>
  <c r="W501" i="26" s="1"/>
  <c r="Z501" i="26" s="1"/>
  <c r="P501" i="26"/>
  <c r="N502" i="26"/>
  <c r="V502" i="26" s="1"/>
  <c r="Y502" i="26" s="1"/>
  <c r="O502" i="26"/>
  <c r="W502" i="26" s="1"/>
  <c r="Z502" i="26" s="1"/>
  <c r="P502" i="26"/>
  <c r="N503" i="26"/>
  <c r="V503" i="26" s="1"/>
  <c r="Y503" i="26" s="1"/>
  <c r="O503" i="26"/>
  <c r="W503" i="26" s="1"/>
  <c r="Z503" i="26" s="1"/>
  <c r="P503" i="26"/>
  <c r="N504" i="26"/>
  <c r="V504" i="26" s="1"/>
  <c r="Y504" i="26" s="1"/>
  <c r="O504" i="26"/>
  <c r="W504" i="26" s="1"/>
  <c r="Z504" i="26" s="1"/>
  <c r="P504" i="26"/>
  <c r="N505" i="26"/>
  <c r="V505" i="26" s="1"/>
  <c r="Y505" i="26" s="1"/>
  <c r="O505" i="26"/>
  <c r="W505" i="26" s="1"/>
  <c r="Z505" i="26" s="1"/>
  <c r="P505" i="26"/>
  <c r="N506" i="26"/>
  <c r="V506" i="26" s="1"/>
  <c r="Y506" i="26" s="1"/>
  <c r="O506" i="26"/>
  <c r="W506" i="26" s="1"/>
  <c r="Z506" i="26" s="1"/>
  <c r="P506" i="26"/>
  <c r="N507" i="26"/>
  <c r="V507" i="26" s="1"/>
  <c r="Y507" i="26" s="1"/>
  <c r="O507" i="26"/>
  <c r="W507" i="26" s="1"/>
  <c r="Z507" i="26" s="1"/>
  <c r="P507" i="26"/>
  <c r="N508" i="26"/>
  <c r="V508" i="26" s="1"/>
  <c r="Y508" i="26" s="1"/>
  <c r="O508" i="26"/>
  <c r="W508" i="26" s="1"/>
  <c r="Z508" i="26" s="1"/>
  <c r="P508" i="26"/>
  <c r="N509" i="26"/>
  <c r="V509" i="26" s="1"/>
  <c r="Y509" i="26" s="1"/>
  <c r="O509" i="26"/>
  <c r="W509" i="26" s="1"/>
  <c r="Z509" i="26" s="1"/>
  <c r="P509" i="26"/>
  <c r="N510" i="26"/>
  <c r="V510" i="26" s="1"/>
  <c r="Y510" i="26" s="1"/>
  <c r="O510" i="26"/>
  <c r="W510" i="26" s="1"/>
  <c r="Z510" i="26" s="1"/>
  <c r="P510" i="26"/>
  <c r="N511" i="26"/>
  <c r="V511" i="26" s="1"/>
  <c r="Y511" i="26" s="1"/>
  <c r="O511" i="26"/>
  <c r="W511" i="26" s="1"/>
  <c r="Z511" i="26" s="1"/>
  <c r="P511" i="26"/>
  <c r="N512" i="26"/>
  <c r="V512" i="26" s="1"/>
  <c r="Y512" i="26" s="1"/>
  <c r="O512" i="26"/>
  <c r="W512" i="26" s="1"/>
  <c r="Z512" i="26" s="1"/>
  <c r="P512" i="26"/>
  <c r="N513" i="26"/>
  <c r="V513" i="26" s="1"/>
  <c r="Y513" i="26" s="1"/>
  <c r="O513" i="26"/>
  <c r="W513" i="26" s="1"/>
  <c r="Z513" i="26" s="1"/>
  <c r="P513" i="26"/>
  <c r="N514" i="26"/>
  <c r="V514" i="26" s="1"/>
  <c r="Y514" i="26" s="1"/>
  <c r="O514" i="26"/>
  <c r="W514" i="26" s="1"/>
  <c r="Z514" i="26" s="1"/>
  <c r="P514" i="26"/>
  <c r="N515" i="26"/>
  <c r="V515" i="26" s="1"/>
  <c r="Y515" i="26" s="1"/>
  <c r="O515" i="26"/>
  <c r="W515" i="26" s="1"/>
  <c r="Z515" i="26" s="1"/>
  <c r="P515" i="26"/>
  <c r="N516" i="26"/>
  <c r="V516" i="26" s="1"/>
  <c r="Y516" i="26" s="1"/>
  <c r="O516" i="26"/>
  <c r="W516" i="26" s="1"/>
  <c r="Z516" i="26" s="1"/>
  <c r="P516" i="26"/>
  <c r="N517" i="26"/>
  <c r="V517" i="26" s="1"/>
  <c r="Y517" i="26" s="1"/>
  <c r="O517" i="26"/>
  <c r="W517" i="26" s="1"/>
  <c r="Z517" i="26" s="1"/>
  <c r="P517" i="26"/>
  <c r="N518" i="26"/>
  <c r="V518" i="26" s="1"/>
  <c r="Y518" i="26" s="1"/>
  <c r="O518" i="26"/>
  <c r="W518" i="26" s="1"/>
  <c r="Z518" i="26" s="1"/>
  <c r="P518" i="26"/>
  <c r="N519" i="26"/>
  <c r="V519" i="26" s="1"/>
  <c r="Y519" i="26" s="1"/>
  <c r="O519" i="26"/>
  <c r="W519" i="26" s="1"/>
  <c r="Z519" i="26" s="1"/>
  <c r="P519" i="26"/>
  <c r="N520" i="26"/>
  <c r="V520" i="26" s="1"/>
  <c r="Y520" i="26" s="1"/>
  <c r="O520" i="26"/>
  <c r="W520" i="26" s="1"/>
  <c r="Z520" i="26" s="1"/>
  <c r="P520" i="26"/>
  <c r="N521" i="26"/>
  <c r="V521" i="26" s="1"/>
  <c r="Y521" i="26" s="1"/>
  <c r="O521" i="26"/>
  <c r="W521" i="26" s="1"/>
  <c r="Z521" i="26" s="1"/>
  <c r="P521" i="26"/>
  <c r="N522" i="26"/>
  <c r="V522" i="26" s="1"/>
  <c r="Y522" i="26" s="1"/>
  <c r="O522" i="26"/>
  <c r="W522" i="26" s="1"/>
  <c r="Z522" i="26" s="1"/>
  <c r="P522" i="26"/>
  <c r="N523" i="26"/>
  <c r="V523" i="26" s="1"/>
  <c r="Y523" i="26" s="1"/>
  <c r="O523" i="26"/>
  <c r="W523" i="26" s="1"/>
  <c r="Z523" i="26" s="1"/>
  <c r="P523" i="26"/>
  <c r="N524" i="26"/>
  <c r="V524" i="26" s="1"/>
  <c r="Y524" i="26" s="1"/>
  <c r="O524" i="26"/>
  <c r="W524" i="26" s="1"/>
  <c r="Z524" i="26" s="1"/>
  <c r="P524" i="26"/>
  <c r="N525" i="26"/>
  <c r="V525" i="26" s="1"/>
  <c r="Y525" i="26" s="1"/>
  <c r="O525" i="26"/>
  <c r="W525" i="26" s="1"/>
  <c r="Z525" i="26" s="1"/>
  <c r="P525" i="26"/>
  <c r="N526" i="26"/>
  <c r="V526" i="26" s="1"/>
  <c r="Y526" i="26" s="1"/>
  <c r="O526" i="26"/>
  <c r="W526" i="26" s="1"/>
  <c r="Z526" i="26" s="1"/>
  <c r="P526" i="26"/>
  <c r="N527" i="26"/>
  <c r="V527" i="26" s="1"/>
  <c r="Y527" i="26" s="1"/>
  <c r="O527" i="26"/>
  <c r="W527" i="26" s="1"/>
  <c r="Z527" i="26" s="1"/>
  <c r="P527" i="26"/>
  <c r="N528" i="26"/>
  <c r="V528" i="26" s="1"/>
  <c r="Y528" i="26" s="1"/>
  <c r="O528" i="26"/>
  <c r="W528" i="26" s="1"/>
  <c r="Z528" i="26" s="1"/>
  <c r="P528" i="26"/>
  <c r="N529" i="26"/>
  <c r="V529" i="26" s="1"/>
  <c r="Y529" i="26" s="1"/>
  <c r="O529" i="26"/>
  <c r="W529" i="26" s="1"/>
  <c r="Z529" i="26" s="1"/>
  <c r="P529" i="26"/>
  <c r="N530" i="26"/>
  <c r="V530" i="26" s="1"/>
  <c r="Y530" i="26" s="1"/>
  <c r="O530" i="26"/>
  <c r="W530" i="26" s="1"/>
  <c r="Z530" i="26" s="1"/>
  <c r="P530" i="26"/>
  <c r="N531" i="26"/>
  <c r="V531" i="26" s="1"/>
  <c r="Y531" i="26" s="1"/>
  <c r="O531" i="26"/>
  <c r="W531" i="26" s="1"/>
  <c r="Z531" i="26" s="1"/>
  <c r="P531" i="26"/>
  <c r="N532" i="26"/>
  <c r="V532" i="26" s="1"/>
  <c r="Y532" i="26" s="1"/>
  <c r="O532" i="26"/>
  <c r="W532" i="26" s="1"/>
  <c r="Z532" i="26" s="1"/>
  <c r="P532" i="26"/>
  <c r="N533" i="26"/>
  <c r="V533" i="26" s="1"/>
  <c r="Y533" i="26" s="1"/>
  <c r="O533" i="26"/>
  <c r="W533" i="26" s="1"/>
  <c r="Z533" i="26" s="1"/>
  <c r="P533" i="26"/>
  <c r="N534" i="26"/>
  <c r="V534" i="26" s="1"/>
  <c r="Y534" i="26" s="1"/>
  <c r="O534" i="26"/>
  <c r="W534" i="26" s="1"/>
  <c r="Z534" i="26" s="1"/>
  <c r="P534" i="26"/>
  <c r="N535" i="26"/>
  <c r="V535" i="26" s="1"/>
  <c r="Y535" i="26" s="1"/>
  <c r="O535" i="26"/>
  <c r="W535" i="26" s="1"/>
  <c r="Z535" i="26" s="1"/>
  <c r="P535" i="26"/>
  <c r="N536" i="26"/>
  <c r="V536" i="26" s="1"/>
  <c r="Y536" i="26" s="1"/>
  <c r="O536" i="26"/>
  <c r="W536" i="26" s="1"/>
  <c r="Z536" i="26" s="1"/>
  <c r="P536" i="26"/>
  <c r="N537" i="26"/>
  <c r="V537" i="26" s="1"/>
  <c r="Y537" i="26" s="1"/>
  <c r="O537" i="26"/>
  <c r="W537" i="26" s="1"/>
  <c r="Z537" i="26" s="1"/>
  <c r="P537" i="26"/>
  <c r="N538" i="26"/>
  <c r="V538" i="26" s="1"/>
  <c r="Y538" i="26" s="1"/>
  <c r="O538" i="26"/>
  <c r="W538" i="26" s="1"/>
  <c r="Z538" i="26" s="1"/>
  <c r="P538" i="26"/>
  <c r="N539" i="26"/>
  <c r="V539" i="26" s="1"/>
  <c r="Y539" i="26" s="1"/>
  <c r="O539" i="26"/>
  <c r="W539" i="26" s="1"/>
  <c r="Z539" i="26" s="1"/>
  <c r="P539" i="26"/>
  <c r="N540" i="26"/>
  <c r="V540" i="26" s="1"/>
  <c r="Y540" i="26" s="1"/>
  <c r="O540" i="26"/>
  <c r="W540" i="26" s="1"/>
  <c r="Z540" i="26" s="1"/>
  <c r="P540" i="26"/>
  <c r="N541" i="26"/>
  <c r="V541" i="26" s="1"/>
  <c r="Y541" i="26" s="1"/>
  <c r="O541" i="26"/>
  <c r="W541" i="26" s="1"/>
  <c r="Z541" i="26" s="1"/>
  <c r="P541" i="26"/>
  <c r="N542" i="26"/>
  <c r="V542" i="26" s="1"/>
  <c r="Y542" i="26" s="1"/>
  <c r="O542" i="26"/>
  <c r="W542" i="26" s="1"/>
  <c r="Z542" i="26" s="1"/>
  <c r="P542" i="26"/>
  <c r="N543" i="26"/>
  <c r="V543" i="26" s="1"/>
  <c r="Y543" i="26" s="1"/>
  <c r="O543" i="26"/>
  <c r="W543" i="26" s="1"/>
  <c r="Z543" i="26" s="1"/>
  <c r="P543" i="26"/>
  <c r="N544" i="26"/>
  <c r="V544" i="26" s="1"/>
  <c r="Y544" i="26" s="1"/>
  <c r="O544" i="26"/>
  <c r="W544" i="26" s="1"/>
  <c r="Z544" i="26" s="1"/>
  <c r="P544" i="26"/>
  <c r="N545" i="26"/>
  <c r="V545" i="26" s="1"/>
  <c r="Y545" i="26" s="1"/>
  <c r="O545" i="26"/>
  <c r="W545" i="26" s="1"/>
  <c r="Z545" i="26" s="1"/>
  <c r="P545" i="26"/>
  <c r="N546" i="26"/>
  <c r="V546" i="26" s="1"/>
  <c r="Y546" i="26" s="1"/>
  <c r="O546" i="26"/>
  <c r="W546" i="26" s="1"/>
  <c r="Z546" i="26" s="1"/>
  <c r="P546" i="26"/>
  <c r="N547" i="26"/>
  <c r="V547" i="26" s="1"/>
  <c r="Y547" i="26" s="1"/>
  <c r="O547" i="26"/>
  <c r="W547" i="26" s="1"/>
  <c r="Z547" i="26" s="1"/>
  <c r="P547" i="26"/>
  <c r="N548" i="26"/>
  <c r="V548" i="26" s="1"/>
  <c r="Y548" i="26" s="1"/>
  <c r="O548" i="26"/>
  <c r="W548" i="26" s="1"/>
  <c r="Z548" i="26" s="1"/>
  <c r="P548" i="26"/>
  <c r="N549" i="26"/>
  <c r="V549" i="26" s="1"/>
  <c r="Y549" i="26" s="1"/>
  <c r="O549" i="26"/>
  <c r="W549" i="26" s="1"/>
  <c r="Z549" i="26" s="1"/>
  <c r="P549" i="26"/>
  <c r="N550" i="26"/>
  <c r="V550" i="26" s="1"/>
  <c r="Y550" i="26" s="1"/>
  <c r="O550" i="26"/>
  <c r="W550" i="26" s="1"/>
  <c r="Z550" i="26" s="1"/>
  <c r="P550" i="26"/>
  <c r="N551" i="26"/>
  <c r="V551" i="26" s="1"/>
  <c r="Y551" i="26" s="1"/>
  <c r="O551" i="26"/>
  <c r="W551" i="26" s="1"/>
  <c r="Z551" i="26" s="1"/>
  <c r="P551" i="26"/>
  <c r="N552" i="26"/>
  <c r="V552" i="26" s="1"/>
  <c r="Y552" i="26" s="1"/>
  <c r="O552" i="26"/>
  <c r="W552" i="26" s="1"/>
  <c r="Z552" i="26" s="1"/>
  <c r="P552" i="26"/>
  <c r="N553" i="26"/>
  <c r="V553" i="26" s="1"/>
  <c r="Y553" i="26" s="1"/>
  <c r="O553" i="26"/>
  <c r="W553" i="26" s="1"/>
  <c r="Z553" i="26" s="1"/>
  <c r="P553" i="26"/>
  <c r="N554" i="26"/>
  <c r="V554" i="26" s="1"/>
  <c r="Y554" i="26" s="1"/>
  <c r="O554" i="26"/>
  <c r="W554" i="26" s="1"/>
  <c r="Z554" i="26" s="1"/>
  <c r="P554" i="26"/>
  <c r="N555" i="26"/>
  <c r="V555" i="26" s="1"/>
  <c r="Y555" i="26" s="1"/>
  <c r="O555" i="26"/>
  <c r="W555" i="26" s="1"/>
  <c r="Z555" i="26" s="1"/>
  <c r="P555" i="26"/>
  <c r="N556" i="26"/>
  <c r="V556" i="26" s="1"/>
  <c r="Y556" i="26" s="1"/>
  <c r="O556" i="26"/>
  <c r="W556" i="26" s="1"/>
  <c r="Z556" i="26" s="1"/>
  <c r="P556" i="26"/>
  <c r="N557" i="26"/>
  <c r="V557" i="26" s="1"/>
  <c r="Y557" i="26" s="1"/>
  <c r="O557" i="26"/>
  <c r="W557" i="26" s="1"/>
  <c r="Z557" i="26" s="1"/>
  <c r="P557" i="26"/>
  <c r="N558" i="26"/>
  <c r="V558" i="26" s="1"/>
  <c r="Y558" i="26" s="1"/>
  <c r="O558" i="26"/>
  <c r="W558" i="26" s="1"/>
  <c r="Z558" i="26" s="1"/>
  <c r="P558" i="26"/>
  <c r="N559" i="26"/>
  <c r="V559" i="26" s="1"/>
  <c r="Y559" i="26" s="1"/>
  <c r="O559" i="26"/>
  <c r="W559" i="26" s="1"/>
  <c r="Z559" i="26" s="1"/>
  <c r="P559" i="26"/>
  <c r="N560" i="26"/>
  <c r="V560" i="26" s="1"/>
  <c r="Y560" i="26" s="1"/>
  <c r="O560" i="26"/>
  <c r="W560" i="26" s="1"/>
  <c r="Z560" i="26" s="1"/>
  <c r="P560" i="26"/>
  <c r="N561" i="26"/>
  <c r="V561" i="26" s="1"/>
  <c r="Y561" i="26" s="1"/>
  <c r="O561" i="26"/>
  <c r="W561" i="26" s="1"/>
  <c r="Z561" i="26" s="1"/>
  <c r="P561" i="26"/>
  <c r="N562" i="26"/>
  <c r="V562" i="26" s="1"/>
  <c r="Y562" i="26" s="1"/>
  <c r="O562" i="26"/>
  <c r="W562" i="26" s="1"/>
  <c r="Z562" i="26" s="1"/>
  <c r="P562" i="26"/>
  <c r="N563" i="26"/>
  <c r="V563" i="26" s="1"/>
  <c r="Y563" i="26" s="1"/>
  <c r="O563" i="26"/>
  <c r="W563" i="26" s="1"/>
  <c r="Z563" i="26" s="1"/>
  <c r="P563" i="26"/>
  <c r="N564" i="26"/>
  <c r="V564" i="26" s="1"/>
  <c r="Y564" i="26" s="1"/>
  <c r="O564" i="26"/>
  <c r="W564" i="26" s="1"/>
  <c r="Z564" i="26" s="1"/>
  <c r="P564" i="26"/>
  <c r="N565" i="26"/>
  <c r="V565" i="26" s="1"/>
  <c r="Y565" i="26" s="1"/>
  <c r="O565" i="26"/>
  <c r="W565" i="26" s="1"/>
  <c r="Z565" i="26" s="1"/>
  <c r="P565" i="26"/>
  <c r="N566" i="26"/>
  <c r="V566" i="26" s="1"/>
  <c r="Y566" i="26" s="1"/>
  <c r="O566" i="26"/>
  <c r="W566" i="26" s="1"/>
  <c r="Z566" i="26" s="1"/>
  <c r="P566" i="26"/>
  <c r="N567" i="26"/>
  <c r="V567" i="26" s="1"/>
  <c r="Y567" i="26" s="1"/>
  <c r="O567" i="26"/>
  <c r="W567" i="26" s="1"/>
  <c r="Z567" i="26" s="1"/>
  <c r="P567" i="26"/>
  <c r="N568" i="26"/>
  <c r="V568" i="26" s="1"/>
  <c r="Y568" i="26" s="1"/>
  <c r="O568" i="26"/>
  <c r="W568" i="26" s="1"/>
  <c r="Z568" i="26" s="1"/>
  <c r="P568" i="26"/>
  <c r="N569" i="26"/>
  <c r="V569" i="26" s="1"/>
  <c r="Y569" i="26" s="1"/>
  <c r="O569" i="26"/>
  <c r="W569" i="26" s="1"/>
  <c r="Z569" i="26" s="1"/>
  <c r="P569" i="26"/>
  <c r="N570" i="26"/>
  <c r="V570" i="26" s="1"/>
  <c r="Y570" i="26" s="1"/>
  <c r="O570" i="26"/>
  <c r="W570" i="26" s="1"/>
  <c r="Z570" i="26" s="1"/>
  <c r="P570" i="26"/>
  <c r="N571" i="26"/>
  <c r="V571" i="26" s="1"/>
  <c r="Y571" i="26" s="1"/>
  <c r="O571" i="26"/>
  <c r="W571" i="26" s="1"/>
  <c r="Z571" i="26" s="1"/>
  <c r="P571" i="26"/>
  <c r="N572" i="26"/>
  <c r="V572" i="26" s="1"/>
  <c r="Y572" i="26" s="1"/>
  <c r="O572" i="26"/>
  <c r="W572" i="26" s="1"/>
  <c r="Z572" i="26" s="1"/>
  <c r="P572" i="26"/>
  <c r="N573" i="26"/>
  <c r="V573" i="26" s="1"/>
  <c r="Y573" i="26" s="1"/>
  <c r="O573" i="26"/>
  <c r="W573" i="26" s="1"/>
  <c r="Z573" i="26" s="1"/>
  <c r="P573" i="26"/>
  <c r="N574" i="26"/>
  <c r="V574" i="26" s="1"/>
  <c r="Y574" i="26" s="1"/>
  <c r="O574" i="26"/>
  <c r="W574" i="26" s="1"/>
  <c r="Z574" i="26" s="1"/>
  <c r="P574" i="26"/>
  <c r="N575" i="26"/>
  <c r="V575" i="26" s="1"/>
  <c r="Y575" i="26" s="1"/>
  <c r="O575" i="26"/>
  <c r="W575" i="26" s="1"/>
  <c r="Z575" i="26" s="1"/>
  <c r="P575" i="26"/>
  <c r="N576" i="26"/>
  <c r="V576" i="26" s="1"/>
  <c r="Y576" i="26" s="1"/>
  <c r="O576" i="26"/>
  <c r="W576" i="26" s="1"/>
  <c r="Z576" i="26" s="1"/>
  <c r="P576" i="26"/>
  <c r="N577" i="26"/>
  <c r="V577" i="26" s="1"/>
  <c r="Y577" i="26" s="1"/>
  <c r="O577" i="26"/>
  <c r="W577" i="26" s="1"/>
  <c r="Z577" i="26" s="1"/>
  <c r="P577" i="26"/>
  <c r="N578" i="26"/>
  <c r="V578" i="26" s="1"/>
  <c r="Y578" i="26" s="1"/>
  <c r="O578" i="26"/>
  <c r="W578" i="26" s="1"/>
  <c r="Z578" i="26" s="1"/>
  <c r="P578" i="26"/>
  <c r="N579" i="26"/>
  <c r="V579" i="26" s="1"/>
  <c r="Y579" i="26" s="1"/>
  <c r="O579" i="26"/>
  <c r="W579" i="26" s="1"/>
  <c r="Z579" i="26" s="1"/>
  <c r="P579" i="26"/>
  <c r="N580" i="26"/>
  <c r="V580" i="26" s="1"/>
  <c r="Y580" i="26" s="1"/>
  <c r="O580" i="26"/>
  <c r="W580" i="26" s="1"/>
  <c r="Z580" i="26" s="1"/>
  <c r="P580" i="26"/>
  <c r="N581" i="26"/>
  <c r="V581" i="26" s="1"/>
  <c r="Y581" i="26" s="1"/>
  <c r="O581" i="26"/>
  <c r="W581" i="26" s="1"/>
  <c r="Z581" i="26" s="1"/>
  <c r="P581" i="26"/>
  <c r="N582" i="26"/>
  <c r="V582" i="26" s="1"/>
  <c r="Y582" i="26" s="1"/>
  <c r="O582" i="26"/>
  <c r="W582" i="26" s="1"/>
  <c r="Z582" i="26" s="1"/>
  <c r="P582" i="26"/>
  <c r="N583" i="26"/>
  <c r="V583" i="26" s="1"/>
  <c r="Y583" i="26" s="1"/>
  <c r="O583" i="26"/>
  <c r="W583" i="26" s="1"/>
  <c r="Z583" i="26" s="1"/>
  <c r="P583" i="26"/>
  <c r="N584" i="26"/>
  <c r="V584" i="26" s="1"/>
  <c r="Y584" i="26" s="1"/>
  <c r="O584" i="26"/>
  <c r="W584" i="26" s="1"/>
  <c r="Z584" i="26" s="1"/>
  <c r="P584" i="26"/>
  <c r="N585" i="26"/>
  <c r="V585" i="26" s="1"/>
  <c r="Y585" i="26" s="1"/>
  <c r="O585" i="26"/>
  <c r="W585" i="26" s="1"/>
  <c r="Z585" i="26" s="1"/>
  <c r="P585" i="26"/>
  <c r="N586" i="26"/>
  <c r="V586" i="26" s="1"/>
  <c r="Y586" i="26" s="1"/>
  <c r="O586" i="26"/>
  <c r="W586" i="26" s="1"/>
  <c r="Z586" i="26" s="1"/>
  <c r="P586" i="26"/>
  <c r="N587" i="26"/>
  <c r="V587" i="26" s="1"/>
  <c r="Y587" i="26" s="1"/>
  <c r="O587" i="26"/>
  <c r="W587" i="26" s="1"/>
  <c r="Z587" i="26" s="1"/>
  <c r="P587" i="26"/>
  <c r="N588" i="26"/>
  <c r="V588" i="26" s="1"/>
  <c r="Y588" i="26" s="1"/>
  <c r="O588" i="26"/>
  <c r="W588" i="26" s="1"/>
  <c r="Z588" i="26" s="1"/>
  <c r="P588" i="26"/>
  <c r="N589" i="26"/>
  <c r="V589" i="26" s="1"/>
  <c r="Y589" i="26" s="1"/>
  <c r="O589" i="26"/>
  <c r="W589" i="26" s="1"/>
  <c r="Z589" i="26" s="1"/>
  <c r="P589" i="26"/>
  <c r="N590" i="26"/>
  <c r="V590" i="26" s="1"/>
  <c r="Y590" i="26" s="1"/>
  <c r="O590" i="26"/>
  <c r="W590" i="26" s="1"/>
  <c r="Z590" i="26" s="1"/>
  <c r="P590" i="26"/>
  <c r="N591" i="26"/>
  <c r="V591" i="26" s="1"/>
  <c r="Y591" i="26" s="1"/>
  <c r="O591" i="26"/>
  <c r="W591" i="26" s="1"/>
  <c r="Z591" i="26" s="1"/>
  <c r="P591" i="26"/>
  <c r="N592" i="26"/>
  <c r="V592" i="26" s="1"/>
  <c r="Y592" i="26" s="1"/>
  <c r="O592" i="26"/>
  <c r="W592" i="26" s="1"/>
  <c r="Z592" i="26" s="1"/>
  <c r="P592" i="26"/>
  <c r="N593" i="26"/>
  <c r="V593" i="26" s="1"/>
  <c r="Y593" i="26" s="1"/>
  <c r="O593" i="26"/>
  <c r="W593" i="26" s="1"/>
  <c r="Z593" i="26" s="1"/>
  <c r="P593" i="26"/>
  <c r="N594" i="26"/>
  <c r="V594" i="26" s="1"/>
  <c r="Y594" i="26" s="1"/>
  <c r="O594" i="26"/>
  <c r="W594" i="26" s="1"/>
  <c r="Z594" i="26" s="1"/>
  <c r="P594" i="26"/>
  <c r="N595" i="26"/>
  <c r="V595" i="26" s="1"/>
  <c r="Y595" i="26" s="1"/>
  <c r="O595" i="26"/>
  <c r="W595" i="26" s="1"/>
  <c r="Z595" i="26" s="1"/>
  <c r="P595" i="26"/>
  <c r="N596" i="26"/>
  <c r="V596" i="26" s="1"/>
  <c r="Y596" i="26" s="1"/>
  <c r="O596" i="26"/>
  <c r="W596" i="26" s="1"/>
  <c r="Z596" i="26" s="1"/>
  <c r="P596" i="26"/>
  <c r="N597" i="26"/>
  <c r="V597" i="26" s="1"/>
  <c r="Y597" i="26" s="1"/>
  <c r="O597" i="26"/>
  <c r="W597" i="26" s="1"/>
  <c r="Z597" i="26" s="1"/>
  <c r="P597" i="26"/>
  <c r="N598" i="26"/>
  <c r="V598" i="26" s="1"/>
  <c r="Y598" i="26" s="1"/>
  <c r="O598" i="26"/>
  <c r="W598" i="26" s="1"/>
  <c r="Z598" i="26" s="1"/>
  <c r="P598" i="26"/>
  <c r="N599" i="26"/>
  <c r="V599" i="26" s="1"/>
  <c r="Y599" i="26" s="1"/>
  <c r="O599" i="26"/>
  <c r="W599" i="26" s="1"/>
  <c r="Z599" i="26" s="1"/>
  <c r="P599" i="26"/>
  <c r="N600" i="26"/>
  <c r="V600" i="26" s="1"/>
  <c r="Y600" i="26" s="1"/>
  <c r="O600" i="26"/>
  <c r="W600" i="26" s="1"/>
  <c r="Z600" i="26" s="1"/>
  <c r="P600" i="26"/>
  <c r="N601" i="26"/>
  <c r="V601" i="26" s="1"/>
  <c r="Y601" i="26" s="1"/>
  <c r="O601" i="26"/>
  <c r="W601" i="26" s="1"/>
  <c r="Z601" i="26" s="1"/>
  <c r="P601" i="26"/>
  <c r="N602" i="26"/>
  <c r="V602" i="26" s="1"/>
  <c r="Y602" i="26" s="1"/>
  <c r="O602" i="26"/>
  <c r="W602" i="26" s="1"/>
  <c r="Z602" i="26" s="1"/>
  <c r="P602" i="26"/>
  <c r="N603" i="26"/>
  <c r="V603" i="26" s="1"/>
  <c r="Y603" i="26" s="1"/>
  <c r="O603" i="26"/>
  <c r="W603" i="26" s="1"/>
  <c r="Z603" i="26" s="1"/>
  <c r="P603" i="26"/>
  <c r="N604" i="26"/>
  <c r="V604" i="26" s="1"/>
  <c r="Y604" i="26" s="1"/>
  <c r="O604" i="26"/>
  <c r="W604" i="26" s="1"/>
  <c r="Z604" i="26" s="1"/>
  <c r="P604" i="26"/>
  <c r="N605" i="26"/>
  <c r="V605" i="26" s="1"/>
  <c r="Y605" i="26" s="1"/>
  <c r="O605" i="26"/>
  <c r="W605" i="26" s="1"/>
  <c r="Z605" i="26" s="1"/>
  <c r="P605" i="26"/>
  <c r="N606" i="26"/>
  <c r="V606" i="26" s="1"/>
  <c r="Y606" i="26" s="1"/>
  <c r="O606" i="26"/>
  <c r="W606" i="26" s="1"/>
  <c r="Z606" i="26" s="1"/>
  <c r="P606" i="26"/>
  <c r="N607" i="26"/>
  <c r="V607" i="26" s="1"/>
  <c r="Y607" i="26" s="1"/>
  <c r="O607" i="26"/>
  <c r="W607" i="26" s="1"/>
  <c r="Z607" i="26" s="1"/>
  <c r="P607" i="26"/>
  <c r="N608" i="26"/>
  <c r="V608" i="26" s="1"/>
  <c r="Y608" i="26" s="1"/>
  <c r="O608" i="26"/>
  <c r="W608" i="26" s="1"/>
  <c r="Z608" i="26" s="1"/>
  <c r="P608" i="26"/>
  <c r="N609" i="26"/>
  <c r="V609" i="26" s="1"/>
  <c r="Y609" i="26" s="1"/>
  <c r="O609" i="26"/>
  <c r="W609" i="26" s="1"/>
  <c r="Z609" i="26" s="1"/>
  <c r="P609" i="26"/>
  <c r="N610" i="26"/>
  <c r="V610" i="26" s="1"/>
  <c r="Y610" i="26" s="1"/>
  <c r="O610" i="26"/>
  <c r="W610" i="26" s="1"/>
  <c r="Z610" i="26" s="1"/>
  <c r="P610" i="26"/>
  <c r="N611" i="26"/>
  <c r="V611" i="26" s="1"/>
  <c r="Y611" i="26" s="1"/>
  <c r="O611" i="26"/>
  <c r="W611" i="26" s="1"/>
  <c r="Z611" i="26" s="1"/>
  <c r="P611" i="26"/>
  <c r="N612" i="26"/>
  <c r="V612" i="26" s="1"/>
  <c r="Y612" i="26" s="1"/>
  <c r="O612" i="26"/>
  <c r="W612" i="26" s="1"/>
  <c r="Z612" i="26" s="1"/>
  <c r="P612" i="26"/>
  <c r="N613" i="26"/>
  <c r="V613" i="26" s="1"/>
  <c r="Y613" i="26" s="1"/>
  <c r="O613" i="26"/>
  <c r="W613" i="26" s="1"/>
  <c r="Z613" i="26" s="1"/>
  <c r="P613" i="26"/>
  <c r="N614" i="26"/>
  <c r="V614" i="26" s="1"/>
  <c r="Y614" i="26" s="1"/>
  <c r="O614" i="26"/>
  <c r="W614" i="26" s="1"/>
  <c r="Z614" i="26" s="1"/>
  <c r="P614" i="26"/>
  <c r="N615" i="26"/>
  <c r="V615" i="26" s="1"/>
  <c r="Y615" i="26" s="1"/>
  <c r="O615" i="26"/>
  <c r="W615" i="26" s="1"/>
  <c r="Z615" i="26" s="1"/>
  <c r="P615" i="26"/>
  <c r="N616" i="26"/>
  <c r="V616" i="26" s="1"/>
  <c r="Y616" i="26" s="1"/>
  <c r="O616" i="26"/>
  <c r="W616" i="26" s="1"/>
  <c r="Z616" i="26" s="1"/>
  <c r="P616" i="26"/>
  <c r="N617" i="26"/>
  <c r="V617" i="26" s="1"/>
  <c r="Y617" i="26" s="1"/>
  <c r="O617" i="26"/>
  <c r="W617" i="26" s="1"/>
  <c r="Z617" i="26" s="1"/>
  <c r="P617" i="26"/>
  <c r="N618" i="26"/>
  <c r="V618" i="26" s="1"/>
  <c r="Y618" i="26" s="1"/>
  <c r="O618" i="26"/>
  <c r="W618" i="26" s="1"/>
  <c r="Z618" i="26" s="1"/>
  <c r="P618" i="26"/>
  <c r="N619" i="26"/>
  <c r="V619" i="26" s="1"/>
  <c r="Y619" i="26" s="1"/>
  <c r="O619" i="26"/>
  <c r="W619" i="26" s="1"/>
  <c r="Z619" i="26" s="1"/>
  <c r="P619" i="26"/>
  <c r="N620" i="26"/>
  <c r="V620" i="26" s="1"/>
  <c r="Y620" i="26" s="1"/>
  <c r="O620" i="26"/>
  <c r="W620" i="26" s="1"/>
  <c r="Z620" i="26" s="1"/>
  <c r="P620" i="26"/>
  <c r="N621" i="26"/>
  <c r="V621" i="26" s="1"/>
  <c r="Y621" i="26" s="1"/>
  <c r="O621" i="26"/>
  <c r="W621" i="26" s="1"/>
  <c r="Z621" i="26" s="1"/>
  <c r="P621" i="26"/>
  <c r="N622" i="26"/>
  <c r="V622" i="26" s="1"/>
  <c r="Y622" i="26" s="1"/>
  <c r="O622" i="26"/>
  <c r="W622" i="26" s="1"/>
  <c r="Z622" i="26" s="1"/>
  <c r="P622" i="26"/>
  <c r="N623" i="26"/>
  <c r="V623" i="26" s="1"/>
  <c r="Y623" i="26" s="1"/>
  <c r="O623" i="26"/>
  <c r="W623" i="26" s="1"/>
  <c r="Z623" i="26" s="1"/>
  <c r="P623" i="26"/>
  <c r="N624" i="26"/>
  <c r="V624" i="26" s="1"/>
  <c r="Y624" i="26" s="1"/>
  <c r="O624" i="26"/>
  <c r="W624" i="26" s="1"/>
  <c r="Z624" i="26" s="1"/>
  <c r="P624" i="26"/>
  <c r="N625" i="26"/>
  <c r="V625" i="26" s="1"/>
  <c r="Y625" i="26" s="1"/>
  <c r="O625" i="26"/>
  <c r="W625" i="26" s="1"/>
  <c r="Z625" i="26" s="1"/>
  <c r="P625" i="26"/>
  <c r="N626" i="26"/>
  <c r="V626" i="26" s="1"/>
  <c r="Y626" i="26" s="1"/>
  <c r="O626" i="26"/>
  <c r="W626" i="26" s="1"/>
  <c r="Z626" i="26" s="1"/>
  <c r="P626" i="26"/>
  <c r="N627" i="26"/>
  <c r="V627" i="26" s="1"/>
  <c r="Y627" i="26" s="1"/>
  <c r="O627" i="26"/>
  <c r="W627" i="26" s="1"/>
  <c r="Z627" i="26" s="1"/>
  <c r="P627" i="26"/>
  <c r="N628" i="26"/>
  <c r="V628" i="26" s="1"/>
  <c r="Y628" i="26" s="1"/>
  <c r="O628" i="26"/>
  <c r="W628" i="26" s="1"/>
  <c r="Z628" i="26" s="1"/>
  <c r="P628" i="26"/>
  <c r="N629" i="26"/>
  <c r="V629" i="26" s="1"/>
  <c r="Y629" i="26" s="1"/>
  <c r="O629" i="26"/>
  <c r="W629" i="26" s="1"/>
  <c r="Z629" i="26" s="1"/>
  <c r="P629" i="26"/>
  <c r="N630" i="26"/>
  <c r="V630" i="26" s="1"/>
  <c r="Y630" i="26" s="1"/>
  <c r="O630" i="26"/>
  <c r="W630" i="26" s="1"/>
  <c r="Z630" i="26" s="1"/>
  <c r="P630" i="26"/>
  <c r="N631" i="26"/>
  <c r="V631" i="26" s="1"/>
  <c r="Y631" i="26" s="1"/>
  <c r="O631" i="26"/>
  <c r="W631" i="26" s="1"/>
  <c r="Z631" i="26" s="1"/>
  <c r="P631" i="26"/>
  <c r="N632" i="26"/>
  <c r="V632" i="26" s="1"/>
  <c r="Y632" i="26" s="1"/>
  <c r="O632" i="26"/>
  <c r="W632" i="26" s="1"/>
  <c r="Z632" i="26" s="1"/>
  <c r="P632" i="26"/>
  <c r="N633" i="26"/>
  <c r="V633" i="26" s="1"/>
  <c r="Y633" i="26" s="1"/>
  <c r="O633" i="26"/>
  <c r="W633" i="26" s="1"/>
  <c r="Z633" i="26" s="1"/>
  <c r="P633" i="26"/>
  <c r="N634" i="26"/>
  <c r="V634" i="26" s="1"/>
  <c r="Y634" i="26" s="1"/>
  <c r="O634" i="26"/>
  <c r="W634" i="26" s="1"/>
  <c r="Z634" i="26" s="1"/>
  <c r="P634" i="26"/>
  <c r="N635" i="26"/>
  <c r="V635" i="26" s="1"/>
  <c r="Y635" i="26" s="1"/>
  <c r="O635" i="26"/>
  <c r="W635" i="26" s="1"/>
  <c r="Z635" i="26" s="1"/>
  <c r="P635" i="26"/>
  <c r="N636" i="26"/>
  <c r="V636" i="26" s="1"/>
  <c r="Y636" i="26" s="1"/>
  <c r="O636" i="26"/>
  <c r="W636" i="26" s="1"/>
  <c r="Z636" i="26" s="1"/>
  <c r="P636" i="26"/>
  <c r="N637" i="26"/>
  <c r="V637" i="26" s="1"/>
  <c r="Y637" i="26" s="1"/>
  <c r="O637" i="26"/>
  <c r="W637" i="26" s="1"/>
  <c r="Z637" i="26" s="1"/>
  <c r="P637" i="26"/>
  <c r="N638" i="26"/>
  <c r="V638" i="26" s="1"/>
  <c r="Y638" i="26" s="1"/>
  <c r="O638" i="26"/>
  <c r="W638" i="26" s="1"/>
  <c r="Z638" i="26" s="1"/>
  <c r="P638" i="26"/>
  <c r="N639" i="26"/>
  <c r="V639" i="26" s="1"/>
  <c r="Y639" i="26" s="1"/>
  <c r="O639" i="26"/>
  <c r="W639" i="26" s="1"/>
  <c r="Z639" i="26" s="1"/>
  <c r="P639" i="26"/>
  <c r="N640" i="26"/>
  <c r="V640" i="26" s="1"/>
  <c r="Y640" i="26" s="1"/>
  <c r="O640" i="26"/>
  <c r="W640" i="26" s="1"/>
  <c r="Z640" i="26" s="1"/>
  <c r="P640" i="26"/>
  <c r="N641" i="26"/>
  <c r="V641" i="26" s="1"/>
  <c r="Y641" i="26" s="1"/>
  <c r="O641" i="26"/>
  <c r="W641" i="26" s="1"/>
  <c r="Z641" i="26" s="1"/>
  <c r="P641" i="26"/>
  <c r="N642" i="26"/>
  <c r="V642" i="26" s="1"/>
  <c r="Y642" i="26" s="1"/>
  <c r="O642" i="26"/>
  <c r="W642" i="26" s="1"/>
  <c r="Z642" i="26" s="1"/>
  <c r="P642" i="26"/>
  <c r="N643" i="26"/>
  <c r="V643" i="26" s="1"/>
  <c r="Y643" i="26" s="1"/>
  <c r="O643" i="26"/>
  <c r="W643" i="26" s="1"/>
  <c r="Z643" i="26" s="1"/>
  <c r="P643" i="26"/>
  <c r="N644" i="26"/>
  <c r="V644" i="26" s="1"/>
  <c r="Y644" i="26" s="1"/>
  <c r="O644" i="26"/>
  <c r="W644" i="26" s="1"/>
  <c r="Z644" i="26" s="1"/>
  <c r="P644" i="26"/>
  <c r="N645" i="26"/>
  <c r="V645" i="26" s="1"/>
  <c r="Y645" i="26" s="1"/>
  <c r="O645" i="26"/>
  <c r="W645" i="26" s="1"/>
  <c r="Z645" i="26" s="1"/>
  <c r="P645" i="26"/>
  <c r="N646" i="26"/>
  <c r="V646" i="26" s="1"/>
  <c r="Y646" i="26" s="1"/>
  <c r="O646" i="26"/>
  <c r="W646" i="26" s="1"/>
  <c r="Z646" i="26" s="1"/>
  <c r="P646" i="26"/>
  <c r="N647" i="26"/>
  <c r="V647" i="26" s="1"/>
  <c r="Y647" i="26" s="1"/>
  <c r="O647" i="26"/>
  <c r="W647" i="26" s="1"/>
  <c r="Z647" i="26" s="1"/>
  <c r="P647" i="26"/>
  <c r="N648" i="26"/>
  <c r="V648" i="26" s="1"/>
  <c r="Y648" i="26" s="1"/>
  <c r="O648" i="26"/>
  <c r="W648" i="26" s="1"/>
  <c r="Z648" i="26" s="1"/>
  <c r="P648" i="26"/>
  <c r="N649" i="26"/>
  <c r="V649" i="26" s="1"/>
  <c r="Y649" i="26" s="1"/>
  <c r="O649" i="26"/>
  <c r="W649" i="26" s="1"/>
  <c r="Z649" i="26" s="1"/>
  <c r="P649" i="26"/>
  <c r="N650" i="26"/>
  <c r="V650" i="26" s="1"/>
  <c r="Y650" i="26" s="1"/>
  <c r="O650" i="26"/>
  <c r="W650" i="26" s="1"/>
  <c r="Z650" i="26" s="1"/>
  <c r="P650" i="26"/>
  <c r="N651" i="26"/>
  <c r="V651" i="26" s="1"/>
  <c r="Y651" i="26" s="1"/>
  <c r="O651" i="26"/>
  <c r="W651" i="26" s="1"/>
  <c r="Z651" i="26" s="1"/>
  <c r="P651" i="26"/>
  <c r="N652" i="26"/>
  <c r="V652" i="26" s="1"/>
  <c r="Y652" i="26" s="1"/>
  <c r="O652" i="26"/>
  <c r="W652" i="26" s="1"/>
  <c r="Z652" i="26" s="1"/>
  <c r="P652" i="26"/>
  <c r="N653" i="26"/>
  <c r="V653" i="26" s="1"/>
  <c r="Y653" i="26" s="1"/>
  <c r="O653" i="26"/>
  <c r="W653" i="26" s="1"/>
  <c r="Z653" i="26" s="1"/>
  <c r="P653" i="26"/>
  <c r="N654" i="26"/>
  <c r="V654" i="26" s="1"/>
  <c r="Y654" i="26" s="1"/>
  <c r="O654" i="26"/>
  <c r="W654" i="26" s="1"/>
  <c r="Z654" i="26" s="1"/>
  <c r="P654" i="26"/>
  <c r="N655" i="26"/>
  <c r="V655" i="26" s="1"/>
  <c r="Y655" i="26" s="1"/>
  <c r="O655" i="26"/>
  <c r="W655" i="26" s="1"/>
  <c r="Z655" i="26" s="1"/>
  <c r="P655" i="26"/>
  <c r="N656" i="26"/>
  <c r="V656" i="26" s="1"/>
  <c r="Y656" i="26" s="1"/>
  <c r="O656" i="26"/>
  <c r="W656" i="26" s="1"/>
  <c r="Z656" i="26" s="1"/>
  <c r="P656" i="26"/>
  <c r="N657" i="26"/>
  <c r="V657" i="26" s="1"/>
  <c r="Y657" i="26" s="1"/>
  <c r="O657" i="26"/>
  <c r="W657" i="26" s="1"/>
  <c r="Z657" i="26" s="1"/>
  <c r="P657" i="26"/>
  <c r="N658" i="26"/>
  <c r="V658" i="26" s="1"/>
  <c r="Y658" i="26" s="1"/>
  <c r="O658" i="26"/>
  <c r="W658" i="26" s="1"/>
  <c r="Z658" i="26" s="1"/>
  <c r="P658" i="26"/>
  <c r="N659" i="26"/>
  <c r="V659" i="26" s="1"/>
  <c r="Y659" i="26" s="1"/>
  <c r="O659" i="26"/>
  <c r="W659" i="26" s="1"/>
  <c r="Z659" i="26" s="1"/>
  <c r="P659" i="26"/>
  <c r="N660" i="26"/>
  <c r="V660" i="26" s="1"/>
  <c r="Y660" i="26" s="1"/>
  <c r="O660" i="26"/>
  <c r="W660" i="26" s="1"/>
  <c r="Z660" i="26" s="1"/>
  <c r="P660" i="26"/>
  <c r="N661" i="26"/>
  <c r="V661" i="26" s="1"/>
  <c r="Y661" i="26" s="1"/>
  <c r="O661" i="26"/>
  <c r="W661" i="26" s="1"/>
  <c r="Z661" i="26" s="1"/>
  <c r="P661" i="26"/>
  <c r="N662" i="26"/>
  <c r="V662" i="26" s="1"/>
  <c r="Y662" i="26" s="1"/>
  <c r="O662" i="26"/>
  <c r="W662" i="26" s="1"/>
  <c r="Z662" i="26" s="1"/>
  <c r="P662" i="26"/>
  <c r="N663" i="26"/>
  <c r="V663" i="26" s="1"/>
  <c r="Y663" i="26" s="1"/>
  <c r="O663" i="26"/>
  <c r="W663" i="26" s="1"/>
  <c r="Z663" i="26" s="1"/>
  <c r="P663" i="26"/>
  <c r="N664" i="26"/>
  <c r="V664" i="26" s="1"/>
  <c r="Y664" i="26" s="1"/>
  <c r="O664" i="26"/>
  <c r="W664" i="26" s="1"/>
  <c r="Z664" i="26" s="1"/>
  <c r="P664" i="26"/>
  <c r="N665" i="26"/>
  <c r="V665" i="26" s="1"/>
  <c r="Y665" i="26" s="1"/>
  <c r="O665" i="26"/>
  <c r="W665" i="26" s="1"/>
  <c r="Z665" i="26" s="1"/>
  <c r="P665" i="26"/>
  <c r="N666" i="26"/>
  <c r="V666" i="26" s="1"/>
  <c r="Y666" i="26" s="1"/>
  <c r="O666" i="26"/>
  <c r="W666" i="26" s="1"/>
  <c r="Z666" i="26" s="1"/>
  <c r="P666" i="26"/>
  <c r="N667" i="26"/>
  <c r="V667" i="26" s="1"/>
  <c r="Y667" i="26" s="1"/>
  <c r="O667" i="26"/>
  <c r="W667" i="26" s="1"/>
  <c r="Z667" i="26" s="1"/>
  <c r="P667" i="26"/>
  <c r="N668" i="26"/>
  <c r="V668" i="26" s="1"/>
  <c r="Y668" i="26" s="1"/>
  <c r="O668" i="26"/>
  <c r="W668" i="26" s="1"/>
  <c r="Z668" i="26" s="1"/>
  <c r="P668" i="26"/>
  <c r="N669" i="26"/>
  <c r="V669" i="26" s="1"/>
  <c r="Y669" i="26" s="1"/>
  <c r="O669" i="26"/>
  <c r="W669" i="26" s="1"/>
  <c r="Z669" i="26" s="1"/>
  <c r="P669" i="26"/>
  <c r="N670" i="26"/>
  <c r="V670" i="26" s="1"/>
  <c r="Y670" i="26" s="1"/>
  <c r="O670" i="26"/>
  <c r="W670" i="26" s="1"/>
  <c r="Z670" i="26" s="1"/>
  <c r="P670" i="26"/>
  <c r="N671" i="26"/>
  <c r="V671" i="26" s="1"/>
  <c r="Y671" i="26" s="1"/>
  <c r="O671" i="26"/>
  <c r="W671" i="26" s="1"/>
  <c r="Z671" i="26" s="1"/>
  <c r="P671" i="26"/>
  <c r="N672" i="26"/>
  <c r="V672" i="26" s="1"/>
  <c r="Y672" i="26" s="1"/>
  <c r="O672" i="26"/>
  <c r="W672" i="26" s="1"/>
  <c r="Z672" i="26" s="1"/>
  <c r="P672" i="26"/>
  <c r="N673" i="26"/>
  <c r="V673" i="26" s="1"/>
  <c r="Y673" i="26" s="1"/>
  <c r="O673" i="26"/>
  <c r="W673" i="26" s="1"/>
  <c r="Z673" i="26" s="1"/>
  <c r="P673" i="26"/>
  <c r="N674" i="26"/>
  <c r="V674" i="26" s="1"/>
  <c r="Y674" i="26" s="1"/>
  <c r="O674" i="26"/>
  <c r="W674" i="26" s="1"/>
  <c r="Z674" i="26" s="1"/>
  <c r="P674" i="26"/>
  <c r="N675" i="26"/>
  <c r="V675" i="26" s="1"/>
  <c r="Y675" i="26" s="1"/>
  <c r="O675" i="26"/>
  <c r="W675" i="26" s="1"/>
  <c r="Z675" i="26" s="1"/>
  <c r="P675" i="26"/>
  <c r="N676" i="26"/>
  <c r="V676" i="26" s="1"/>
  <c r="Y676" i="26" s="1"/>
  <c r="O676" i="26"/>
  <c r="W676" i="26" s="1"/>
  <c r="Z676" i="26" s="1"/>
  <c r="P676" i="26"/>
  <c r="N677" i="26"/>
  <c r="V677" i="26" s="1"/>
  <c r="Y677" i="26" s="1"/>
  <c r="O677" i="26"/>
  <c r="W677" i="26" s="1"/>
  <c r="Z677" i="26" s="1"/>
  <c r="P677" i="26"/>
  <c r="N678" i="26"/>
  <c r="V678" i="26" s="1"/>
  <c r="Y678" i="26" s="1"/>
  <c r="O678" i="26"/>
  <c r="W678" i="26" s="1"/>
  <c r="Z678" i="26" s="1"/>
  <c r="P678" i="26"/>
  <c r="N679" i="26"/>
  <c r="V679" i="26" s="1"/>
  <c r="Y679" i="26" s="1"/>
  <c r="O679" i="26"/>
  <c r="W679" i="26" s="1"/>
  <c r="Z679" i="26" s="1"/>
  <c r="P679" i="26"/>
  <c r="N680" i="26"/>
  <c r="V680" i="26" s="1"/>
  <c r="Y680" i="26" s="1"/>
  <c r="O680" i="26"/>
  <c r="W680" i="26" s="1"/>
  <c r="Z680" i="26" s="1"/>
  <c r="P680" i="26"/>
  <c r="N681" i="26"/>
  <c r="V681" i="26" s="1"/>
  <c r="Y681" i="26" s="1"/>
  <c r="O681" i="26"/>
  <c r="W681" i="26" s="1"/>
  <c r="Z681" i="26" s="1"/>
  <c r="P681" i="26"/>
  <c r="N682" i="26"/>
  <c r="V682" i="26" s="1"/>
  <c r="Y682" i="26" s="1"/>
  <c r="O682" i="26"/>
  <c r="W682" i="26" s="1"/>
  <c r="Z682" i="26" s="1"/>
  <c r="P682" i="26"/>
  <c r="N683" i="26"/>
  <c r="V683" i="26" s="1"/>
  <c r="Y683" i="26" s="1"/>
  <c r="O683" i="26"/>
  <c r="W683" i="26" s="1"/>
  <c r="Z683" i="26" s="1"/>
  <c r="P683" i="26"/>
  <c r="N684" i="26"/>
  <c r="V684" i="26" s="1"/>
  <c r="Y684" i="26" s="1"/>
  <c r="O684" i="26"/>
  <c r="W684" i="26" s="1"/>
  <c r="Z684" i="26" s="1"/>
  <c r="P684" i="26"/>
  <c r="N685" i="26"/>
  <c r="V685" i="26" s="1"/>
  <c r="Y685" i="26" s="1"/>
  <c r="O685" i="26"/>
  <c r="W685" i="26" s="1"/>
  <c r="Z685" i="26" s="1"/>
  <c r="P685" i="26"/>
  <c r="N686" i="26"/>
  <c r="V686" i="26" s="1"/>
  <c r="Y686" i="26" s="1"/>
  <c r="O686" i="26"/>
  <c r="W686" i="26" s="1"/>
  <c r="Z686" i="26" s="1"/>
  <c r="P686" i="26"/>
  <c r="N687" i="26"/>
  <c r="V687" i="26" s="1"/>
  <c r="Y687" i="26" s="1"/>
  <c r="O687" i="26"/>
  <c r="W687" i="26" s="1"/>
  <c r="Z687" i="26" s="1"/>
  <c r="P687" i="26"/>
  <c r="N688" i="26"/>
  <c r="V688" i="26" s="1"/>
  <c r="Y688" i="26" s="1"/>
  <c r="O688" i="26"/>
  <c r="W688" i="26" s="1"/>
  <c r="Z688" i="26" s="1"/>
  <c r="P688" i="26"/>
  <c r="N689" i="26"/>
  <c r="V689" i="26" s="1"/>
  <c r="Y689" i="26" s="1"/>
  <c r="O689" i="26"/>
  <c r="W689" i="26" s="1"/>
  <c r="Z689" i="26" s="1"/>
  <c r="P689" i="26"/>
  <c r="N690" i="26"/>
  <c r="V690" i="26" s="1"/>
  <c r="Y690" i="26" s="1"/>
  <c r="O690" i="26"/>
  <c r="W690" i="26" s="1"/>
  <c r="Z690" i="26" s="1"/>
  <c r="P690" i="26"/>
  <c r="N691" i="26"/>
  <c r="V691" i="26" s="1"/>
  <c r="Y691" i="26" s="1"/>
  <c r="O691" i="26"/>
  <c r="W691" i="26" s="1"/>
  <c r="Z691" i="26" s="1"/>
  <c r="P691" i="26"/>
  <c r="N692" i="26"/>
  <c r="V692" i="26" s="1"/>
  <c r="Y692" i="26" s="1"/>
  <c r="O692" i="26"/>
  <c r="W692" i="26" s="1"/>
  <c r="Z692" i="26" s="1"/>
  <c r="P692" i="26"/>
  <c r="N693" i="26"/>
  <c r="V693" i="26" s="1"/>
  <c r="Y693" i="26" s="1"/>
  <c r="O693" i="26"/>
  <c r="AB693" i="26" s="1"/>
  <c r="P693" i="26"/>
  <c r="N694" i="26"/>
  <c r="V694" i="26" s="1"/>
  <c r="Y694" i="26" s="1"/>
  <c r="O694" i="26"/>
  <c r="AB694" i="26" s="1"/>
  <c r="P694" i="26"/>
  <c r="N695" i="26"/>
  <c r="V695" i="26" s="1"/>
  <c r="Y695" i="26" s="1"/>
  <c r="O695" i="26"/>
  <c r="AB695" i="26" s="1"/>
  <c r="P695" i="26"/>
  <c r="N696" i="26"/>
  <c r="V696" i="26" s="1"/>
  <c r="Y696" i="26" s="1"/>
  <c r="O696" i="26"/>
  <c r="AB696" i="26" s="1"/>
  <c r="P696" i="26"/>
  <c r="N697" i="26"/>
  <c r="V697" i="26" s="1"/>
  <c r="Y697" i="26" s="1"/>
  <c r="O697" i="26"/>
  <c r="AB697" i="26" s="1"/>
  <c r="P697" i="26"/>
  <c r="N698" i="26"/>
  <c r="O698" i="26"/>
  <c r="P698" i="26"/>
  <c r="N699" i="26"/>
  <c r="V699" i="26" s="1"/>
  <c r="Y699" i="26" s="1"/>
  <c r="O699" i="26"/>
  <c r="AB699" i="26" s="1"/>
  <c r="P699" i="26"/>
  <c r="N701" i="26"/>
  <c r="V701" i="26" s="1"/>
  <c r="Y701" i="26" s="1"/>
  <c r="O701" i="26"/>
  <c r="AB701" i="26" s="1"/>
  <c r="P701" i="26"/>
  <c r="N702" i="26"/>
  <c r="V702" i="26" s="1"/>
  <c r="Y702" i="26" s="1"/>
  <c r="O702" i="26"/>
  <c r="AB702" i="26" s="1"/>
  <c r="P702" i="26"/>
  <c r="N703" i="26"/>
  <c r="V703" i="26" s="1"/>
  <c r="Y703" i="26" s="1"/>
  <c r="O703" i="26"/>
  <c r="AB703" i="26" s="1"/>
  <c r="P703" i="26"/>
  <c r="N704" i="26"/>
  <c r="V704" i="26" s="1"/>
  <c r="Y704" i="26" s="1"/>
  <c r="O704" i="26"/>
  <c r="AB704" i="26" s="1"/>
  <c r="P704" i="26"/>
  <c r="N705" i="26"/>
  <c r="V705" i="26" s="1"/>
  <c r="Y705" i="26" s="1"/>
  <c r="O705" i="26"/>
  <c r="AB705" i="26" s="1"/>
  <c r="P705" i="26"/>
  <c r="N706" i="26"/>
  <c r="V706" i="26" s="1"/>
  <c r="Y706" i="26" s="1"/>
  <c r="O706" i="26"/>
  <c r="AB706" i="26" s="1"/>
  <c r="P706" i="26"/>
  <c r="N707" i="26"/>
  <c r="V707" i="26" s="1"/>
  <c r="Y707" i="26" s="1"/>
  <c r="O707" i="26"/>
  <c r="W707" i="26" s="1"/>
  <c r="Z707" i="26" s="1"/>
  <c r="P707" i="26"/>
  <c r="N708" i="26"/>
  <c r="V708" i="26" s="1"/>
  <c r="Y708" i="26" s="1"/>
  <c r="O708" i="26"/>
  <c r="AB708" i="26" s="1"/>
  <c r="P708" i="26"/>
  <c r="N709" i="26"/>
  <c r="V709" i="26" s="1"/>
  <c r="Y709" i="26" s="1"/>
  <c r="O709" i="26"/>
  <c r="AB709" i="26" s="1"/>
  <c r="P709" i="26"/>
  <c r="N710" i="26"/>
  <c r="V710" i="26" s="1"/>
  <c r="Y710" i="26" s="1"/>
  <c r="O710" i="26"/>
  <c r="AB710" i="26" s="1"/>
  <c r="P710" i="26"/>
  <c r="N712" i="26"/>
  <c r="V712" i="26" s="1"/>
  <c r="Y712" i="26" s="1"/>
  <c r="O712" i="26"/>
  <c r="AB712" i="26" s="1"/>
  <c r="P712" i="26"/>
  <c r="O6" i="26"/>
  <c r="P6" i="26"/>
  <c r="N6" i="26"/>
  <c r="J7" i="26"/>
  <c r="K7" i="26"/>
  <c r="L7" i="26"/>
  <c r="J8" i="26"/>
  <c r="K8" i="26"/>
  <c r="L8" i="26"/>
  <c r="J9" i="26"/>
  <c r="K9" i="26"/>
  <c r="L9" i="26"/>
  <c r="J10" i="26"/>
  <c r="K10" i="26"/>
  <c r="L10" i="26"/>
  <c r="J11" i="26"/>
  <c r="K11" i="26"/>
  <c r="L11" i="26"/>
  <c r="J12" i="26"/>
  <c r="K12" i="26"/>
  <c r="L12" i="26"/>
  <c r="J13" i="26"/>
  <c r="K13" i="26"/>
  <c r="L13" i="26"/>
  <c r="J14" i="26"/>
  <c r="K14" i="26"/>
  <c r="L14" i="26"/>
  <c r="J15" i="26"/>
  <c r="K15" i="26"/>
  <c r="L15" i="26"/>
  <c r="J16" i="26"/>
  <c r="K16" i="26"/>
  <c r="L16" i="26"/>
  <c r="J17" i="26"/>
  <c r="K17" i="26"/>
  <c r="L17" i="26"/>
  <c r="J18" i="26"/>
  <c r="K18" i="26"/>
  <c r="L18" i="26"/>
  <c r="J19" i="26"/>
  <c r="K19" i="26"/>
  <c r="L19" i="26"/>
  <c r="J20" i="26"/>
  <c r="K20" i="26"/>
  <c r="L20" i="26"/>
  <c r="J21" i="26"/>
  <c r="K21" i="26"/>
  <c r="L21" i="26"/>
  <c r="J22" i="26"/>
  <c r="K22" i="26"/>
  <c r="L22" i="26"/>
  <c r="J23" i="26"/>
  <c r="K23" i="26"/>
  <c r="L23" i="26"/>
  <c r="J24" i="26"/>
  <c r="K24" i="26"/>
  <c r="L24" i="26"/>
  <c r="J25" i="26"/>
  <c r="K25" i="26"/>
  <c r="L25" i="26"/>
  <c r="J26" i="26"/>
  <c r="K26" i="26"/>
  <c r="L26" i="26"/>
  <c r="J27" i="26"/>
  <c r="K27" i="26"/>
  <c r="L27" i="26"/>
  <c r="J28" i="26"/>
  <c r="K28" i="26"/>
  <c r="L28" i="26"/>
  <c r="J29" i="26"/>
  <c r="K29" i="26"/>
  <c r="L29" i="26"/>
  <c r="J30" i="26"/>
  <c r="K30" i="26"/>
  <c r="L30" i="26"/>
  <c r="J31" i="26"/>
  <c r="K31" i="26"/>
  <c r="L31" i="26"/>
  <c r="J32" i="26"/>
  <c r="K32" i="26"/>
  <c r="L32" i="26"/>
  <c r="J33" i="26"/>
  <c r="K33" i="26"/>
  <c r="L33" i="26"/>
  <c r="J34" i="26"/>
  <c r="K34" i="26"/>
  <c r="L34" i="26"/>
  <c r="J35" i="26"/>
  <c r="K35" i="26"/>
  <c r="L35" i="26"/>
  <c r="J36" i="26"/>
  <c r="K36" i="26"/>
  <c r="L36" i="26"/>
  <c r="J37" i="26"/>
  <c r="K37" i="26"/>
  <c r="L37" i="26"/>
  <c r="J38" i="26"/>
  <c r="K38" i="26"/>
  <c r="L38" i="26"/>
  <c r="J39" i="26"/>
  <c r="K39" i="26"/>
  <c r="L39" i="26"/>
  <c r="J40" i="26"/>
  <c r="K40" i="26"/>
  <c r="L40" i="26"/>
  <c r="J41" i="26"/>
  <c r="K41" i="26"/>
  <c r="L41" i="26"/>
  <c r="J42" i="26"/>
  <c r="K42" i="26"/>
  <c r="L42" i="26"/>
  <c r="J43" i="26"/>
  <c r="K43" i="26"/>
  <c r="L43" i="26"/>
  <c r="J44" i="26"/>
  <c r="K44" i="26"/>
  <c r="L44" i="26"/>
  <c r="J45" i="26"/>
  <c r="K45" i="26"/>
  <c r="L45" i="26"/>
  <c r="J46" i="26"/>
  <c r="K46" i="26"/>
  <c r="L46" i="26"/>
  <c r="J47" i="26"/>
  <c r="K47" i="26"/>
  <c r="L47" i="26"/>
  <c r="J48" i="26"/>
  <c r="K48" i="26"/>
  <c r="L48" i="26"/>
  <c r="J49" i="26"/>
  <c r="K49" i="26"/>
  <c r="L49" i="26"/>
  <c r="J50" i="26"/>
  <c r="K50" i="26"/>
  <c r="L50" i="26"/>
  <c r="J51" i="26"/>
  <c r="K51" i="26"/>
  <c r="L51" i="26"/>
  <c r="J52" i="26"/>
  <c r="K52" i="26"/>
  <c r="L52" i="26"/>
  <c r="J53" i="26"/>
  <c r="K53" i="26"/>
  <c r="L53" i="26"/>
  <c r="J54" i="26"/>
  <c r="K54" i="26"/>
  <c r="L54" i="26"/>
  <c r="J55" i="26"/>
  <c r="K55" i="26"/>
  <c r="L55" i="26"/>
  <c r="J56" i="26"/>
  <c r="K56" i="26"/>
  <c r="L56" i="26"/>
  <c r="J57" i="26"/>
  <c r="K57" i="26"/>
  <c r="L57" i="26"/>
  <c r="J58" i="26"/>
  <c r="K58" i="26"/>
  <c r="L58" i="26"/>
  <c r="J59" i="26"/>
  <c r="K59" i="26"/>
  <c r="L59" i="26"/>
  <c r="J60" i="26"/>
  <c r="K60" i="26"/>
  <c r="L60" i="26"/>
  <c r="J61" i="26"/>
  <c r="K61" i="26"/>
  <c r="L61" i="26"/>
  <c r="J62" i="26"/>
  <c r="K62" i="26"/>
  <c r="L62" i="26"/>
  <c r="J63" i="26"/>
  <c r="K63" i="26"/>
  <c r="L63" i="26"/>
  <c r="J64" i="26"/>
  <c r="K64" i="26"/>
  <c r="L64" i="26"/>
  <c r="J65" i="26"/>
  <c r="K65" i="26"/>
  <c r="L65" i="26"/>
  <c r="J66" i="26"/>
  <c r="K66" i="26"/>
  <c r="L66" i="26"/>
  <c r="J67" i="26"/>
  <c r="K67" i="26"/>
  <c r="L67" i="26"/>
  <c r="J68" i="26"/>
  <c r="K68" i="26"/>
  <c r="L68" i="26"/>
  <c r="J69" i="26"/>
  <c r="K69" i="26"/>
  <c r="L69" i="26"/>
  <c r="J70" i="26"/>
  <c r="K70" i="26"/>
  <c r="L70" i="26"/>
  <c r="J71" i="26"/>
  <c r="K71" i="26"/>
  <c r="L71" i="26"/>
  <c r="J72" i="26"/>
  <c r="K72" i="26"/>
  <c r="L72" i="26"/>
  <c r="J73" i="26"/>
  <c r="K73" i="26"/>
  <c r="L73" i="26"/>
  <c r="J74" i="26"/>
  <c r="K74" i="26"/>
  <c r="L74" i="26"/>
  <c r="J75" i="26"/>
  <c r="K75" i="26"/>
  <c r="L75" i="26"/>
  <c r="J76" i="26"/>
  <c r="K76" i="26"/>
  <c r="L76" i="26"/>
  <c r="J77" i="26"/>
  <c r="K77" i="26"/>
  <c r="L77" i="26"/>
  <c r="J78" i="26"/>
  <c r="K78" i="26"/>
  <c r="L78" i="26"/>
  <c r="J79" i="26"/>
  <c r="K79" i="26"/>
  <c r="L79" i="26"/>
  <c r="J80" i="26"/>
  <c r="K80" i="26"/>
  <c r="L80" i="26"/>
  <c r="J81" i="26"/>
  <c r="K81" i="26"/>
  <c r="L81" i="26"/>
  <c r="J82" i="26"/>
  <c r="K82" i="26"/>
  <c r="L82" i="26"/>
  <c r="J83" i="26"/>
  <c r="K83" i="26"/>
  <c r="L83" i="26"/>
  <c r="J84" i="26"/>
  <c r="K84" i="26"/>
  <c r="L84" i="26"/>
  <c r="J85" i="26"/>
  <c r="K85" i="26"/>
  <c r="L85" i="26"/>
  <c r="J86" i="26"/>
  <c r="K86" i="26"/>
  <c r="L86" i="26"/>
  <c r="J87" i="26"/>
  <c r="K87" i="26"/>
  <c r="L87" i="26"/>
  <c r="J88" i="26"/>
  <c r="K88" i="26"/>
  <c r="L88" i="26"/>
  <c r="J89" i="26"/>
  <c r="K89" i="26"/>
  <c r="L89" i="26"/>
  <c r="J90" i="26"/>
  <c r="K90" i="26"/>
  <c r="L90" i="26"/>
  <c r="J91" i="26"/>
  <c r="K91" i="26"/>
  <c r="L91" i="26"/>
  <c r="J92" i="26"/>
  <c r="K92" i="26"/>
  <c r="L92" i="26"/>
  <c r="J93" i="26"/>
  <c r="K93" i="26"/>
  <c r="L93" i="26"/>
  <c r="J94" i="26"/>
  <c r="K94" i="26"/>
  <c r="L94" i="26"/>
  <c r="J95" i="26"/>
  <c r="K95" i="26"/>
  <c r="L95" i="26"/>
  <c r="J96" i="26"/>
  <c r="K96" i="26"/>
  <c r="L96" i="26"/>
  <c r="J97" i="26"/>
  <c r="K97" i="26"/>
  <c r="L97" i="26"/>
  <c r="J98" i="26"/>
  <c r="K98" i="26"/>
  <c r="L98" i="26"/>
  <c r="J99" i="26"/>
  <c r="K99" i="26"/>
  <c r="L99" i="26"/>
  <c r="J100" i="26"/>
  <c r="K100" i="26"/>
  <c r="L100" i="26"/>
  <c r="J101" i="26"/>
  <c r="K101" i="26"/>
  <c r="L101" i="26"/>
  <c r="J102" i="26"/>
  <c r="K102" i="26"/>
  <c r="L102" i="26"/>
  <c r="J103" i="26"/>
  <c r="K103" i="26"/>
  <c r="L103" i="26"/>
  <c r="J104" i="26"/>
  <c r="K104" i="26"/>
  <c r="L104" i="26"/>
  <c r="J105" i="26"/>
  <c r="K105" i="26"/>
  <c r="L105" i="26"/>
  <c r="J106" i="26"/>
  <c r="K106" i="26"/>
  <c r="L106" i="26"/>
  <c r="J107" i="26"/>
  <c r="K107" i="26"/>
  <c r="L107" i="26"/>
  <c r="J108" i="26"/>
  <c r="K108" i="26"/>
  <c r="L108" i="26"/>
  <c r="J109" i="26"/>
  <c r="K109" i="26"/>
  <c r="L109" i="26"/>
  <c r="J110" i="26"/>
  <c r="K110" i="26"/>
  <c r="L110" i="26"/>
  <c r="J111" i="26"/>
  <c r="K111" i="26"/>
  <c r="L111" i="26"/>
  <c r="J112" i="26"/>
  <c r="K112" i="26"/>
  <c r="L112" i="26"/>
  <c r="J113" i="26"/>
  <c r="K113" i="26"/>
  <c r="L113" i="26"/>
  <c r="J114" i="26"/>
  <c r="K114" i="26"/>
  <c r="L114" i="26"/>
  <c r="J115" i="26"/>
  <c r="K115" i="26"/>
  <c r="L115" i="26"/>
  <c r="J116" i="26"/>
  <c r="K116" i="26"/>
  <c r="L116" i="26"/>
  <c r="J117" i="26"/>
  <c r="K117" i="26"/>
  <c r="L117" i="26"/>
  <c r="J118" i="26"/>
  <c r="K118" i="26"/>
  <c r="L118" i="26"/>
  <c r="J119" i="26"/>
  <c r="K119" i="26"/>
  <c r="L119" i="26"/>
  <c r="J120" i="26"/>
  <c r="K120" i="26"/>
  <c r="L120" i="26"/>
  <c r="J121" i="26"/>
  <c r="K121" i="26"/>
  <c r="L121" i="26"/>
  <c r="J122" i="26"/>
  <c r="K122" i="26"/>
  <c r="L122" i="26"/>
  <c r="J123" i="26"/>
  <c r="K123" i="26"/>
  <c r="L123" i="26"/>
  <c r="J124" i="26"/>
  <c r="K124" i="26"/>
  <c r="L124" i="26"/>
  <c r="J125" i="26"/>
  <c r="K125" i="26"/>
  <c r="L125" i="26"/>
  <c r="J126" i="26"/>
  <c r="K126" i="26"/>
  <c r="L126" i="26"/>
  <c r="J127" i="26"/>
  <c r="K127" i="26"/>
  <c r="L127" i="26"/>
  <c r="J128" i="26"/>
  <c r="K128" i="26"/>
  <c r="L128" i="26"/>
  <c r="J129" i="26"/>
  <c r="K129" i="26"/>
  <c r="L129" i="26"/>
  <c r="J130" i="26"/>
  <c r="K130" i="26"/>
  <c r="L130" i="26"/>
  <c r="J131" i="26"/>
  <c r="K131" i="26"/>
  <c r="L131" i="26"/>
  <c r="J132" i="26"/>
  <c r="K132" i="26"/>
  <c r="L132" i="26"/>
  <c r="J133" i="26"/>
  <c r="K133" i="26"/>
  <c r="L133" i="26"/>
  <c r="J134" i="26"/>
  <c r="K134" i="26"/>
  <c r="L134" i="26"/>
  <c r="J135" i="26"/>
  <c r="K135" i="26"/>
  <c r="L135" i="26"/>
  <c r="J136" i="26"/>
  <c r="K136" i="26"/>
  <c r="L136" i="26"/>
  <c r="J137" i="26"/>
  <c r="K137" i="26"/>
  <c r="L137" i="26"/>
  <c r="J138" i="26"/>
  <c r="K138" i="26"/>
  <c r="L138" i="26"/>
  <c r="J139" i="26"/>
  <c r="K139" i="26"/>
  <c r="L139" i="26"/>
  <c r="J140" i="26"/>
  <c r="K140" i="26"/>
  <c r="L140" i="26"/>
  <c r="J141" i="26"/>
  <c r="K141" i="26"/>
  <c r="L141" i="26"/>
  <c r="J142" i="26"/>
  <c r="K142" i="26"/>
  <c r="L142" i="26"/>
  <c r="J143" i="26"/>
  <c r="K143" i="26"/>
  <c r="L143" i="26"/>
  <c r="J144" i="26"/>
  <c r="K144" i="26"/>
  <c r="L144" i="26"/>
  <c r="J145" i="26"/>
  <c r="K145" i="26"/>
  <c r="L145" i="26"/>
  <c r="J146" i="26"/>
  <c r="K146" i="26"/>
  <c r="L146" i="26"/>
  <c r="J147" i="26"/>
  <c r="K147" i="26"/>
  <c r="L147" i="26"/>
  <c r="J148" i="26"/>
  <c r="K148" i="26"/>
  <c r="L148" i="26"/>
  <c r="J149" i="26"/>
  <c r="K149" i="26"/>
  <c r="L149" i="26"/>
  <c r="J150" i="26"/>
  <c r="K150" i="26"/>
  <c r="L150" i="26"/>
  <c r="J151" i="26"/>
  <c r="K151" i="26"/>
  <c r="L151" i="26"/>
  <c r="J152" i="26"/>
  <c r="K152" i="26"/>
  <c r="L152" i="26"/>
  <c r="J153" i="26"/>
  <c r="K153" i="26"/>
  <c r="L153" i="26"/>
  <c r="J154" i="26"/>
  <c r="K154" i="26"/>
  <c r="L154" i="26"/>
  <c r="J155" i="26"/>
  <c r="K155" i="26"/>
  <c r="L155" i="26"/>
  <c r="J156" i="26"/>
  <c r="K156" i="26"/>
  <c r="L156" i="26"/>
  <c r="J157" i="26"/>
  <c r="K157" i="26"/>
  <c r="L157" i="26"/>
  <c r="J158" i="26"/>
  <c r="K158" i="26"/>
  <c r="L158" i="26"/>
  <c r="J159" i="26"/>
  <c r="K159" i="26"/>
  <c r="L159" i="26"/>
  <c r="J160" i="26"/>
  <c r="K160" i="26"/>
  <c r="L160" i="26"/>
  <c r="J161" i="26"/>
  <c r="K161" i="26"/>
  <c r="L161" i="26"/>
  <c r="J162" i="26"/>
  <c r="K162" i="26"/>
  <c r="L162" i="26"/>
  <c r="J163" i="26"/>
  <c r="K163" i="26"/>
  <c r="L163" i="26"/>
  <c r="J164" i="26"/>
  <c r="K164" i="26"/>
  <c r="L164" i="26"/>
  <c r="J165" i="26"/>
  <c r="K165" i="26"/>
  <c r="L165" i="26"/>
  <c r="J166" i="26"/>
  <c r="K166" i="26"/>
  <c r="L166" i="26"/>
  <c r="J167" i="26"/>
  <c r="K167" i="26"/>
  <c r="L167" i="26"/>
  <c r="J168" i="26"/>
  <c r="K168" i="26"/>
  <c r="L168" i="26"/>
  <c r="J169" i="26"/>
  <c r="K169" i="26"/>
  <c r="L169" i="26"/>
  <c r="J170" i="26"/>
  <c r="K170" i="26"/>
  <c r="L170" i="26"/>
  <c r="J171" i="26"/>
  <c r="K171" i="26"/>
  <c r="L171" i="26"/>
  <c r="J172" i="26"/>
  <c r="K172" i="26"/>
  <c r="L172" i="26"/>
  <c r="J173" i="26"/>
  <c r="K173" i="26"/>
  <c r="L173" i="26"/>
  <c r="J174" i="26"/>
  <c r="K174" i="26"/>
  <c r="L174" i="26"/>
  <c r="J175" i="26"/>
  <c r="K175" i="26"/>
  <c r="L175" i="26"/>
  <c r="J176" i="26"/>
  <c r="K176" i="26"/>
  <c r="L176" i="26"/>
  <c r="J177" i="26"/>
  <c r="K177" i="26"/>
  <c r="L177" i="26"/>
  <c r="J178" i="26"/>
  <c r="K178" i="26"/>
  <c r="L178" i="26"/>
  <c r="J179" i="26"/>
  <c r="K179" i="26"/>
  <c r="L179" i="26"/>
  <c r="J180" i="26"/>
  <c r="K180" i="26"/>
  <c r="L180" i="26"/>
  <c r="J181" i="26"/>
  <c r="K181" i="26"/>
  <c r="L181" i="26"/>
  <c r="J182" i="26"/>
  <c r="K182" i="26"/>
  <c r="L182" i="26"/>
  <c r="J183" i="26"/>
  <c r="K183" i="26"/>
  <c r="L183" i="26"/>
  <c r="J184" i="26"/>
  <c r="K184" i="26"/>
  <c r="L184" i="26"/>
  <c r="J185" i="26"/>
  <c r="K185" i="26"/>
  <c r="L185" i="26"/>
  <c r="J186" i="26"/>
  <c r="K186" i="26"/>
  <c r="L186" i="26"/>
  <c r="J187" i="26"/>
  <c r="K187" i="26"/>
  <c r="L187" i="26"/>
  <c r="J188" i="26"/>
  <c r="K188" i="26"/>
  <c r="L188" i="26"/>
  <c r="J189" i="26"/>
  <c r="K189" i="26"/>
  <c r="L189" i="26"/>
  <c r="J190" i="26"/>
  <c r="K190" i="26"/>
  <c r="L190" i="26"/>
  <c r="J191" i="26"/>
  <c r="K191" i="26"/>
  <c r="L191" i="26"/>
  <c r="J192" i="26"/>
  <c r="K192" i="26"/>
  <c r="L192" i="26"/>
  <c r="J193" i="26"/>
  <c r="K193" i="26"/>
  <c r="L193" i="26"/>
  <c r="J194" i="26"/>
  <c r="K194" i="26"/>
  <c r="L194" i="26"/>
  <c r="J195" i="26"/>
  <c r="K195" i="26"/>
  <c r="L195" i="26"/>
  <c r="J196" i="26"/>
  <c r="K196" i="26"/>
  <c r="L196" i="26"/>
  <c r="J197" i="26"/>
  <c r="K197" i="26"/>
  <c r="L197" i="26"/>
  <c r="J198" i="26"/>
  <c r="K198" i="26"/>
  <c r="L198" i="26"/>
  <c r="J199" i="26"/>
  <c r="K199" i="26"/>
  <c r="L199" i="26"/>
  <c r="J200" i="26"/>
  <c r="K200" i="26"/>
  <c r="L200" i="26"/>
  <c r="J201" i="26"/>
  <c r="K201" i="26"/>
  <c r="L201" i="26"/>
  <c r="J202" i="26"/>
  <c r="K202" i="26"/>
  <c r="L202" i="26"/>
  <c r="J203" i="26"/>
  <c r="K203" i="26"/>
  <c r="L203" i="26"/>
  <c r="J204" i="26"/>
  <c r="K204" i="26"/>
  <c r="L204" i="26"/>
  <c r="J205" i="26"/>
  <c r="K205" i="26"/>
  <c r="L205" i="26"/>
  <c r="J206" i="26"/>
  <c r="K206" i="26"/>
  <c r="L206" i="26"/>
  <c r="J207" i="26"/>
  <c r="K207" i="26"/>
  <c r="L207" i="26"/>
  <c r="J208" i="26"/>
  <c r="K208" i="26"/>
  <c r="L208" i="26"/>
  <c r="J209" i="26"/>
  <c r="K209" i="26"/>
  <c r="L209" i="26"/>
  <c r="J210" i="26"/>
  <c r="K210" i="26"/>
  <c r="L210" i="26"/>
  <c r="J211" i="26"/>
  <c r="K211" i="26"/>
  <c r="L211" i="26"/>
  <c r="J212" i="26"/>
  <c r="K212" i="26"/>
  <c r="L212" i="26"/>
  <c r="J213" i="26"/>
  <c r="K213" i="26"/>
  <c r="L213" i="26"/>
  <c r="J214" i="26"/>
  <c r="K214" i="26"/>
  <c r="L214" i="26"/>
  <c r="J215" i="26"/>
  <c r="K215" i="26"/>
  <c r="L215" i="26"/>
  <c r="J216" i="26"/>
  <c r="K216" i="26"/>
  <c r="L216" i="26"/>
  <c r="J217" i="26"/>
  <c r="K217" i="26"/>
  <c r="L217" i="26"/>
  <c r="J218" i="26"/>
  <c r="K218" i="26"/>
  <c r="L218" i="26"/>
  <c r="J219" i="26"/>
  <c r="K219" i="26"/>
  <c r="L219" i="26"/>
  <c r="J220" i="26"/>
  <c r="K220" i="26"/>
  <c r="L220" i="26"/>
  <c r="J221" i="26"/>
  <c r="K221" i="26"/>
  <c r="L221" i="26"/>
  <c r="J222" i="26"/>
  <c r="K222" i="26"/>
  <c r="L222" i="26"/>
  <c r="J223" i="26"/>
  <c r="K223" i="26"/>
  <c r="L223" i="26"/>
  <c r="J224" i="26"/>
  <c r="K224" i="26"/>
  <c r="L224" i="26"/>
  <c r="J225" i="26"/>
  <c r="K225" i="26"/>
  <c r="L225" i="26"/>
  <c r="J226" i="26"/>
  <c r="K226" i="26"/>
  <c r="L226" i="26"/>
  <c r="J227" i="26"/>
  <c r="K227" i="26"/>
  <c r="L227" i="26"/>
  <c r="J228" i="26"/>
  <c r="K228" i="26"/>
  <c r="L228" i="26"/>
  <c r="J229" i="26"/>
  <c r="K229" i="26"/>
  <c r="L229" i="26"/>
  <c r="J230" i="26"/>
  <c r="K230" i="26"/>
  <c r="L230" i="26"/>
  <c r="J231" i="26"/>
  <c r="K231" i="26"/>
  <c r="L231" i="26"/>
  <c r="J232" i="26"/>
  <c r="K232" i="26"/>
  <c r="L232" i="26"/>
  <c r="J233" i="26"/>
  <c r="K233" i="26"/>
  <c r="L233" i="26"/>
  <c r="J234" i="26"/>
  <c r="K234" i="26"/>
  <c r="L234" i="26"/>
  <c r="J235" i="26"/>
  <c r="K235" i="26"/>
  <c r="L235" i="26"/>
  <c r="J236" i="26"/>
  <c r="K236" i="26"/>
  <c r="L236" i="26"/>
  <c r="J237" i="26"/>
  <c r="K237" i="26"/>
  <c r="L237" i="26"/>
  <c r="J238" i="26"/>
  <c r="K238" i="26"/>
  <c r="L238" i="26"/>
  <c r="J239" i="26"/>
  <c r="K239" i="26"/>
  <c r="L239" i="26"/>
  <c r="J240" i="26"/>
  <c r="K240" i="26"/>
  <c r="L240" i="26"/>
  <c r="J241" i="26"/>
  <c r="K241" i="26"/>
  <c r="L241" i="26"/>
  <c r="J242" i="26"/>
  <c r="K242" i="26"/>
  <c r="L242" i="26"/>
  <c r="J243" i="26"/>
  <c r="K243" i="26"/>
  <c r="L243" i="26"/>
  <c r="J244" i="26"/>
  <c r="K244" i="26"/>
  <c r="L244" i="26"/>
  <c r="J245" i="26"/>
  <c r="K245" i="26"/>
  <c r="L245" i="26"/>
  <c r="J246" i="26"/>
  <c r="K246" i="26"/>
  <c r="L246" i="26"/>
  <c r="J247" i="26"/>
  <c r="K247" i="26"/>
  <c r="L247" i="26"/>
  <c r="J248" i="26"/>
  <c r="K248" i="26"/>
  <c r="L248" i="26"/>
  <c r="J249" i="26"/>
  <c r="K249" i="26"/>
  <c r="L249" i="26"/>
  <c r="J250" i="26"/>
  <c r="K250" i="26"/>
  <c r="L250" i="26"/>
  <c r="J251" i="26"/>
  <c r="K251" i="26"/>
  <c r="L251" i="26"/>
  <c r="J252" i="26"/>
  <c r="K252" i="26"/>
  <c r="L252" i="26"/>
  <c r="J253" i="26"/>
  <c r="K253" i="26"/>
  <c r="L253" i="26"/>
  <c r="J254" i="26"/>
  <c r="K254" i="26"/>
  <c r="L254" i="26"/>
  <c r="J255" i="26"/>
  <c r="K255" i="26"/>
  <c r="L255" i="26"/>
  <c r="J256" i="26"/>
  <c r="K256" i="26"/>
  <c r="L256" i="26"/>
  <c r="J257" i="26"/>
  <c r="K257" i="26"/>
  <c r="L257" i="26"/>
  <c r="J258" i="26"/>
  <c r="K258" i="26"/>
  <c r="L258" i="26"/>
  <c r="J259" i="26"/>
  <c r="K259" i="26"/>
  <c r="L259" i="26"/>
  <c r="J260" i="26"/>
  <c r="K260" i="26"/>
  <c r="L260" i="26"/>
  <c r="J261" i="26"/>
  <c r="K261" i="26"/>
  <c r="L261" i="26"/>
  <c r="J262" i="26"/>
  <c r="K262" i="26"/>
  <c r="L262" i="26"/>
  <c r="J263" i="26"/>
  <c r="K263" i="26"/>
  <c r="L263" i="26"/>
  <c r="J264" i="26"/>
  <c r="K264" i="26"/>
  <c r="L264" i="26"/>
  <c r="J265" i="26"/>
  <c r="K265" i="26"/>
  <c r="L265" i="26"/>
  <c r="J266" i="26"/>
  <c r="K266" i="26"/>
  <c r="L266" i="26"/>
  <c r="J267" i="26"/>
  <c r="K267" i="26"/>
  <c r="L267" i="26"/>
  <c r="J268" i="26"/>
  <c r="K268" i="26"/>
  <c r="L268" i="26"/>
  <c r="J269" i="26"/>
  <c r="K269" i="26"/>
  <c r="L269" i="26"/>
  <c r="J270" i="26"/>
  <c r="K270" i="26"/>
  <c r="L270" i="26"/>
  <c r="J271" i="26"/>
  <c r="K271" i="26"/>
  <c r="L271" i="26"/>
  <c r="J272" i="26"/>
  <c r="K272" i="26"/>
  <c r="L272" i="26"/>
  <c r="J273" i="26"/>
  <c r="K273" i="26"/>
  <c r="L273" i="26"/>
  <c r="J274" i="26"/>
  <c r="K274" i="26"/>
  <c r="L274" i="26"/>
  <c r="J275" i="26"/>
  <c r="K275" i="26"/>
  <c r="L275" i="26"/>
  <c r="J276" i="26"/>
  <c r="K276" i="26"/>
  <c r="L276" i="26"/>
  <c r="J277" i="26"/>
  <c r="K277" i="26"/>
  <c r="L277" i="26"/>
  <c r="J278" i="26"/>
  <c r="K278" i="26"/>
  <c r="L278" i="26"/>
  <c r="J279" i="26"/>
  <c r="K279" i="26"/>
  <c r="L279" i="26"/>
  <c r="J280" i="26"/>
  <c r="K280" i="26"/>
  <c r="L280" i="26"/>
  <c r="J281" i="26"/>
  <c r="K281" i="26"/>
  <c r="L281" i="26"/>
  <c r="J282" i="26"/>
  <c r="K282" i="26"/>
  <c r="L282" i="26"/>
  <c r="J283" i="26"/>
  <c r="K283" i="26"/>
  <c r="L283" i="26"/>
  <c r="J284" i="26"/>
  <c r="K284" i="26"/>
  <c r="L284" i="26"/>
  <c r="J285" i="26"/>
  <c r="K285" i="26"/>
  <c r="L285" i="26"/>
  <c r="J286" i="26"/>
  <c r="K286" i="26"/>
  <c r="L286" i="26"/>
  <c r="J287" i="26"/>
  <c r="K287" i="26"/>
  <c r="L287" i="26"/>
  <c r="J288" i="26"/>
  <c r="K288" i="26"/>
  <c r="L288" i="26"/>
  <c r="J289" i="26"/>
  <c r="K289" i="26"/>
  <c r="L289" i="26"/>
  <c r="J290" i="26"/>
  <c r="K290" i="26"/>
  <c r="L290" i="26"/>
  <c r="J291" i="26"/>
  <c r="K291" i="26"/>
  <c r="L291" i="26"/>
  <c r="J292" i="26"/>
  <c r="K292" i="26"/>
  <c r="L292" i="26"/>
  <c r="J293" i="26"/>
  <c r="K293" i="26"/>
  <c r="L293" i="26"/>
  <c r="J294" i="26"/>
  <c r="K294" i="26"/>
  <c r="L294" i="26"/>
  <c r="J295" i="26"/>
  <c r="K295" i="26"/>
  <c r="L295" i="26"/>
  <c r="J296" i="26"/>
  <c r="K296" i="26"/>
  <c r="L296" i="26"/>
  <c r="J297" i="26"/>
  <c r="K297" i="26"/>
  <c r="L297" i="26"/>
  <c r="J298" i="26"/>
  <c r="K298" i="26"/>
  <c r="L298" i="26"/>
  <c r="J299" i="26"/>
  <c r="K299" i="26"/>
  <c r="L299" i="26"/>
  <c r="J300" i="26"/>
  <c r="K300" i="26"/>
  <c r="L300" i="26"/>
  <c r="J301" i="26"/>
  <c r="K301" i="26"/>
  <c r="L301" i="26"/>
  <c r="J302" i="26"/>
  <c r="K302" i="26"/>
  <c r="L302" i="26"/>
  <c r="J303" i="26"/>
  <c r="K303" i="26"/>
  <c r="L303" i="26"/>
  <c r="J304" i="26"/>
  <c r="K304" i="26"/>
  <c r="L304" i="26"/>
  <c r="J305" i="26"/>
  <c r="K305" i="26"/>
  <c r="L305" i="26"/>
  <c r="J306" i="26"/>
  <c r="K306" i="26"/>
  <c r="L306" i="26"/>
  <c r="J307" i="26"/>
  <c r="K307" i="26"/>
  <c r="L307" i="26"/>
  <c r="J308" i="26"/>
  <c r="K308" i="26"/>
  <c r="L308" i="26"/>
  <c r="J309" i="26"/>
  <c r="K309" i="26"/>
  <c r="L309" i="26"/>
  <c r="J310" i="26"/>
  <c r="K310" i="26"/>
  <c r="L310" i="26"/>
  <c r="J311" i="26"/>
  <c r="K311" i="26"/>
  <c r="L311" i="26"/>
  <c r="J312" i="26"/>
  <c r="K312" i="26"/>
  <c r="L312" i="26"/>
  <c r="J313" i="26"/>
  <c r="K313" i="26"/>
  <c r="L313" i="26"/>
  <c r="J314" i="26"/>
  <c r="K314" i="26"/>
  <c r="L314" i="26"/>
  <c r="J315" i="26"/>
  <c r="K315" i="26"/>
  <c r="L315" i="26"/>
  <c r="J316" i="26"/>
  <c r="K316" i="26"/>
  <c r="L316" i="26"/>
  <c r="J317" i="26"/>
  <c r="K317" i="26"/>
  <c r="L317" i="26"/>
  <c r="J318" i="26"/>
  <c r="K318" i="26"/>
  <c r="L318" i="26"/>
  <c r="J319" i="26"/>
  <c r="K319" i="26"/>
  <c r="L319" i="26"/>
  <c r="J320" i="26"/>
  <c r="K320" i="26"/>
  <c r="L320" i="26"/>
  <c r="J321" i="26"/>
  <c r="K321" i="26"/>
  <c r="L321" i="26"/>
  <c r="J322" i="26"/>
  <c r="K322" i="26"/>
  <c r="L322" i="26"/>
  <c r="J323" i="26"/>
  <c r="K323" i="26"/>
  <c r="L323" i="26"/>
  <c r="J324" i="26"/>
  <c r="K324" i="26"/>
  <c r="L324" i="26"/>
  <c r="J325" i="26"/>
  <c r="K325" i="26"/>
  <c r="L325" i="26"/>
  <c r="J326" i="26"/>
  <c r="K326" i="26"/>
  <c r="L326" i="26"/>
  <c r="J327" i="26"/>
  <c r="K327" i="26"/>
  <c r="L327" i="26"/>
  <c r="J328" i="26"/>
  <c r="K328" i="26"/>
  <c r="L328" i="26"/>
  <c r="J329" i="26"/>
  <c r="K329" i="26"/>
  <c r="L329" i="26"/>
  <c r="J330" i="26"/>
  <c r="K330" i="26"/>
  <c r="L330" i="26"/>
  <c r="J331" i="26"/>
  <c r="K331" i="26"/>
  <c r="L331" i="26"/>
  <c r="J332" i="26"/>
  <c r="K332" i="26"/>
  <c r="L332" i="26"/>
  <c r="J333" i="26"/>
  <c r="K333" i="26"/>
  <c r="L333" i="26"/>
  <c r="J334" i="26"/>
  <c r="K334" i="26"/>
  <c r="L334" i="26"/>
  <c r="J335" i="26"/>
  <c r="K335" i="26"/>
  <c r="L335" i="26"/>
  <c r="J336" i="26"/>
  <c r="K336" i="26"/>
  <c r="L336" i="26"/>
  <c r="J337" i="26"/>
  <c r="K337" i="26"/>
  <c r="L337" i="26"/>
  <c r="J338" i="26"/>
  <c r="K338" i="26"/>
  <c r="L338" i="26"/>
  <c r="J339" i="26"/>
  <c r="K339" i="26"/>
  <c r="L339" i="26"/>
  <c r="J340" i="26"/>
  <c r="K340" i="26"/>
  <c r="L340" i="26"/>
  <c r="J341" i="26"/>
  <c r="K341" i="26"/>
  <c r="L341" i="26"/>
  <c r="J342" i="26"/>
  <c r="K342" i="26"/>
  <c r="L342" i="26"/>
  <c r="J343" i="26"/>
  <c r="K343" i="26"/>
  <c r="L343" i="26"/>
  <c r="J344" i="26"/>
  <c r="K344" i="26"/>
  <c r="L344" i="26"/>
  <c r="J345" i="26"/>
  <c r="K345" i="26"/>
  <c r="L345" i="26"/>
  <c r="J346" i="26"/>
  <c r="K346" i="26"/>
  <c r="L346" i="26"/>
  <c r="J347" i="26"/>
  <c r="K347" i="26"/>
  <c r="L347" i="26"/>
  <c r="J348" i="26"/>
  <c r="K348" i="26"/>
  <c r="L348" i="26"/>
  <c r="J349" i="26"/>
  <c r="K349" i="26"/>
  <c r="L349" i="26"/>
  <c r="J350" i="26"/>
  <c r="K350" i="26"/>
  <c r="L350" i="26"/>
  <c r="J351" i="26"/>
  <c r="K351" i="26"/>
  <c r="L351" i="26"/>
  <c r="J352" i="26"/>
  <c r="K352" i="26"/>
  <c r="L352" i="26"/>
  <c r="J353" i="26"/>
  <c r="K353" i="26"/>
  <c r="L353" i="26"/>
  <c r="J354" i="26"/>
  <c r="K354" i="26"/>
  <c r="L354" i="26"/>
  <c r="J355" i="26"/>
  <c r="K355" i="26"/>
  <c r="L355" i="26"/>
  <c r="J356" i="26"/>
  <c r="K356" i="26"/>
  <c r="L356" i="26"/>
  <c r="J357" i="26"/>
  <c r="K357" i="26"/>
  <c r="L357" i="26"/>
  <c r="J358" i="26"/>
  <c r="K358" i="26"/>
  <c r="L358" i="26"/>
  <c r="J359" i="26"/>
  <c r="K359" i="26"/>
  <c r="L359" i="26"/>
  <c r="J360" i="26"/>
  <c r="K360" i="26"/>
  <c r="L360" i="26"/>
  <c r="J361" i="26"/>
  <c r="K361" i="26"/>
  <c r="L361" i="26"/>
  <c r="J362" i="26"/>
  <c r="K362" i="26"/>
  <c r="L362" i="26"/>
  <c r="J363" i="26"/>
  <c r="K363" i="26"/>
  <c r="L363" i="26"/>
  <c r="J364" i="26"/>
  <c r="K364" i="26"/>
  <c r="L364" i="26"/>
  <c r="J365" i="26"/>
  <c r="K365" i="26"/>
  <c r="L365" i="26"/>
  <c r="J366" i="26"/>
  <c r="K366" i="26"/>
  <c r="L366" i="26"/>
  <c r="J367" i="26"/>
  <c r="K367" i="26"/>
  <c r="L367" i="26"/>
  <c r="J368" i="26"/>
  <c r="K368" i="26"/>
  <c r="L368" i="26"/>
  <c r="J369" i="26"/>
  <c r="K369" i="26"/>
  <c r="L369" i="26"/>
  <c r="J370" i="26"/>
  <c r="K370" i="26"/>
  <c r="L370" i="26"/>
  <c r="J371" i="26"/>
  <c r="K371" i="26"/>
  <c r="L371" i="26"/>
  <c r="J372" i="26"/>
  <c r="K372" i="26"/>
  <c r="L372" i="26"/>
  <c r="J373" i="26"/>
  <c r="K373" i="26"/>
  <c r="L373" i="26"/>
  <c r="J374" i="26"/>
  <c r="K374" i="26"/>
  <c r="L374" i="26"/>
  <c r="J375" i="26"/>
  <c r="K375" i="26"/>
  <c r="L375" i="26"/>
  <c r="J376" i="26"/>
  <c r="K376" i="26"/>
  <c r="L376" i="26"/>
  <c r="J377" i="26"/>
  <c r="K377" i="26"/>
  <c r="L377" i="26"/>
  <c r="J378" i="26"/>
  <c r="K378" i="26"/>
  <c r="L378" i="26"/>
  <c r="J379" i="26"/>
  <c r="K379" i="26"/>
  <c r="L379" i="26"/>
  <c r="J380" i="26"/>
  <c r="K380" i="26"/>
  <c r="L380" i="26"/>
  <c r="J381" i="26"/>
  <c r="K381" i="26"/>
  <c r="L381" i="26"/>
  <c r="J382" i="26"/>
  <c r="K382" i="26"/>
  <c r="L382" i="26"/>
  <c r="J383" i="26"/>
  <c r="K383" i="26"/>
  <c r="L383" i="26"/>
  <c r="J384" i="26"/>
  <c r="K384" i="26"/>
  <c r="L384" i="26"/>
  <c r="J385" i="26"/>
  <c r="K385" i="26"/>
  <c r="L385" i="26"/>
  <c r="J386" i="26"/>
  <c r="K386" i="26"/>
  <c r="L386" i="26"/>
  <c r="J387" i="26"/>
  <c r="K387" i="26"/>
  <c r="L387" i="26"/>
  <c r="J388" i="26"/>
  <c r="K388" i="26"/>
  <c r="L388" i="26"/>
  <c r="J389" i="26"/>
  <c r="K389" i="26"/>
  <c r="L389" i="26"/>
  <c r="J390" i="26"/>
  <c r="K390" i="26"/>
  <c r="L390" i="26"/>
  <c r="J391" i="26"/>
  <c r="K391" i="26"/>
  <c r="L391" i="26"/>
  <c r="J392" i="26"/>
  <c r="K392" i="26"/>
  <c r="L392" i="26"/>
  <c r="J393" i="26"/>
  <c r="K393" i="26"/>
  <c r="L393" i="26"/>
  <c r="J394" i="26"/>
  <c r="K394" i="26"/>
  <c r="L394" i="26"/>
  <c r="J395" i="26"/>
  <c r="K395" i="26"/>
  <c r="L395" i="26"/>
  <c r="J396" i="26"/>
  <c r="K396" i="26"/>
  <c r="L396" i="26"/>
  <c r="J397" i="26"/>
  <c r="K397" i="26"/>
  <c r="L397" i="26"/>
  <c r="J398" i="26"/>
  <c r="K398" i="26"/>
  <c r="L398" i="26"/>
  <c r="J399" i="26"/>
  <c r="K399" i="26"/>
  <c r="L399" i="26"/>
  <c r="J400" i="26"/>
  <c r="K400" i="26"/>
  <c r="L400" i="26"/>
  <c r="J401" i="26"/>
  <c r="K401" i="26"/>
  <c r="L401" i="26"/>
  <c r="J402" i="26"/>
  <c r="K402" i="26"/>
  <c r="L402" i="26"/>
  <c r="J403" i="26"/>
  <c r="K403" i="26"/>
  <c r="L403" i="26"/>
  <c r="J404" i="26"/>
  <c r="K404" i="26"/>
  <c r="L404" i="26"/>
  <c r="J405" i="26"/>
  <c r="K405" i="26"/>
  <c r="L405" i="26"/>
  <c r="J406" i="26"/>
  <c r="K406" i="26"/>
  <c r="L406" i="26"/>
  <c r="J407" i="26"/>
  <c r="K407" i="26"/>
  <c r="L407" i="26"/>
  <c r="J408" i="26"/>
  <c r="K408" i="26"/>
  <c r="L408" i="26"/>
  <c r="J409" i="26"/>
  <c r="K409" i="26"/>
  <c r="L409" i="26"/>
  <c r="J410" i="26"/>
  <c r="K410" i="26"/>
  <c r="L410" i="26"/>
  <c r="J411" i="26"/>
  <c r="K411" i="26"/>
  <c r="L411" i="26"/>
  <c r="J412" i="26"/>
  <c r="K412" i="26"/>
  <c r="L412" i="26"/>
  <c r="J413" i="26"/>
  <c r="K413" i="26"/>
  <c r="L413" i="26"/>
  <c r="J414" i="26"/>
  <c r="K414" i="26"/>
  <c r="L414" i="26"/>
  <c r="J415" i="26"/>
  <c r="K415" i="26"/>
  <c r="L415" i="26"/>
  <c r="J416" i="26"/>
  <c r="K416" i="26"/>
  <c r="L416" i="26"/>
  <c r="J417" i="26"/>
  <c r="K417" i="26"/>
  <c r="L417" i="26"/>
  <c r="J418" i="26"/>
  <c r="K418" i="26"/>
  <c r="L418" i="26"/>
  <c r="J419" i="26"/>
  <c r="K419" i="26"/>
  <c r="L419" i="26"/>
  <c r="J420" i="26"/>
  <c r="K420" i="26"/>
  <c r="L420" i="26"/>
  <c r="J421" i="26"/>
  <c r="K421" i="26"/>
  <c r="L421" i="26"/>
  <c r="J422" i="26"/>
  <c r="K422" i="26"/>
  <c r="L422" i="26"/>
  <c r="J423" i="26"/>
  <c r="K423" i="26"/>
  <c r="L423" i="26"/>
  <c r="J424" i="26"/>
  <c r="K424" i="26"/>
  <c r="L424" i="26"/>
  <c r="J425" i="26"/>
  <c r="K425" i="26"/>
  <c r="L425" i="26"/>
  <c r="J426" i="26"/>
  <c r="K426" i="26"/>
  <c r="L426" i="26"/>
  <c r="J427" i="26"/>
  <c r="K427" i="26"/>
  <c r="L427" i="26"/>
  <c r="J428" i="26"/>
  <c r="K428" i="26"/>
  <c r="L428" i="26"/>
  <c r="J429" i="26"/>
  <c r="K429" i="26"/>
  <c r="L429" i="26"/>
  <c r="J430" i="26"/>
  <c r="K430" i="26"/>
  <c r="L430" i="26"/>
  <c r="J431" i="26"/>
  <c r="K431" i="26"/>
  <c r="L431" i="26"/>
  <c r="J432" i="26"/>
  <c r="K432" i="26"/>
  <c r="L432" i="26"/>
  <c r="J433" i="26"/>
  <c r="K433" i="26"/>
  <c r="L433" i="26"/>
  <c r="J434" i="26"/>
  <c r="K434" i="26"/>
  <c r="L434" i="26"/>
  <c r="J435" i="26"/>
  <c r="K435" i="26"/>
  <c r="L435" i="26"/>
  <c r="J436" i="26"/>
  <c r="K436" i="26"/>
  <c r="L436" i="26"/>
  <c r="J437" i="26"/>
  <c r="K437" i="26"/>
  <c r="L437" i="26"/>
  <c r="J438" i="26"/>
  <c r="K438" i="26"/>
  <c r="L438" i="26"/>
  <c r="J439" i="26"/>
  <c r="K439" i="26"/>
  <c r="L439" i="26"/>
  <c r="J440" i="26"/>
  <c r="K440" i="26"/>
  <c r="L440" i="26"/>
  <c r="J441" i="26"/>
  <c r="K441" i="26"/>
  <c r="L441" i="26"/>
  <c r="J442" i="26"/>
  <c r="K442" i="26"/>
  <c r="L442" i="26"/>
  <c r="J443" i="26"/>
  <c r="K443" i="26"/>
  <c r="L443" i="26"/>
  <c r="J444" i="26"/>
  <c r="K444" i="26"/>
  <c r="L444" i="26"/>
  <c r="J445" i="26"/>
  <c r="K445" i="26"/>
  <c r="L445" i="26"/>
  <c r="J446" i="26"/>
  <c r="K446" i="26"/>
  <c r="L446" i="26"/>
  <c r="J447" i="26"/>
  <c r="K447" i="26"/>
  <c r="L447" i="26"/>
  <c r="J448" i="26"/>
  <c r="K448" i="26"/>
  <c r="L448" i="26"/>
  <c r="J449" i="26"/>
  <c r="K449" i="26"/>
  <c r="L449" i="26"/>
  <c r="J450" i="26"/>
  <c r="K450" i="26"/>
  <c r="L450" i="26"/>
  <c r="J451" i="26"/>
  <c r="K451" i="26"/>
  <c r="L451" i="26"/>
  <c r="J452" i="26"/>
  <c r="K452" i="26"/>
  <c r="L452" i="26"/>
  <c r="J453" i="26"/>
  <c r="K453" i="26"/>
  <c r="L453" i="26"/>
  <c r="J454" i="26"/>
  <c r="K454" i="26"/>
  <c r="L454" i="26"/>
  <c r="J455" i="26"/>
  <c r="K455" i="26"/>
  <c r="L455" i="26"/>
  <c r="J456" i="26"/>
  <c r="K456" i="26"/>
  <c r="L456" i="26"/>
  <c r="J457" i="26"/>
  <c r="K457" i="26"/>
  <c r="L457" i="26"/>
  <c r="J458" i="26"/>
  <c r="K458" i="26"/>
  <c r="L458" i="26"/>
  <c r="J459" i="26"/>
  <c r="K459" i="26"/>
  <c r="L459" i="26"/>
  <c r="J460" i="26"/>
  <c r="K460" i="26"/>
  <c r="L460" i="26"/>
  <c r="J461" i="26"/>
  <c r="K461" i="26"/>
  <c r="L461" i="26"/>
  <c r="J462" i="26"/>
  <c r="K462" i="26"/>
  <c r="L462" i="26"/>
  <c r="J463" i="26"/>
  <c r="K463" i="26"/>
  <c r="L463" i="26"/>
  <c r="J464" i="26"/>
  <c r="K464" i="26"/>
  <c r="L464" i="26"/>
  <c r="J465" i="26"/>
  <c r="K465" i="26"/>
  <c r="L465" i="26"/>
  <c r="J466" i="26"/>
  <c r="K466" i="26"/>
  <c r="L466" i="26"/>
  <c r="J468" i="26"/>
  <c r="K468" i="26"/>
  <c r="L468" i="26"/>
  <c r="J469" i="26"/>
  <c r="K469" i="26"/>
  <c r="L469" i="26"/>
  <c r="J470" i="26"/>
  <c r="K470" i="26"/>
  <c r="L470" i="26"/>
  <c r="J471" i="26"/>
  <c r="K471" i="26"/>
  <c r="L471" i="26"/>
  <c r="J472" i="26"/>
  <c r="K472" i="26"/>
  <c r="L472" i="26"/>
  <c r="J473" i="26"/>
  <c r="K473" i="26"/>
  <c r="L473" i="26"/>
  <c r="J474" i="26"/>
  <c r="K474" i="26"/>
  <c r="L474" i="26"/>
  <c r="J475" i="26"/>
  <c r="K475" i="26"/>
  <c r="L475" i="26"/>
  <c r="J476" i="26"/>
  <c r="K476" i="26"/>
  <c r="L476" i="26"/>
  <c r="J477" i="26"/>
  <c r="K477" i="26"/>
  <c r="L477" i="26"/>
  <c r="J478" i="26"/>
  <c r="K478" i="26"/>
  <c r="L478" i="26"/>
  <c r="J479" i="26"/>
  <c r="K479" i="26"/>
  <c r="L479" i="26"/>
  <c r="J480" i="26"/>
  <c r="K480" i="26"/>
  <c r="L480" i="26"/>
  <c r="J481" i="26"/>
  <c r="K481" i="26"/>
  <c r="L481" i="26"/>
  <c r="J482" i="26"/>
  <c r="K482" i="26"/>
  <c r="L482" i="26"/>
  <c r="J483" i="26"/>
  <c r="K483" i="26"/>
  <c r="L483" i="26"/>
  <c r="J484" i="26"/>
  <c r="K484" i="26"/>
  <c r="L484" i="26"/>
  <c r="J485" i="26"/>
  <c r="K485" i="26"/>
  <c r="L485" i="26"/>
  <c r="J486" i="26"/>
  <c r="K486" i="26"/>
  <c r="L486" i="26"/>
  <c r="J487" i="26"/>
  <c r="K487" i="26"/>
  <c r="L487" i="26"/>
  <c r="J488" i="26"/>
  <c r="K488" i="26"/>
  <c r="L488" i="26"/>
  <c r="J489" i="26"/>
  <c r="K489" i="26"/>
  <c r="L489" i="26"/>
  <c r="J490" i="26"/>
  <c r="K490" i="26"/>
  <c r="L490" i="26"/>
  <c r="J491" i="26"/>
  <c r="K491" i="26"/>
  <c r="L491" i="26"/>
  <c r="J492" i="26"/>
  <c r="K492" i="26"/>
  <c r="L492" i="26"/>
  <c r="J493" i="26"/>
  <c r="K493" i="26"/>
  <c r="L493" i="26"/>
  <c r="J494" i="26"/>
  <c r="K494" i="26"/>
  <c r="L494" i="26"/>
  <c r="J495" i="26"/>
  <c r="K495" i="26"/>
  <c r="L495" i="26"/>
  <c r="J496" i="26"/>
  <c r="K496" i="26"/>
  <c r="L496" i="26"/>
  <c r="J497" i="26"/>
  <c r="K497" i="26"/>
  <c r="L497" i="26"/>
  <c r="J498" i="26"/>
  <c r="K498" i="26"/>
  <c r="L498" i="26"/>
  <c r="J499" i="26"/>
  <c r="K499" i="26"/>
  <c r="L499" i="26"/>
  <c r="J500" i="26"/>
  <c r="K500" i="26"/>
  <c r="L500" i="26"/>
  <c r="J501" i="26"/>
  <c r="K501" i="26"/>
  <c r="L501" i="26"/>
  <c r="J502" i="26"/>
  <c r="K502" i="26"/>
  <c r="L502" i="26"/>
  <c r="J503" i="26"/>
  <c r="K503" i="26"/>
  <c r="L503" i="26"/>
  <c r="J504" i="26"/>
  <c r="K504" i="26"/>
  <c r="L504" i="26"/>
  <c r="J505" i="26"/>
  <c r="K505" i="26"/>
  <c r="L505" i="26"/>
  <c r="J506" i="26"/>
  <c r="K506" i="26"/>
  <c r="L506" i="26"/>
  <c r="J507" i="26"/>
  <c r="K507" i="26"/>
  <c r="L507" i="26"/>
  <c r="J508" i="26"/>
  <c r="K508" i="26"/>
  <c r="L508" i="26"/>
  <c r="J509" i="26"/>
  <c r="K509" i="26"/>
  <c r="L509" i="26"/>
  <c r="J510" i="26"/>
  <c r="K510" i="26"/>
  <c r="L510" i="26"/>
  <c r="J511" i="26"/>
  <c r="K511" i="26"/>
  <c r="L511" i="26"/>
  <c r="J512" i="26"/>
  <c r="K512" i="26"/>
  <c r="L512" i="26"/>
  <c r="J513" i="26"/>
  <c r="K513" i="26"/>
  <c r="L513" i="26"/>
  <c r="J514" i="26"/>
  <c r="K514" i="26"/>
  <c r="L514" i="26"/>
  <c r="J515" i="26"/>
  <c r="K515" i="26"/>
  <c r="L515" i="26"/>
  <c r="J516" i="26"/>
  <c r="K516" i="26"/>
  <c r="L516" i="26"/>
  <c r="J517" i="26"/>
  <c r="K517" i="26"/>
  <c r="L517" i="26"/>
  <c r="J518" i="26"/>
  <c r="K518" i="26"/>
  <c r="L518" i="26"/>
  <c r="J519" i="26"/>
  <c r="K519" i="26"/>
  <c r="L519" i="26"/>
  <c r="J520" i="26"/>
  <c r="K520" i="26"/>
  <c r="L520" i="26"/>
  <c r="J521" i="26"/>
  <c r="K521" i="26"/>
  <c r="L521" i="26"/>
  <c r="J522" i="26"/>
  <c r="K522" i="26"/>
  <c r="L522" i="26"/>
  <c r="J523" i="26"/>
  <c r="K523" i="26"/>
  <c r="L523" i="26"/>
  <c r="J524" i="26"/>
  <c r="K524" i="26"/>
  <c r="L524" i="26"/>
  <c r="J525" i="26"/>
  <c r="K525" i="26"/>
  <c r="L525" i="26"/>
  <c r="J526" i="26"/>
  <c r="K526" i="26"/>
  <c r="L526" i="26"/>
  <c r="J527" i="26"/>
  <c r="K527" i="26"/>
  <c r="L527" i="26"/>
  <c r="J528" i="26"/>
  <c r="K528" i="26"/>
  <c r="L528" i="26"/>
  <c r="J529" i="26"/>
  <c r="K529" i="26"/>
  <c r="L529" i="26"/>
  <c r="J530" i="26"/>
  <c r="K530" i="26"/>
  <c r="L530" i="26"/>
  <c r="J531" i="26"/>
  <c r="K531" i="26"/>
  <c r="L531" i="26"/>
  <c r="J532" i="26"/>
  <c r="K532" i="26"/>
  <c r="L532" i="26"/>
  <c r="J533" i="26"/>
  <c r="K533" i="26"/>
  <c r="L533" i="26"/>
  <c r="J534" i="26"/>
  <c r="K534" i="26"/>
  <c r="L534" i="26"/>
  <c r="J535" i="26"/>
  <c r="K535" i="26"/>
  <c r="L535" i="26"/>
  <c r="J536" i="26"/>
  <c r="K536" i="26"/>
  <c r="L536" i="26"/>
  <c r="J537" i="26"/>
  <c r="K537" i="26"/>
  <c r="L537" i="26"/>
  <c r="J538" i="26"/>
  <c r="K538" i="26"/>
  <c r="L538" i="26"/>
  <c r="J539" i="26"/>
  <c r="K539" i="26"/>
  <c r="L539" i="26"/>
  <c r="J540" i="26"/>
  <c r="K540" i="26"/>
  <c r="L540" i="26"/>
  <c r="J541" i="26"/>
  <c r="K541" i="26"/>
  <c r="L541" i="26"/>
  <c r="J542" i="26"/>
  <c r="K542" i="26"/>
  <c r="L542" i="26"/>
  <c r="J543" i="26"/>
  <c r="K543" i="26"/>
  <c r="L543" i="26"/>
  <c r="J544" i="26"/>
  <c r="K544" i="26"/>
  <c r="L544" i="26"/>
  <c r="J545" i="26"/>
  <c r="K545" i="26"/>
  <c r="L545" i="26"/>
  <c r="J546" i="26"/>
  <c r="K546" i="26"/>
  <c r="L546" i="26"/>
  <c r="J547" i="26"/>
  <c r="K547" i="26"/>
  <c r="L547" i="26"/>
  <c r="J548" i="26"/>
  <c r="K548" i="26"/>
  <c r="L548" i="26"/>
  <c r="J549" i="26"/>
  <c r="K549" i="26"/>
  <c r="L549" i="26"/>
  <c r="J550" i="26"/>
  <c r="K550" i="26"/>
  <c r="L550" i="26"/>
  <c r="J551" i="26"/>
  <c r="K551" i="26"/>
  <c r="L551" i="26"/>
  <c r="J552" i="26"/>
  <c r="K552" i="26"/>
  <c r="L552" i="26"/>
  <c r="J553" i="26"/>
  <c r="K553" i="26"/>
  <c r="L553" i="26"/>
  <c r="J554" i="26"/>
  <c r="K554" i="26"/>
  <c r="L554" i="26"/>
  <c r="J555" i="26"/>
  <c r="K555" i="26"/>
  <c r="L555" i="26"/>
  <c r="J556" i="26"/>
  <c r="K556" i="26"/>
  <c r="L556" i="26"/>
  <c r="J557" i="26"/>
  <c r="K557" i="26"/>
  <c r="L557" i="26"/>
  <c r="J558" i="26"/>
  <c r="K558" i="26"/>
  <c r="L558" i="26"/>
  <c r="J559" i="26"/>
  <c r="K559" i="26"/>
  <c r="L559" i="26"/>
  <c r="J560" i="26"/>
  <c r="K560" i="26"/>
  <c r="L560" i="26"/>
  <c r="J561" i="26"/>
  <c r="K561" i="26"/>
  <c r="L561" i="26"/>
  <c r="J562" i="26"/>
  <c r="K562" i="26"/>
  <c r="L562" i="26"/>
  <c r="J563" i="26"/>
  <c r="K563" i="26"/>
  <c r="L563" i="26"/>
  <c r="J564" i="26"/>
  <c r="K564" i="26"/>
  <c r="L564" i="26"/>
  <c r="J565" i="26"/>
  <c r="K565" i="26"/>
  <c r="L565" i="26"/>
  <c r="J566" i="26"/>
  <c r="K566" i="26"/>
  <c r="L566" i="26"/>
  <c r="J567" i="26"/>
  <c r="K567" i="26"/>
  <c r="L567" i="26"/>
  <c r="J568" i="26"/>
  <c r="K568" i="26"/>
  <c r="L568" i="26"/>
  <c r="J569" i="26"/>
  <c r="K569" i="26"/>
  <c r="L569" i="26"/>
  <c r="J570" i="26"/>
  <c r="K570" i="26"/>
  <c r="L570" i="26"/>
  <c r="J571" i="26"/>
  <c r="K571" i="26"/>
  <c r="L571" i="26"/>
  <c r="J572" i="26"/>
  <c r="K572" i="26"/>
  <c r="L572" i="26"/>
  <c r="J573" i="26"/>
  <c r="K573" i="26"/>
  <c r="L573" i="26"/>
  <c r="J574" i="26"/>
  <c r="K574" i="26"/>
  <c r="L574" i="26"/>
  <c r="J575" i="26"/>
  <c r="K575" i="26"/>
  <c r="L575" i="26"/>
  <c r="J576" i="26"/>
  <c r="K576" i="26"/>
  <c r="L576" i="26"/>
  <c r="J577" i="26"/>
  <c r="K577" i="26"/>
  <c r="L577" i="26"/>
  <c r="J578" i="26"/>
  <c r="K578" i="26"/>
  <c r="L578" i="26"/>
  <c r="J579" i="26"/>
  <c r="K579" i="26"/>
  <c r="L579" i="26"/>
  <c r="J580" i="26"/>
  <c r="K580" i="26"/>
  <c r="L580" i="26"/>
  <c r="J581" i="26"/>
  <c r="K581" i="26"/>
  <c r="L581" i="26"/>
  <c r="J582" i="26"/>
  <c r="K582" i="26"/>
  <c r="L582" i="26"/>
  <c r="J583" i="26"/>
  <c r="K583" i="26"/>
  <c r="L583" i="26"/>
  <c r="J584" i="26"/>
  <c r="K584" i="26"/>
  <c r="L584" i="26"/>
  <c r="J585" i="26"/>
  <c r="K585" i="26"/>
  <c r="L585" i="26"/>
  <c r="J586" i="26"/>
  <c r="K586" i="26"/>
  <c r="L586" i="26"/>
  <c r="J587" i="26"/>
  <c r="K587" i="26"/>
  <c r="L587" i="26"/>
  <c r="J588" i="26"/>
  <c r="K588" i="26"/>
  <c r="L588" i="26"/>
  <c r="J589" i="26"/>
  <c r="K589" i="26"/>
  <c r="L589" i="26"/>
  <c r="J590" i="26"/>
  <c r="K590" i="26"/>
  <c r="L590" i="26"/>
  <c r="J591" i="26"/>
  <c r="K591" i="26"/>
  <c r="L591" i="26"/>
  <c r="J592" i="26"/>
  <c r="K592" i="26"/>
  <c r="L592" i="26"/>
  <c r="J593" i="26"/>
  <c r="K593" i="26"/>
  <c r="L593" i="26"/>
  <c r="J594" i="26"/>
  <c r="K594" i="26"/>
  <c r="L594" i="26"/>
  <c r="J595" i="26"/>
  <c r="K595" i="26"/>
  <c r="L595" i="26"/>
  <c r="J596" i="26"/>
  <c r="K596" i="26"/>
  <c r="L596" i="26"/>
  <c r="J597" i="26"/>
  <c r="K597" i="26"/>
  <c r="L597" i="26"/>
  <c r="J598" i="26"/>
  <c r="K598" i="26"/>
  <c r="L598" i="26"/>
  <c r="J599" i="26"/>
  <c r="K599" i="26"/>
  <c r="L599" i="26"/>
  <c r="J600" i="26"/>
  <c r="K600" i="26"/>
  <c r="L600" i="26"/>
  <c r="J601" i="26"/>
  <c r="K601" i="26"/>
  <c r="L601" i="26"/>
  <c r="J602" i="26"/>
  <c r="K602" i="26"/>
  <c r="L602" i="26"/>
  <c r="J603" i="26"/>
  <c r="K603" i="26"/>
  <c r="L603" i="26"/>
  <c r="J604" i="26"/>
  <c r="K604" i="26"/>
  <c r="L604" i="26"/>
  <c r="J605" i="26"/>
  <c r="K605" i="26"/>
  <c r="L605" i="26"/>
  <c r="J606" i="26"/>
  <c r="K606" i="26"/>
  <c r="L606" i="26"/>
  <c r="J607" i="26"/>
  <c r="K607" i="26"/>
  <c r="L607" i="26"/>
  <c r="J608" i="26"/>
  <c r="K608" i="26"/>
  <c r="L608" i="26"/>
  <c r="J609" i="26"/>
  <c r="K609" i="26"/>
  <c r="L609" i="26"/>
  <c r="J610" i="26"/>
  <c r="K610" i="26"/>
  <c r="L610" i="26"/>
  <c r="J611" i="26"/>
  <c r="K611" i="26"/>
  <c r="L611" i="26"/>
  <c r="J612" i="26"/>
  <c r="K612" i="26"/>
  <c r="L612" i="26"/>
  <c r="J613" i="26"/>
  <c r="K613" i="26"/>
  <c r="L613" i="26"/>
  <c r="J614" i="26"/>
  <c r="K614" i="26"/>
  <c r="L614" i="26"/>
  <c r="J615" i="26"/>
  <c r="K615" i="26"/>
  <c r="L615" i="26"/>
  <c r="J616" i="26"/>
  <c r="K616" i="26"/>
  <c r="L616" i="26"/>
  <c r="J617" i="26"/>
  <c r="K617" i="26"/>
  <c r="L617" i="26"/>
  <c r="J618" i="26"/>
  <c r="K618" i="26"/>
  <c r="L618" i="26"/>
  <c r="J619" i="26"/>
  <c r="K619" i="26"/>
  <c r="L619" i="26"/>
  <c r="J620" i="26"/>
  <c r="K620" i="26"/>
  <c r="L620" i="26"/>
  <c r="J621" i="26"/>
  <c r="K621" i="26"/>
  <c r="L621" i="26"/>
  <c r="J622" i="26"/>
  <c r="K622" i="26"/>
  <c r="L622" i="26"/>
  <c r="J623" i="26"/>
  <c r="K623" i="26"/>
  <c r="L623" i="26"/>
  <c r="J624" i="26"/>
  <c r="K624" i="26"/>
  <c r="L624" i="26"/>
  <c r="J625" i="26"/>
  <c r="K625" i="26"/>
  <c r="L625" i="26"/>
  <c r="J626" i="26"/>
  <c r="K626" i="26"/>
  <c r="L626" i="26"/>
  <c r="J627" i="26"/>
  <c r="K627" i="26"/>
  <c r="L627" i="26"/>
  <c r="J628" i="26"/>
  <c r="K628" i="26"/>
  <c r="L628" i="26"/>
  <c r="J629" i="26"/>
  <c r="K629" i="26"/>
  <c r="L629" i="26"/>
  <c r="J630" i="26"/>
  <c r="K630" i="26"/>
  <c r="L630" i="26"/>
  <c r="J631" i="26"/>
  <c r="K631" i="26"/>
  <c r="L631" i="26"/>
  <c r="J632" i="26"/>
  <c r="K632" i="26"/>
  <c r="L632" i="26"/>
  <c r="J633" i="26"/>
  <c r="K633" i="26"/>
  <c r="L633" i="26"/>
  <c r="J634" i="26"/>
  <c r="K634" i="26"/>
  <c r="L634" i="26"/>
  <c r="J635" i="26"/>
  <c r="K635" i="26"/>
  <c r="L635" i="26"/>
  <c r="J636" i="26"/>
  <c r="K636" i="26"/>
  <c r="L636" i="26"/>
  <c r="J637" i="26"/>
  <c r="K637" i="26"/>
  <c r="L637" i="26"/>
  <c r="J638" i="26"/>
  <c r="K638" i="26"/>
  <c r="L638" i="26"/>
  <c r="J639" i="26"/>
  <c r="K639" i="26"/>
  <c r="L639" i="26"/>
  <c r="J640" i="26"/>
  <c r="K640" i="26"/>
  <c r="L640" i="26"/>
  <c r="J641" i="26"/>
  <c r="K641" i="26"/>
  <c r="L641" i="26"/>
  <c r="J642" i="26"/>
  <c r="K642" i="26"/>
  <c r="L642" i="26"/>
  <c r="J643" i="26"/>
  <c r="K643" i="26"/>
  <c r="L643" i="26"/>
  <c r="J644" i="26"/>
  <c r="K644" i="26"/>
  <c r="L644" i="26"/>
  <c r="J645" i="26"/>
  <c r="K645" i="26"/>
  <c r="L645" i="26"/>
  <c r="J646" i="26"/>
  <c r="K646" i="26"/>
  <c r="L646" i="26"/>
  <c r="J647" i="26"/>
  <c r="K647" i="26"/>
  <c r="L647" i="26"/>
  <c r="J648" i="26"/>
  <c r="K648" i="26"/>
  <c r="L648" i="26"/>
  <c r="J649" i="26"/>
  <c r="K649" i="26"/>
  <c r="L649" i="26"/>
  <c r="J650" i="26"/>
  <c r="K650" i="26"/>
  <c r="L650" i="26"/>
  <c r="J651" i="26"/>
  <c r="K651" i="26"/>
  <c r="L651" i="26"/>
  <c r="J652" i="26"/>
  <c r="K652" i="26"/>
  <c r="L652" i="26"/>
  <c r="J653" i="26"/>
  <c r="K653" i="26"/>
  <c r="L653" i="26"/>
  <c r="J654" i="26"/>
  <c r="K654" i="26"/>
  <c r="L654" i="26"/>
  <c r="J655" i="26"/>
  <c r="K655" i="26"/>
  <c r="L655" i="26"/>
  <c r="J656" i="26"/>
  <c r="K656" i="26"/>
  <c r="L656" i="26"/>
  <c r="J657" i="26"/>
  <c r="K657" i="26"/>
  <c r="L657" i="26"/>
  <c r="J658" i="26"/>
  <c r="K658" i="26"/>
  <c r="L658" i="26"/>
  <c r="J659" i="26"/>
  <c r="K659" i="26"/>
  <c r="L659" i="26"/>
  <c r="J660" i="26"/>
  <c r="K660" i="26"/>
  <c r="L660" i="26"/>
  <c r="J661" i="26"/>
  <c r="K661" i="26"/>
  <c r="L661" i="26"/>
  <c r="J662" i="26"/>
  <c r="K662" i="26"/>
  <c r="L662" i="26"/>
  <c r="J663" i="26"/>
  <c r="K663" i="26"/>
  <c r="L663" i="26"/>
  <c r="J664" i="26"/>
  <c r="K664" i="26"/>
  <c r="L664" i="26"/>
  <c r="J665" i="26"/>
  <c r="K665" i="26"/>
  <c r="L665" i="26"/>
  <c r="J666" i="26"/>
  <c r="K666" i="26"/>
  <c r="L666" i="26"/>
  <c r="J667" i="26"/>
  <c r="K667" i="26"/>
  <c r="L667" i="26"/>
  <c r="J668" i="26"/>
  <c r="K668" i="26"/>
  <c r="L668" i="26"/>
  <c r="J669" i="26"/>
  <c r="K669" i="26"/>
  <c r="L669" i="26"/>
  <c r="J670" i="26"/>
  <c r="K670" i="26"/>
  <c r="L670" i="26"/>
  <c r="J671" i="26"/>
  <c r="K671" i="26"/>
  <c r="L671" i="26"/>
  <c r="J672" i="26"/>
  <c r="K672" i="26"/>
  <c r="L672" i="26"/>
  <c r="J673" i="26"/>
  <c r="K673" i="26"/>
  <c r="L673" i="26"/>
  <c r="J674" i="26"/>
  <c r="K674" i="26"/>
  <c r="L674" i="26"/>
  <c r="J675" i="26"/>
  <c r="K675" i="26"/>
  <c r="L675" i="26"/>
  <c r="J676" i="26"/>
  <c r="K676" i="26"/>
  <c r="L676" i="26"/>
  <c r="J677" i="26"/>
  <c r="K677" i="26"/>
  <c r="L677" i="26"/>
  <c r="J678" i="26"/>
  <c r="K678" i="26"/>
  <c r="L678" i="26"/>
  <c r="J679" i="26"/>
  <c r="K679" i="26"/>
  <c r="L679" i="26"/>
  <c r="J680" i="26"/>
  <c r="K680" i="26"/>
  <c r="L680" i="26"/>
  <c r="J681" i="26"/>
  <c r="K681" i="26"/>
  <c r="L681" i="26"/>
  <c r="J682" i="26"/>
  <c r="K682" i="26"/>
  <c r="L682" i="26"/>
  <c r="J683" i="26"/>
  <c r="K683" i="26"/>
  <c r="L683" i="26"/>
  <c r="J684" i="26"/>
  <c r="K684" i="26"/>
  <c r="L684" i="26"/>
  <c r="J685" i="26"/>
  <c r="K685" i="26"/>
  <c r="L685" i="26"/>
  <c r="J686" i="26"/>
  <c r="K686" i="26"/>
  <c r="L686" i="26"/>
  <c r="J687" i="26"/>
  <c r="K687" i="26"/>
  <c r="L687" i="26"/>
  <c r="J688" i="26"/>
  <c r="K688" i="26"/>
  <c r="L688" i="26"/>
  <c r="J689" i="26"/>
  <c r="K689" i="26"/>
  <c r="L689" i="26"/>
  <c r="J690" i="26"/>
  <c r="K690" i="26"/>
  <c r="L690" i="26"/>
  <c r="J691" i="26"/>
  <c r="K691" i="26"/>
  <c r="L691" i="26"/>
  <c r="J692" i="26"/>
  <c r="K692" i="26"/>
  <c r="L692" i="26"/>
  <c r="J693" i="26"/>
  <c r="K693" i="26"/>
  <c r="L693" i="26"/>
  <c r="J694" i="26"/>
  <c r="K694" i="26"/>
  <c r="L694" i="26"/>
  <c r="J695" i="26"/>
  <c r="K695" i="26"/>
  <c r="L695" i="26"/>
  <c r="J696" i="26"/>
  <c r="K696" i="26"/>
  <c r="L696" i="26"/>
  <c r="J697" i="26"/>
  <c r="K697" i="26"/>
  <c r="L697" i="26"/>
  <c r="J698" i="26"/>
  <c r="K698" i="26"/>
  <c r="L698" i="26"/>
  <c r="J699" i="26"/>
  <c r="K699" i="26"/>
  <c r="L699" i="26"/>
  <c r="L6" i="26"/>
  <c r="M6" i="26"/>
  <c r="K6" i="26"/>
  <c r="J6" i="26"/>
  <c r="F7" i="26"/>
  <c r="G7" i="26"/>
  <c r="H7" i="26"/>
  <c r="F8" i="26"/>
  <c r="G8" i="26"/>
  <c r="H8" i="26"/>
  <c r="F9" i="26"/>
  <c r="G9" i="26"/>
  <c r="H9" i="26"/>
  <c r="F10" i="26"/>
  <c r="G10" i="26"/>
  <c r="H10" i="26"/>
  <c r="F11" i="26"/>
  <c r="G11" i="26"/>
  <c r="H11" i="26"/>
  <c r="F12" i="26"/>
  <c r="G12" i="26"/>
  <c r="H12" i="26"/>
  <c r="F13" i="26"/>
  <c r="G13" i="26"/>
  <c r="H13" i="26"/>
  <c r="F14" i="26"/>
  <c r="G14" i="26"/>
  <c r="H14" i="26"/>
  <c r="F15" i="26"/>
  <c r="G15" i="26"/>
  <c r="H15" i="26"/>
  <c r="F16" i="26"/>
  <c r="G16" i="26"/>
  <c r="H16" i="26"/>
  <c r="F17" i="26"/>
  <c r="G17" i="26"/>
  <c r="H17" i="26"/>
  <c r="F18" i="26"/>
  <c r="G18" i="26"/>
  <c r="H18" i="26"/>
  <c r="F19" i="26"/>
  <c r="G19" i="26"/>
  <c r="H19" i="26"/>
  <c r="F20" i="26"/>
  <c r="G20" i="26"/>
  <c r="H20" i="26"/>
  <c r="F21" i="26"/>
  <c r="G21" i="26"/>
  <c r="H21" i="26"/>
  <c r="F22" i="26"/>
  <c r="G22" i="26"/>
  <c r="H22" i="26"/>
  <c r="F23" i="26"/>
  <c r="G23" i="26"/>
  <c r="H23" i="26"/>
  <c r="F24" i="26"/>
  <c r="G24" i="26"/>
  <c r="H24" i="26"/>
  <c r="F25" i="26"/>
  <c r="G25" i="26"/>
  <c r="H25" i="26"/>
  <c r="F26" i="26"/>
  <c r="G26" i="26"/>
  <c r="H26" i="26"/>
  <c r="F27" i="26"/>
  <c r="G27" i="26"/>
  <c r="H27" i="26"/>
  <c r="F28" i="26"/>
  <c r="G28" i="26"/>
  <c r="H28" i="26"/>
  <c r="F29" i="26"/>
  <c r="G29" i="26"/>
  <c r="H29" i="26"/>
  <c r="F30" i="26"/>
  <c r="G30" i="26"/>
  <c r="H30" i="26"/>
  <c r="F31" i="26"/>
  <c r="G31" i="26"/>
  <c r="H31" i="26"/>
  <c r="F32" i="26"/>
  <c r="G32" i="26"/>
  <c r="H32" i="26"/>
  <c r="F33" i="26"/>
  <c r="G33" i="26"/>
  <c r="H33" i="26"/>
  <c r="F34" i="26"/>
  <c r="G34" i="26"/>
  <c r="H34" i="26"/>
  <c r="F35" i="26"/>
  <c r="G35" i="26"/>
  <c r="H35" i="26"/>
  <c r="F36" i="26"/>
  <c r="G36" i="26"/>
  <c r="H36" i="26"/>
  <c r="F37" i="26"/>
  <c r="G37" i="26"/>
  <c r="H37" i="26"/>
  <c r="F38" i="26"/>
  <c r="G38" i="26"/>
  <c r="H38" i="26"/>
  <c r="F39" i="26"/>
  <c r="G39" i="26"/>
  <c r="H39" i="26"/>
  <c r="F40" i="26"/>
  <c r="G40" i="26"/>
  <c r="H40" i="26"/>
  <c r="F41" i="26"/>
  <c r="G41" i="26"/>
  <c r="H41" i="26"/>
  <c r="F42" i="26"/>
  <c r="G42" i="26"/>
  <c r="H42" i="26"/>
  <c r="F43" i="26"/>
  <c r="G43" i="26"/>
  <c r="H43" i="26"/>
  <c r="F44" i="26"/>
  <c r="G44" i="26"/>
  <c r="H44" i="26"/>
  <c r="F45" i="26"/>
  <c r="G45" i="26"/>
  <c r="H45" i="26"/>
  <c r="F46" i="26"/>
  <c r="G46" i="26"/>
  <c r="H46" i="26"/>
  <c r="F47" i="26"/>
  <c r="G47" i="26"/>
  <c r="H47" i="26"/>
  <c r="F48" i="26"/>
  <c r="G48" i="26"/>
  <c r="H48" i="26"/>
  <c r="F49" i="26"/>
  <c r="G49" i="26"/>
  <c r="H49" i="26"/>
  <c r="F50" i="26"/>
  <c r="G50" i="26"/>
  <c r="H50" i="26"/>
  <c r="F51" i="26"/>
  <c r="G51" i="26"/>
  <c r="H51" i="26"/>
  <c r="F52" i="26"/>
  <c r="G52" i="26"/>
  <c r="H52" i="26"/>
  <c r="F53" i="26"/>
  <c r="G53" i="26"/>
  <c r="H53" i="26"/>
  <c r="F54" i="26"/>
  <c r="G54" i="26"/>
  <c r="H54" i="26"/>
  <c r="F55" i="26"/>
  <c r="G55" i="26"/>
  <c r="H55" i="26"/>
  <c r="F56" i="26"/>
  <c r="G56" i="26"/>
  <c r="H56" i="26"/>
  <c r="F57" i="26"/>
  <c r="G57" i="26"/>
  <c r="H57" i="26"/>
  <c r="F58" i="26"/>
  <c r="G58" i="26"/>
  <c r="H58" i="26"/>
  <c r="F59" i="26"/>
  <c r="G59" i="26"/>
  <c r="H59" i="26"/>
  <c r="F60" i="26"/>
  <c r="G60" i="26"/>
  <c r="H60" i="26"/>
  <c r="F61" i="26"/>
  <c r="G61" i="26"/>
  <c r="H61" i="26"/>
  <c r="F62" i="26"/>
  <c r="G62" i="26"/>
  <c r="H62" i="26"/>
  <c r="F63" i="26"/>
  <c r="G63" i="26"/>
  <c r="H63" i="26"/>
  <c r="F64" i="26"/>
  <c r="G64" i="26"/>
  <c r="H64" i="26"/>
  <c r="F65" i="26"/>
  <c r="G65" i="26"/>
  <c r="H65" i="26"/>
  <c r="F66" i="26"/>
  <c r="G66" i="26"/>
  <c r="H66" i="26"/>
  <c r="F67" i="26"/>
  <c r="G67" i="26"/>
  <c r="H67" i="26"/>
  <c r="F68" i="26"/>
  <c r="G68" i="26"/>
  <c r="H68" i="26"/>
  <c r="F69" i="26"/>
  <c r="G69" i="26"/>
  <c r="H69" i="26"/>
  <c r="F70" i="26"/>
  <c r="G70" i="26"/>
  <c r="H70" i="26"/>
  <c r="F71" i="26"/>
  <c r="G71" i="26"/>
  <c r="H71" i="26"/>
  <c r="F72" i="26"/>
  <c r="G72" i="26"/>
  <c r="H72" i="26"/>
  <c r="F73" i="26"/>
  <c r="G73" i="26"/>
  <c r="H73" i="26"/>
  <c r="F74" i="26"/>
  <c r="G74" i="26"/>
  <c r="H74" i="26"/>
  <c r="F75" i="26"/>
  <c r="G75" i="26"/>
  <c r="H75" i="26"/>
  <c r="F76" i="26"/>
  <c r="G76" i="26"/>
  <c r="H76" i="26"/>
  <c r="F77" i="26"/>
  <c r="G77" i="26"/>
  <c r="H77" i="26"/>
  <c r="F78" i="26"/>
  <c r="G78" i="26"/>
  <c r="H78" i="26"/>
  <c r="F79" i="26"/>
  <c r="G79" i="26"/>
  <c r="H79" i="26"/>
  <c r="F80" i="26"/>
  <c r="G80" i="26"/>
  <c r="H80" i="26"/>
  <c r="F81" i="26"/>
  <c r="G81" i="26"/>
  <c r="H81" i="26"/>
  <c r="F82" i="26"/>
  <c r="G82" i="26"/>
  <c r="H82" i="26"/>
  <c r="F83" i="26"/>
  <c r="G83" i="26"/>
  <c r="H83" i="26"/>
  <c r="F84" i="26"/>
  <c r="G84" i="26"/>
  <c r="H84" i="26"/>
  <c r="F85" i="26"/>
  <c r="G85" i="26"/>
  <c r="H85" i="26"/>
  <c r="F86" i="26"/>
  <c r="G86" i="26"/>
  <c r="H86" i="26"/>
  <c r="F87" i="26"/>
  <c r="G87" i="26"/>
  <c r="H87" i="26"/>
  <c r="F88" i="26"/>
  <c r="G88" i="26"/>
  <c r="H88" i="26"/>
  <c r="F89" i="26"/>
  <c r="G89" i="26"/>
  <c r="H89" i="26"/>
  <c r="F90" i="26"/>
  <c r="G90" i="26"/>
  <c r="H90" i="26"/>
  <c r="F91" i="26"/>
  <c r="G91" i="26"/>
  <c r="H91" i="26"/>
  <c r="F92" i="26"/>
  <c r="G92" i="26"/>
  <c r="H92" i="26"/>
  <c r="F93" i="26"/>
  <c r="G93" i="26"/>
  <c r="H93" i="26"/>
  <c r="F94" i="26"/>
  <c r="G94" i="26"/>
  <c r="H94" i="26"/>
  <c r="F95" i="26"/>
  <c r="G95" i="26"/>
  <c r="H95" i="26"/>
  <c r="F96" i="26"/>
  <c r="G96" i="26"/>
  <c r="H96" i="26"/>
  <c r="F97" i="26"/>
  <c r="G97" i="26"/>
  <c r="H97" i="26"/>
  <c r="F98" i="26"/>
  <c r="G98" i="26"/>
  <c r="H98" i="26"/>
  <c r="F99" i="26"/>
  <c r="G99" i="26"/>
  <c r="H99" i="26"/>
  <c r="F100" i="26"/>
  <c r="G100" i="26"/>
  <c r="H100" i="26"/>
  <c r="F101" i="26"/>
  <c r="G101" i="26"/>
  <c r="H101" i="26"/>
  <c r="F102" i="26"/>
  <c r="G102" i="26"/>
  <c r="H102" i="26"/>
  <c r="F103" i="26"/>
  <c r="G103" i="26"/>
  <c r="H103" i="26"/>
  <c r="F104" i="26"/>
  <c r="G104" i="26"/>
  <c r="H104" i="26"/>
  <c r="F105" i="26"/>
  <c r="G105" i="26"/>
  <c r="H105" i="26"/>
  <c r="F106" i="26"/>
  <c r="G106" i="26"/>
  <c r="H106" i="26"/>
  <c r="F107" i="26"/>
  <c r="G107" i="26"/>
  <c r="H107" i="26"/>
  <c r="F108" i="26"/>
  <c r="G108" i="26"/>
  <c r="H108" i="26"/>
  <c r="F109" i="26"/>
  <c r="G109" i="26"/>
  <c r="H109" i="26"/>
  <c r="F110" i="26"/>
  <c r="G110" i="26"/>
  <c r="H110" i="26"/>
  <c r="F111" i="26"/>
  <c r="G111" i="26"/>
  <c r="H111" i="26"/>
  <c r="F112" i="26"/>
  <c r="G112" i="26"/>
  <c r="H112" i="26"/>
  <c r="F113" i="26"/>
  <c r="G113" i="26"/>
  <c r="H113" i="26"/>
  <c r="F114" i="26"/>
  <c r="G114" i="26"/>
  <c r="H114" i="26"/>
  <c r="F115" i="26"/>
  <c r="G115" i="26"/>
  <c r="H115" i="26"/>
  <c r="F116" i="26"/>
  <c r="G116" i="26"/>
  <c r="H116" i="26"/>
  <c r="F117" i="26"/>
  <c r="G117" i="26"/>
  <c r="H117" i="26"/>
  <c r="F118" i="26"/>
  <c r="G118" i="26"/>
  <c r="H118" i="26"/>
  <c r="F119" i="26"/>
  <c r="G119" i="26"/>
  <c r="H119" i="26"/>
  <c r="F120" i="26"/>
  <c r="G120" i="26"/>
  <c r="H120" i="26"/>
  <c r="F121" i="26"/>
  <c r="G121" i="26"/>
  <c r="H121" i="26"/>
  <c r="F122" i="26"/>
  <c r="G122" i="26"/>
  <c r="H122" i="26"/>
  <c r="F123" i="26"/>
  <c r="G123" i="26"/>
  <c r="H123" i="26"/>
  <c r="F124" i="26"/>
  <c r="G124" i="26"/>
  <c r="H124" i="26"/>
  <c r="F125" i="26"/>
  <c r="G125" i="26"/>
  <c r="H125" i="26"/>
  <c r="F126" i="26"/>
  <c r="G126" i="26"/>
  <c r="H126" i="26"/>
  <c r="F127" i="26"/>
  <c r="G127" i="26"/>
  <c r="H127" i="26"/>
  <c r="F128" i="26"/>
  <c r="G128" i="26"/>
  <c r="H128" i="26"/>
  <c r="F129" i="26"/>
  <c r="G129" i="26"/>
  <c r="H129" i="26"/>
  <c r="F130" i="26"/>
  <c r="G130" i="26"/>
  <c r="H130" i="26"/>
  <c r="F131" i="26"/>
  <c r="G131" i="26"/>
  <c r="H131" i="26"/>
  <c r="F132" i="26"/>
  <c r="G132" i="26"/>
  <c r="H132" i="26"/>
  <c r="F133" i="26"/>
  <c r="G133" i="26"/>
  <c r="H133" i="26"/>
  <c r="F134" i="26"/>
  <c r="G134" i="26"/>
  <c r="H134" i="26"/>
  <c r="F135" i="26"/>
  <c r="G135" i="26"/>
  <c r="H135" i="26"/>
  <c r="F136" i="26"/>
  <c r="G136" i="26"/>
  <c r="H136" i="26"/>
  <c r="F137" i="26"/>
  <c r="G137" i="26"/>
  <c r="H137" i="26"/>
  <c r="F138" i="26"/>
  <c r="G138" i="26"/>
  <c r="H138" i="26"/>
  <c r="F139" i="26"/>
  <c r="G139" i="26"/>
  <c r="H139" i="26"/>
  <c r="F140" i="26"/>
  <c r="G140" i="26"/>
  <c r="H140" i="26"/>
  <c r="F141" i="26"/>
  <c r="G141" i="26"/>
  <c r="H141" i="26"/>
  <c r="F142" i="26"/>
  <c r="G142" i="26"/>
  <c r="H142" i="26"/>
  <c r="F143" i="26"/>
  <c r="G143" i="26"/>
  <c r="H143" i="26"/>
  <c r="F144" i="26"/>
  <c r="G144" i="26"/>
  <c r="H144" i="26"/>
  <c r="F145" i="26"/>
  <c r="G145" i="26"/>
  <c r="H145" i="26"/>
  <c r="F146" i="26"/>
  <c r="G146" i="26"/>
  <c r="H146" i="26"/>
  <c r="F147" i="26"/>
  <c r="G147" i="26"/>
  <c r="H147" i="26"/>
  <c r="F148" i="26"/>
  <c r="G148" i="26"/>
  <c r="H148" i="26"/>
  <c r="F149" i="26"/>
  <c r="G149" i="26"/>
  <c r="H149" i="26"/>
  <c r="F150" i="26"/>
  <c r="G150" i="26"/>
  <c r="H150" i="26"/>
  <c r="F151" i="26"/>
  <c r="G151" i="26"/>
  <c r="H151" i="26"/>
  <c r="F152" i="26"/>
  <c r="G152" i="26"/>
  <c r="H152" i="26"/>
  <c r="F153" i="26"/>
  <c r="G153" i="26"/>
  <c r="H153" i="26"/>
  <c r="F154" i="26"/>
  <c r="G154" i="26"/>
  <c r="H154" i="26"/>
  <c r="F155" i="26"/>
  <c r="G155" i="26"/>
  <c r="H155" i="26"/>
  <c r="F156" i="26"/>
  <c r="G156" i="26"/>
  <c r="H156" i="26"/>
  <c r="F157" i="26"/>
  <c r="G157" i="26"/>
  <c r="H157" i="26"/>
  <c r="F158" i="26"/>
  <c r="G158" i="26"/>
  <c r="H158" i="26"/>
  <c r="F159" i="26"/>
  <c r="G159" i="26"/>
  <c r="H159" i="26"/>
  <c r="F160" i="26"/>
  <c r="G160" i="26"/>
  <c r="H160" i="26"/>
  <c r="F161" i="26"/>
  <c r="G161" i="26"/>
  <c r="H161" i="26"/>
  <c r="F162" i="26"/>
  <c r="G162" i="26"/>
  <c r="H162" i="26"/>
  <c r="F163" i="26"/>
  <c r="G163" i="26"/>
  <c r="H163" i="26"/>
  <c r="F164" i="26"/>
  <c r="G164" i="26"/>
  <c r="H164" i="26"/>
  <c r="F165" i="26"/>
  <c r="G165" i="26"/>
  <c r="H165" i="26"/>
  <c r="F166" i="26"/>
  <c r="G166" i="26"/>
  <c r="H166" i="26"/>
  <c r="F167" i="26"/>
  <c r="G167" i="26"/>
  <c r="H167" i="26"/>
  <c r="F168" i="26"/>
  <c r="G168" i="26"/>
  <c r="H168" i="26"/>
  <c r="F169" i="26"/>
  <c r="G169" i="26"/>
  <c r="H169" i="26"/>
  <c r="F170" i="26"/>
  <c r="G170" i="26"/>
  <c r="H170" i="26"/>
  <c r="F171" i="26"/>
  <c r="G171" i="26"/>
  <c r="H171" i="26"/>
  <c r="F172" i="26"/>
  <c r="G172" i="26"/>
  <c r="H172" i="26"/>
  <c r="F173" i="26"/>
  <c r="G173" i="26"/>
  <c r="H173" i="26"/>
  <c r="F174" i="26"/>
  <c r="G174" i="26"/>
  <c r="H174" i="26"/>
  <c r="F175" i="26"/>
  <c r="G175" i="26"/>
  <c r="H175" i="26"/>
  <c r="F176" i="26"/>
  <c r="G176" i="26"/>
  <c r="H176" i="26"/>
  <c r="F177" i="26"/>
  <c r="G177" i="26"/>
  <c r="H177" i="26"/>
  <c r="F178" i="26"/>
  <c r="G178" i="26"/>
  <c r="H178" i="26"/>
  <c r="F179" i="26"/>
  <c r="G179" i="26"/>
  <c r="H179" i="26"/>
  <c r="F180" i="26"/>
  <c r="G180" i="26"/>
  <c r="H180" i="26"/>
  <c r="F181" i="26"/>
  <c r="G181" i="26"/>
  <c r="H181" i="26"/>
  <c r="F182" i="26"/>
  <c r="G182" i="26"/>
  <c r="H182" i="26"/>
  <c r="F183" i="26"/>
  <c r="G183" i="26"/>
  <c r="H183" i="26"/>
  <c r="F184" i="26"/>
  <c r="G184" i="26"/>
  <c r="H184" i="26"/>
  <c r="F185" i="26"/>
  <c r="G185" i="26"/>
  <c r="H185" i="26"/>
  <c r="F186" i="26"/>
  <c r="G186" i="26"/>
  <c r="H186" i="26"/>
  <c r="F187" i="26"/>
  <c r="G187" i="26"/>
  <c r="H187" i="26"/>
  <c r="F188" i="26"/>
  <c r="G188" i="26"/>
  <c r="H188" i="26"/>
  <c r="F189" i="26"/>
  <c r="G189" i="26"/>
  <c r="H189" i="26"/>
  <c r="F190" i="26"/>
  <c r="G190" i="26"/>
  <c r="H190" i="26"/>
  <c r="F191" i="26"/>
  <c r="G191" i="26"/>
  <c r="H191" i="26"/>
  <c r="F192" i="26"/>
  <c r="G192" i="26"/>
  <c r="H192" i="26"/>
  <c r="F193" i="26"/>
  <c r="G193" i="26"/>
  <c r="H193" i="26"/>
  <c r="F194" i="26"/>
  <c r="G194" i="26"/>
  <c r="H194" i="26"/>
  <c r="F195" i="26"/>
  <c r="G195" i="26"/>
  <c r="H195" i="26"/>
  <c r="F196" i="26"/>
  <c r="G196" i="26"/>
  <c r="H196" i="26"/>
  <c r="F197" i="26"/>
  <c r="G197" i="26"/>
  <c r="H197" i="26"/>
  <c r="F198" i="26"/>
  <c r="G198" i="26"/>
  <c r="H198" i="26"/>
  <c r="F199" i="26"/>
  <c r="G199" i="26"/>
  <c r="H199" i="26"/>
  <c r="F200" i="26"/>
  <c r="G200" i="26"/>
  <c r="H200" i="26"/>
  <c r="F201" i="26"/>
  <c r="G201" i="26"/>
  <c r="H201" i="26"/>
  <c r="F202" i="26"/>
  <c r="G202" i="26"/>
  <c r="H202" i="26"/>
  <c r="F203" i="26"/>
  <c r="G203" i="26"/>
  <c r="H203" i="26"/>
  <c r="F204" i="26"/>
  <c r="G204" i="26"/>
  <c r="H204" i="26"/>
  <c r="F205" i="26"/>
  <c r="G205" i="26"/>
  <c r="H205" i="26"/>
  <c r="F206" i="26"/>
  <c r="G206" i="26"/>
  <c r="H206" i="26"/>
  <c r="F207" i="26"/>
  <c r="G207" i="26"/>
  <c r="H207" i="26"/>
  <c r="F208" i="26"/>
  <c r="G208" i="26"/>
  <c r="H208" i="26"/>
  <c r="F209" i="26"/>
  <c r="G209" i="26"/>
  <c r="H209" i="26"/>
  <c r="F210" i="26"/>
  <c r="G210" i="26"/>
  <c r="H210" i="26"/>
  <c r="F211" i="26"/>
  <c r="G211" i="26"/>
  <c r="H211" i="26"/>
  <c r="F212" i="26"/>
  <c r="G212" i="26"/>
  <c r="H212" i="26"/>
  <c r="F213" i="26"/>
  <c r="G213" i="26"/>
  <c r="H213" i="26"/>
  <c r="F214" i="26"/>
  <c r="G214" i="26"/>
  <c r="H214" i="26"/>
  <c r="F215" i="26"/>
  <c r="G215" i="26"/>
  <c r="H215" i="26"/>
  <c r="F216" i="26"/>
  <c r="G216" i="26"/>
  <c r="H216" i="26"/>
  <c r="F217" i="26"/>
  <c r="G217" i="26"/>
  <c r="H217" i="26"/>
  <c r="F218" i="26"/>
  <c r="G218" i="26"/>
  <c r="H218" i="26"/>
  <c r="F219" i="26"/>
  <c r="G219" i="26"/>
  <c r="H219" i="26"/>
  <c r="F220" i="26"/>
  <c r="G220" i="26"/>
  <c r="H220" i="26"/>
  <c r="F221" i="26"/>
  <c r="G221" i="26"/>
  <c r="H221" i="26"/>
  <c r="F222" i="26"/>
  <c r="G222" i="26"/>
  <c r="H222" i="26"/>
  <c r="F223" i="26"/>
  <c r="G223" i="26"/>
  <c r="H223" i="26"/>
  <c r="F224" i="26"/>
  <c r="G224" i="26"/>
  <c r="H224" i="26"/>
  <c r="F225" i="26"/>
  <c r="G225" i="26"/>
  <c r="H225" i="26"/>
  <c r="F226" i="26"/>
  <c r="G226" i="26"/>
  <c r="H226" i="26"/>
  <c r="F227" i="26"/>
  <c r="G227" i="26"/>
  <c r="H227" i="26"/>
  <c r="F228" i="26"/>
  <c r="G228" i="26"/>
  <c r="H228" i="26"/>
  <c r="F229" i="26"/>
  <c r="G229" i="26"/>
  <c r="H229" i="26"/>
  <c r="F230" i="26"/>
  <c r="G230" i="26"/>
  <c r="H230" i="26"/>
  <c r="F231" i="26"/>
  <c r="G231" i="26"/>
  <c r="H231" i="26"/>
  <c r="F232" i="26"/>
  <c r="G232" i="26"/>
  <c r="H232" i="26"/>
  <c r="F233" i="26"/>
  <c r="G233" i="26"/>
  <c r="H233" i="26"/>
  <c r="F234" i="26"/>
  <c r="G234" i="26"/>
  <c r="H234" i="26"/>
  <c r="F235" i="26"/>
  <c r="G235" i="26"/>
  <c r="H235" i="26"/>
  <c r="F236" i="26"/>
  <c r="G236" i="26"/>
  <c r="H236" i="26"/>
  <c r="F237" i="26"/>
  <c r="G237" i="26"/>
  <c r="H237" i="26"/>
  <c r="F238" i="26"/>
  <c r="G238" i="26"/>
  <c r="H238" i="26"/>
  <c r="F239" i="26"/>
  <c r="G239" i="26"/>
  <c r="H239" i="26"/>
  <c r="F240" i="26"/>
  <c r="G240" i="26"/>
  <c r="H240" i="26"/>
  <c r="F241" i="26"/>
  <c r="G241" i="26"/>
  <c r="H241" i="26"/>
  <c r="F242" i="26"/>
  <c r="G242" i="26"/>
  <c r="H242" i="26"/>
  <c r="F243" i="26"/>
  <c r="G243" i="26"/>
  <c r="H243" i="26"/>
  <c r="F244" i="26"/>
  <c r="G244" i="26"/>
  <c r="H244" i="26"/>
  <c r="F245" i="26"/>
  <c r="G245" i="26"/>
  <c r="H245" i="26"/>
  <c r="F246" i="26"/>
  <c r="G246" i="26"/>
  <c r="H246" i="26"/>
  <c r="F247" i="26"/>
  <c r="G247" i="26"/>
  <c r="H247" i="26"/>
  <c r="F248" i="26"/>
  <c r="G248" i="26"/>
  <c r="H248" i="26"/>
  <c r="F249" i="26"/>
  <c r="G249" i="26"/>
  <c r="H249" i="26"/>
  <c r="F250" i="26"/>
  <c r="G250" i="26"/>
  <c r="H250" i="26"/>
  <c r="F251" i="26"/>
  <c r="G251" i="26"/>
  <c r="H251" i="26"/>
  <c r="F252" i="26"/>
  <c r="G252" i="26"/>
  <c r="H252" i="26"/>
  <c r="F253" i="26"/>
  <c r="G253" i="26"/>
  <c r="H253" i="26"/>
  <c r="F254" i="26"/>
  <c r="G254" i="26"/>
  <c r="H254" i="26"/>
  <c r="F255" i="26"/>
  <c r="G255" i="26"/>
  <c r="H255" i="26"/>
  <c r="F256" i="26"/>
  <c r="G256" i="26"/>
  <c r="H256" i="26"/>
  <c r="F257" i="26"/>
  <c r="G257" i="26"/>
  <c r="H257" i="26"/>
  <c r="F258" i="26"/>
  <c r="G258" i="26"/>
  <c r="H258" i="26"/>
  <c r="F259" i="26"/>
  <c r="G259" i="26"/>
  <c r="H259" i="26"/>
  <c r="F260" i="26"/>
  <c r="G260" i="26"/>
  <c r="H260" i="26"/>
  <c r="F261" i="26"/>
  <c r="G261" i="26"/>
  <c r="H261" i="26"/>
  <c r="F262" i="26"/>
  <c r="G262" i="26"/>
  <c r="H262" i="26"/>
  <c r="F263" i="26"/>
  <c r="G263" i="26"/>
  <c r="H263" i="26"/>
  <c r="F264" i="26"/>
  <c r="G264" i="26"/>
  <c r="H264" i="26"/>
  <c r="F265" i="26"/>
  <c r="G265" i="26"/>
  <c r="H265" i="26"/>
  <c r="F266" i="26"/>
  <c r="G266" i="26"/>
  <c r="H266" i="26"/>
  <c r="F267" i="26"/>
  <c r="G267" i="26"/>
  <c r="H267" i="26"/>
  <c r="F268" i="26"/>
  <c r="G268" i="26"/>
  <c r="H268" i="26"/>
  <c r="F269" i="26"/>
  <c r="G269" i="26"/>
  <c r="H269" i="26"/>
  <c r="F270" i="26"/>
  <c r="G270" i="26"/>
  <c r="H270" i="26"/>
  <c r="F271" i="26"/>
  <c r="G271" i="26"/>
  <c r="H271" i="26"/>
  <c r="F272" i="26"/>
  <c r="G272" i="26"/>
  <c r="H272" i="26"/>
  <c r="F273" i="26"/>
  <c r="G273" i="26"/>
  <c r="H273" i="26"/>
  <c r="F274" i="26"/>
  <c r="G274" i="26"/>
  <c r="H274" i="26"/>
  <c r="F275" i="26"/>
  <c r="G275" i="26"/>
  <c r="H275" i="26"/>
  <c r="F276" i="26"/>
  <c r="G276" i="26"/>
  <c r="H276" i="26"/>
  <c r="F277" i="26"/>
  <c r="G277" i="26"/>
  <c r="H277" i="26"/>
  <c r="F278" i="26"/>
  <c r="G278" i="26"/>
  <c r="H278" i="26"/>
  <c r="F279" i="26"/>
  <c r="G279" i="26"/>
  <c r="H279" i="26"/>
  <c r="F280" i="26"/>
  <c r="G280" i="26"/>
  <c r="H280" i="26"/>
  <c r="F281" i="26"/>
  <c r="G281" i="26"/>
  <c r="H281" i="26"/>
  <c r="F282" i="26"/>
  <c r="G282" i="26"/>
  <c r="H282" i="26"/>
  <c r="F283" i="26"/>
  <c r="G283" i="26"/>
  <c r="H283" i="26"/>
  <c r="F284" i="26"/>
  <c r="G284" i="26"/>
  <c r="H284" i="26"/>
  <c r="F285" i="26"/>
  <c r="G285" i="26"/>
  <c r="H285" i="26"/>
  <c r="F286" i="26"/>
  <c r="G286" i="26"/>
  <c r="H286" i="26"/>
  <c r="F287" i="26"/>
  <c r="G287" i="26"/>
  <c r="H287" i="26"/>
  <c r="F288" i="26"/>
  <c r="G288" i="26"/>
  <c r="H288" i="26"/>
  <c r="F289" i="26"/>
  <c r="G289" i="26"/>
  <c r="H289" i="26"/>
  <c r="F290" i="26"/>
  <c r="G290" i="26"/>
  <c r="H290" i="26"/>
  <c r="F291" i="26"/>
  <c r="G291" i="26"/>
  <c r="H291" i="26"/>
  <c r="F292" i="26"/>
  <c r="G292" i="26"/>
  <c r="H292" i="26"/>
  <c r="F293" i="26"/>
  <c r="G293" i="26"/>
  <c r="H293" i="26"/>
  <c r="F294" i="26"/>
  <c r="G294" i="26"/>
  <c r="H294" i="26"/>
  <c r="F295" i="26"/>
  <c r="G295" i="26"/>
  <c r="H295" i="26"/>
  <c r="F296" i="26"/>
  <c r="G296" i="26"/>
  <c r="H296" i="26"/>
  <c r="F297" i="26"/>
  <c r="G297" i="26"/>
  <c r="H297" i="26"/>
  <c r="F298" i="26"/>
  <c r="G298" i="26"/>
  <c r="H298" i="26"/>
  <c r="F299" i="26"/>
  <c r="G299" i="26"/>
  <c r="H299" i="26"/>
  <c r="F300" i="26"/>
  <c r="G300" i="26"/>
  <c r="H300" i="26"/>
  <c r="F301" i="26"/>
  <c r="G301" i="26"/>
  <c r="H301" i="26"/>
  <c r="F302" i="26"/>
  <c r="G302" i="26"/>
  <c r="H302" i="26"/>
  <c r="F303" i="26"/>
  <c r="G303" i="26"/>
  <c r="H303" i="26"/>
  <c r="F304" i="26"/>
  <c r="G304" i="26"/>
  <c r="H304" i="26"/>
  <c r="F305" i="26"/>
  <c r="G305" i="26"/>
  <c r="H305" i="26"/>
  <c r="F306" i="26"/>
  <c r="G306" i="26"/>
  <c r="H306" i="26"/>
  <c r="F307" i="26"/>
  <c r="G307" i="26"/>
  <c r="H307" i="26"/>
  <c r="F308" i="26"/>
  <c r="G308" i="26"/>
  <c r="H308" i="26"/>
  <c r="F309" i="26"/>
  <c r="G309" i="26"/>
  <c r="H309" i="26"/>
  <c r="F310" i="26"/>
  <c r="G310" i="26"/>
  <c r="H310" i="26"/>
  <c r="F311" i="26"/>
  <c r="G311" i="26"/>
  <c r="H311" i="26"/>
  <c r="F312" i="26"/>
  <c r="G312" i="26"/>
  <c r="H312" i="26"/>
  <c r="F313" i="26"/>
  <c r="G313" i="26"/>
  <c r="H313" i="26"/>
  <c r="F314" i="26"/>
  <c r="G314" i="26"/>
  <c r="H314" i="26"/>
  <c r="F315" i="26"/>
  <c r="G315" i="26"/>
  <c r="H315" i="26"/>
  <c r="F316" i="26"/>
  <c r="G316" i="26"/>
  <c r="H316" i="26"/>
  <c r="F317" i="26"/>
  <c r="G317" i="26"/>
  <c r="H317" i="26"/>
  <c r="F318" i="26"/>
  <c r="G318" i="26"/>
  <c r="H318" i="26"/>
  <c r="F319" i="26"/>
  <c r="G319" i="26"/>
  <c r="H319" i="26"/>
  <c r="F320" i="26"/>
  <c r="G320" i="26"/>
  <c r="H320" i="26"/>
  <c r="F321" i="26"/>
  <c r="G321" i="26"/>
  <c r="H321" i="26"/>
  <c r="F322" i="26"/>
  <c r="G322" i="26"/>
  <c r="H322" i="26"/>
  <c r="F323" i="26"/>
  <c r="G323" i="26"/>
  <c r="H323" i="26"/>
  <c r="F324" i="26"/>
  <c r="G324" i="26"/>
  <c r="H324" i="26"/>
  <c r="F325" i="26"/>
  <c r="G325" i="26"/>
  <c r="H325" i="26"/>
  <c r="F326" i="26"/>
  <c r="G326" i="26"/>
  <c r="H326" i="26"/>
  <c r="F327" i="26"/>
  <c r="G327" i="26"/>
  <c r="H327" i="26"/>
  <c r="F328" i="26"/>
  <c r="G328" i="26"/>
  <c r="H328" i="26"/>
  <c r="F329" i="26"/>
  <c r="G329" i="26"/>
  <c r="H329" i="26"/>
  <c r="F330" i="26"/>
  <c r="G330" i="26"/>
  <c r="H330" i="26"/>
  <c r="F331" i="26"/>
  <c r="G331" i="26"/>
  <c r="H331" i="26"/>
  <c r="F332" i="26"/>
  <c r="G332" i="26"/>
  <c r="H332" i="26"/>
  <c r="F333" i="26"/>
  <c r="G333" i="26"/>
  <c r="H333" i="26"/>
  <c r="F334" i="26"/>
  <c r="G334" i="26"/>
  <c r="H334" i="26"/>
  <c r="F335" i="26"/>
  <c r="G335" i="26"/>
  <c r="H335" i="26"/>
  <c r="F336" i="26"/>
  <c r="G336" i="26"/>
  <c r="H336" i="26"/>
  <c r="F337" i="26"/>
  <c r="G337" i="26"/>
  <c r="H337" i="26"/>
  <c r="F338" i="26"/>
  <c r="G338" i="26"/>
  <c r="H338" i="26"/>
  <c r="F339" i="26"/>
  <c r="G339" i="26"/>
  <c r="H339" i="26"/>
  <c r="F340" i="26"/>
  <c r="G340" i="26"/>
  <c r="H340" i="26"/>
  <c r="F341" i="26"/>
  <c r="G341" i="26"/>
  <c r="H341" i="26"/>
  <c r="F342" i="26"/>
  <c r="G342" i="26"/>
  <c r="H342" i="26"/>
  <c r="F343" i="26"/>
  <c r="G343" i="26"/>
  <c r="H343" i="26"/>
  <c r="F344" i="26"/>
  <c r="G344" i="26"/>
  <c r="H344" i="26"/>
  <c r="F345" i="26"/>
  <c r="G345" i="26"/>
  <c r="H345" i="26"/>
  <c r="F346" i="26"/>
  <c r="G346" i="26"/>
  <c r="H346" i="26"/>
  <c r="F347" i="26"/>
  <c r="G347" i="26"/>
  <c r="H347" i="26"/>
  <c r="F348" i="26"/>
  <c r="G348" i="26"/>
  <c r="H348" i="26"/>
  <c r="F349" i="26"/>
  <c r="G349" i="26"/>
  <c r="H349" i="26"/>
  <c r="F350" i="26"/>
  <c r="G350" i="26"/>
  <c r="H350" i="26"/>
  <c r="F351" i="26"/>
  <c r="G351" i="26"/>
  <c r="H351" i="26"/>
  <c r="F352" i="26"/>
  <c r="G352" i="26"/>
  <c r="H352" i="26"/>
  <c r="F353" i="26"/>
  <c r="G353" i="26"/>
  <c r="H353" i="26"/>
  <c r="F354" i="26"/>
  <c r="G354" i="26"/>
  <c r="H354" i="26"/>
  <c r="F355" i="26"/>
  <c r="G355" i="26"/>
  <c r="H355" i="26"/>
  <c r="F356" i="26"/>
  <c r="G356" i="26"/>
  <c r="H356" i="26"/>
  <c r="F357" i="26"/>
  <c r="G357" i="26"/>
  <c r="H357" i="26"/>
  <c r="F358" i="26"/>
  <c r="G358" i="26"/>
  <c r="H358" i="26"/>
  <c r="F359" i="26"/>
  <c r="G359" i="26"/>
  <c r="H359" i="26"/>
  <c r="F360" i="26"/>
  <c r="G360" i="26"/>
  <c r="H360" i="26"/>
  <c r="F361" i="26"/>
  <c r="G361" i="26"/>
  <c r="H361" i="26"/>
  <c r="F362" i="26"/>
  <c r="G362" i="26"/>
  <c r="H362" i="26"/>
  <c r="F363" i="26"/>
  <c r="G363" i="26"/>
  <c r="H363" i="26"/>
  <c r="F364" i="26"/>
  <c r="G364" i="26"/>
  <c r="H364" i="26"/>
  <c r="F365" i="26"/>
  <c r="G365" i="26"/>
  <c r="H365" i="26"/>
  <c r="F366" i="26"/>
  <c r="G366" i="26"/>
  <c r="H366" i="26"/>
  <c r="F367" i="26"/>
  <c r="G367" i="26"/>
  <c r="H367" i="26"/>
  <c r="F368" i="26"/>
  <c r="G368" i="26"/>
  <c r="H368" i="26"/>
  <c r="F369" i="26"/>
  <c r="G369" i="26"/>
  <c r="H369" i="26"/>
  <c r="F370" i="26"/>
  <c r="G370" i="26"/>
  <c r="H370" i="26"/>
  <c r="F371" i="26"/>
  <c r="G371" i="26"/>
  <c r="H371" i="26"/>
  <c r="F372" i="26"/>
  <c r="G372" i="26"/>
  <c r="H372" i="26"/>
  <c r="F373" i="26"/>
  <c r="G373" i="26"/>
  <c r="H373" i="26"/>
  <c r="F374" i="26"/>
  <c r="G374" i="26"/>
  <c r="H374" i="26"/>
  <c r="F375" i="26"/>
  <c r="G375" i="26"/>
  <c r="H375" i="26"/>
  <c r="F376" i="26"/>
  <c r="G376" i="26"/>
  <c r="H376" i="26"/>
  <c r="F377" i="26"/>
  <c r="G377" i="26"/>
  <c r="H377" i="26"/>
  <c r="F378" i="26"/>
  <c r="G378" i="26"/>
  <c r="H378" i="26"/>
  <c r="F379" i="26"/>
  <c r="G379" i="26"/>
  <c r="H379" i="26"/>
  <c r="F380" i="26"/>
  <c r="G380" i="26"/>
  <c r="H380" i="26"/>
  <c r="F381" i="26"/>
  <c r="G381" i="26"/>
  <c r="H381" i="26"/>
  <c r="F382" i="26"/>
  <c r="G382" i="26"/>
  <c r="H382" i="26"/>
  <c r="F383" i="26"/>
  <c r="G383" i="26"/>
  <c r="H383" i="26"/>
  <c r="F384" i="26"/>
  <c r="G384" i="26"/>
  <c r="H384" i="26"/>
  <c r="F385" i="26"/>
  <c r="G385" i="26"/>
  <c r="H385" i="26"/>
  <c r="F386" i="26"/>
  <c r="G386" i="26"/>
  <c r="H386" i="26"/>
  <c r="F387" i="26"/>
  <c r="G387" i="26"/>
  <c r="H387" i="26"/>
  <c r="F388" i="26"/>
  <c r="G388" i="26"/>
  <c r="H388" i="26"/>
  <c r="F389" i="26"/>
  <c r="G389" i="26"/>
  <c r="H389" i="26"/>
  <c r="F390" i="26"/>
  <c r="G390" i="26"/>
  <c r="H390" i="26"/>
  <c r="F391" i="26"/>
  <c r="G391" i="26"/>
  <c r="H391" i="26"/>
  <c r="F392" i="26"/>
  <c r="G392" i="26"/>
  <c r="H392" i="26"/>
  <c r="F393" i="26"/>
  <c r="G393" i="26"/>
  <c r="H393" i="26"/>
  <c r="F394" i="26"/>
  <c r="G394" i="26"/>
  <c r="H394" i="26"/>
  <c r="F395" i="26"/>
  <c r="G395" i="26"/>
  <c r="H395" i="26"/>
  <c r="F396" i="26"/>
  <c r="G396" i="26"/>
  <c r="H396" i="26"/>
  <c r="F397" i="26"/>
  <c r="G397" i="26"/>
  <c r="H397" i="26"/>
  <c r="F398" i="26"/>
  <c r="G398" i="26"/>
  <c r="H398" i="26"/>
  <c r="F399" i="26"/>
  <c r="G399" i="26"/>
  <c r="H399" i="26"/>
  <c r="F400" i="26"/>
  <c r="G400" i="26"/>
  <c r="H400" i="26"/>
  <c r="F401" i="26"/>
  <c r="G401" i="26"/>
  <c r="H401" i="26"/>
  <c r="F402" i="26"/>
  <c r="G402" i="26"/>
  <c r="H402" i="26"/>
  <c r="F403" i="26"/>
  <c r="G403" i="26"/>
  <c r="H403" i="26"/>
  <c r="F404" i="26"/>
  <c r="G404" i="26"/>
  <c r="H404" i="26"/>
  <c r="F405" i="26"/>
  <c r="G405" i="26"/>
  <c r="H405" i="26"/>
  <c r="F406" i="26"/>
  <c r="G406" i="26"/>
  <c r="H406" i="26"/>
  <c r="F407" i="26"/>
  <c r="G407" i="26"/>
  <c r="H407" i="26"/>
  <c r="F408" i="26"/>
  <c r="G408" i="26"/>
  <c r="H408" i="26"/>
  <c r="F409" i="26"/>
  <c r="G409" i="26"/>
  <c r="H409" i="26"/>
  <c r="F410" i="26"/>
  <c r="G410" i="26"/>
  <c r="H410" i="26"/>
  <c r="F411" i="26"/>
  <c r="G411" i="26"/>
  <c r="H411" i="26"/>
  <c r="F412" i="26"/>
  <c r="G412" i="26"/>
  <c r="H412" i="26"/>
  <c r="F413" i="26"/>
  <c r="G413" i="26"/>
  <c r="H413" i="26"/>
  <c r="F414" i="26"/>
  <c r="G414" i="26"/>
  <c r="H414" i="26"/>
  <c r="F415" i="26"/>
  <c r="G415" i="26"/>
  <c r="H415" i="26"/>
  <c r="F416" i="26"/>
  <c r="G416" i="26"/>
  <c r="H416" i="26"/>
  <c r="F417" i="26"/>
  <c r="G417" i="26"/>
  <c r="H417" i="26"/>
  <c r="F418" i="26"/>
  <c r="G418" i="26"/>
  <c r="H418" i="26"/>
  <c r="F419" i="26"/>
  <c r="G419" i="26"/>
  <c r="H419" i="26"/>
  <c r="F420" i="26"/>
  <c r="G420" i="26"/>
  <c r="H420" i="26"/>
  <c r="F421" i="26"/>
  <c r="G421" i="26"/>
  <c r="H421" i="26"/>
  <c r="F422" i="26"/>
  <c r="G422" i="26"/>
  <c r="H422" i="26"/>
  <c r="F423" i="26"/>
  <c r="G423" i="26"/>
  <c r="H423" i="26"/>
  <c r="F424" i="26"/>
  <c r="G424" i="26"/>
  <c r="H424" i="26"/>
  <c r="F425" i="26"/>
  <c r="G425" i="26"/>
  <c r="H425" i="26"/>
  <c r="F426" i="26"/>
  <c r="G426" i="26"/>
  <c r="H426" i="26"/>
  <c r="F427" i="26"/>
  <c r="G427" i="26"/>
  <c r="H427" i="26"/>
  <c r="F428" i="26"/>
  <c r="G428" i="26"/>
  <c r="H428" i="26"/>
  <c r="F429" i="26"/>
  <c r="G429" i="26"/>
  <c r="H429" i="26"/>
  <c r="F430" i="26"/>
  <c r="G430" i="26"/>
  <c r="H430" i="26"/>
  <c r="F431" i="26"/>
  <c r="G431" i="26"/>
  <c r="H431" i="26"/>
  <c r="F432" i="26"/>
  <c r="G432" i="26"/>
  <c r="H432" i="26"/>
  <c r="F433" i="26"/>
  <c r="G433" i="26"/>
  <c r="H433" i="26"/>
  <c r="F434" i="26"/>
  <c r="G434" i="26"/>
  <c r="H434" i="26"/>
  <c r="F435" i="26"/>
  <c r="G435" i="26"/>
  <c r="H435" i="26"/>
  <c r="F436" i="26"/>
  <c r="G436" i="26"/>
  <c r="H436" i="26"/>
  <c r="F437" i="26"/>
  <c r="G437" i="26"/>
  <c r="H437" i="26"/>
  <c r="F438" i="26"/>
  <c r="G438" i="26"/>
  <c r="H438" i="26"/>
  <c r="F439" i="26"/>
  <c r="G439" i="26"/>
  <c r="H439" i="26"/>
  <c r="F440" i="26"/>
  <c r="G440" i="26"/>
  <c r="H440" i="26"/>
  <c r="F441" i="26"/>
  <c r="G441" i="26"/>
  <c r="H441" i="26"/>
  <c r="F442" i="26"/>
  <c r="G442" i="26"/>
  <c r="H442" i="26"/>
  <c r="F443" i="26"/>
  <c r="G443" i="26"/>
  <c r="H443" i="26"/>
  <c r="F444" i="26"/>
  <c r="G444" i="26"/>
  <c r="H444" i="26"/>
  <c r="F445" i="26"/>
  <c r="G445" i="26"/>
  <c r="H445" i="26"/>
  <c r="F446" i="26"/>
  <c r="G446" i="26"/>
  <c r="H446" i="26"/>
  <c r="F447" i="26"/>
  <c r="G447" i="26"/>
  <c r="H447" i="26"/>
  <c r="F448" i="26"/>
  <c r="G448" i="26"/>
  <c r="H448" i="26"/>
  <c r="F449" i="26"/>
  <c r="G449" i="26"/>
  <c r="H449" i="26"/>
  <c r="F450" i="26"/>
  <c r="G450" i="26"/>
  <c r="H450" i="26"/>
  <c r="F451" i="26"/>
  <c r="G451" i="26"/>
  <c r="H451" i="26"/>
  <c r="F452" i="26"/>
  <c r="G452" i="26"/>
  <c r="H452" i="26"/>
  <c r="F453" i="26"/>
  <c r="G453" i="26"/>
  <c r="H453" i="26"/>
  <c r="F454" i="26"/>
  <c r="G454" i="26"/>
  <c r="H454" i="26"/>
  <c r="F455" i="26"/>
  <c r="G455" i="26"/>
  <c r="H455" i="26"/>
  <c r="F456" i="26"/>
  <c r="G456" i="26"/>
  <c r="H456" i="26"/>
  <c r="F457" i="26"/>
  <c r="G457" i="26"/>
  <c r="H457" i="26"/>
  <c r="F458" i="26"/>
  <c r="G458" i="26"/>
  <c r="H458" i="26"/>
  <c r="F459" i="26"/>
  <c r="G459" i="26"/>
  <c r="H459" i="26"/>
  <c r="F460" i="26"/>
  <c r="G460" i="26"/>
  <c r="H460" i="26"/>
  <c r="F461" i="26"/>
  <c r="G461" i="26"/>
  <c r="H461" i="26"/>
  <c r="F462" i="26"/>
  <c r="G462" i="26"/>
  <c r="H462" i="26"/>
  <c r="F463" i="26"/>
  <c r="G463" i="26"/>
  <c r="H463" i="26"/>
  <c r="F464" i="26"/>
  <c r="G464" i="26"/>
  <c r="H464" i="26"/>
  <c r="F465" i="26"/>
  <c r="G465" i="26"/>
  <c r="H465" i="26"/>
  <c r="F466" i="26"/>
  <c r="G466" i="26"/>
  <c r="H466" i="26"/>
  <c r="F468" i="26"/>
  <c r="G468" i="26"/>
  <c r="H468" i="26"/>
  <c r="F469" i="26"/>
  <c r="G469" i="26"/>
  <c r="H469" i="26"/>
  <c r="F470" i="26"/>
  <c r="G470" i="26"/>
  <c r="H470" i="26"/>
  <c r="F471" i="26"/>
  <c r="G471" i="26"/>
  <c r="H471" i="26"/>
  <c r="F472" i="26"/>
  <c r="G472" i="26"/>
  <c r="H472" i="26"/>
  <c r="F473" i="26"/>
  <c r="G473" i="26"/>
  <c r="H473" i="26"/>
  <c r="F474" i="26"/>
  <c r="G474" i="26"/>
  <c r="H474" i="26"/>
  <c r="F475" i="26"/>
  <c r="G475" i="26"/>
  <c r="H475" i="26"/>
  <c r="F476" i="26"/>
  <c r="G476" i="26"/>
  <c r="H476" i="26"/>
  <c r="F477" i="26"/>
  <c r="G477" i="26"/>
  <c r="H477" i="26"/>
  <c r="F478" i="26"/>
  <c r="G478" i="26"/>
  <c r="H478" i="26"/>
  <c r="F479" i="26"/>
  <c r="G479" i="26"/>
  <c r="H479" i="26"/>
  <c r="F480" i="26"/>
  <c r="G480" i="26"/>
  <c r="H480" i="26"/>
  <c r="F481" i="26"/>
  <c r="G481" i="26"/>
  <c r="H481" i="26"/>
  <c r="F482" i="26"/>
  <c r="G482" i="26"/>
  <c r="H482" i="26"/>
  <c r="F483" i="26"/>
  <c r="G483" i="26"/>
  <c r="H483" i="26"/>
  <c r="F484" i="26"/>
  <c r="G484" i="26"/>
  <c r="H484" i="26"/>
  <c r="F485" i="26"/>
  <c r="G485" i="26"/>
  <c r="H485" i="26"/>
  <c r="F486" i="26"/>
  <c r="G486" i="26"/>
  <c r="H486" i="26"/>
  <c r="F487" i="26"/>
  <c r="G487" i="26"/>
  <c r="H487" i="26"/>
  <c r="F488" i="26"/>
  <c r="G488" i="26"/>
  <c r="H488" i="26"/>
  <c r="F489" i="26"/>
  <c r="G489" i="26"/>
  <c r="H489" i="26"/>
  <c r="F490" i="26"/>
  <c r="G490" i="26"/>
  <c r="H490" i="26"/>
  <c r="F491" i="26"/>
  <c r="G491" i="26"/>
  <c r="H491" i="26"/>
  <c r="F492" i="26"/>
  <c r="G492" i="26"/>
  <c r="H492" i="26"/>
  <c r="F493" i="26"/>
  <c r="G493" i="26"/>
  <c r="H493" i="26"/>
  <c r="F494" i="26"/>
  <c r="G494" i="26"/>
  <c r="H494" i="26"/>
  <c r="F495" i="26"/>
  <c r="G495" i="26"/>
  <c r="H495" i="26"/>
  <c r="F496" i="26"/>
  <c r="G496" i="26"/>
  <c r="H496" i="26"/>
  <c r="F497" i="26"/>
  <c r="G497" i="26"/>
  <c r="H497" i="26"/>
  <c r="F498" i="26"/>
  <c r="G498" i="26"/>
  <c r="H498" i="26"/>
  <c r="F499" i="26"/>
  <c r="G499" i="26"/>
  <c r="H499" i="26"/>
  <c r="F500" i="26"/>
  <c r="G500" i="26"/>
  <c r="H500" i="26"/>
  <c r="F501" i="26"/>
  <c r="G501" i="26"/>
  <c r="H501" i="26"/>
  <c r="F502" i="26"/>
  <c r="G502" i="26"/>
  <c r="H502" i="26"/>
  <c r="F503" i="26"/>
  <c r="G503" i="26"/>
  <c r="H503" i="26"/>
  <c r="F504" i="26"/>
  <c r="G504" i="26"/>
  <c r="H504" i="26"/>
  <c r="F505" i="26"/>
  <c r="G505" i="26"/>
  <c r="H505" i="26"/>
  <c r="F506" i="26"/>
  <c r="G506" i="26"/>
  <c r="H506" i="26"/>
  <c r="F507" i="26"/>
  <c r="G507" i="26"/>
  <c r="H507" i="26"/>
  <c r="F508" i="26"/>
  <c r="G508" i="26"/>
  <c r="H508" i="26"/>
  <c r="F509" i="26"/>
  <c r="G509" i="26"/>
  <c r="H509" i="26"/>
  <c r="F510" i="26"/>
  <c r="G510" i="26"/>
  <c r="H510" i="26"/>
  <c r="F511" i="26"/>
  <c r="G511" i="26"/>
  <c r="H511" i="26"/>
  <c r="F512" i="26"/>
  <c r="G512" i="26"/>
  <c r="H512" i="26"/>
  <c r="F513" i="26"/>
  <c r="G513" i="26"/>
  <c r="H513" i="26"/>
  <c r="F514" i="26"/>
  <c r="G514" i="26"/>
  <c r="H514" i="26"/>
  <c r="F515" i="26"/>
  <c r="G515" i="26"/>
  <c r="H515" i="26"/>
  <c r="F516" i="26"/>
  <c r="G516" i="26"/>
  <c r="H516" i="26"/>
  <c r="F517" i="26"/>
  <c r="G517" i="26"/>
  <c r="H517" i="26"/>
  <c r="F518" i="26"/>
  <c r="G518" i="26"/>
  <c r="H518" i="26"/>
  <c r="F519" i="26"/>
  <c r="G519" i="26"/>
  <c r="H519" i="26"/>
  <c r="F520" i="26"/>
  <c r="G520" i="26"/>
  <c r="H520" i="26"/>
  <c r="F521" i="26"/>
  <c r="G521" i="26"/>
  <c r="H521" i="26"/>
  <c r="F522" i="26"/>
  <c r="G522" i="26"/>
  <c r="H522" i="26"/>
  <c r="F523" i="26"/>
  <c r="G523" i="26"/>
  <c r="H523" i="26"/>
  <c r="F524" i="26"/>
  <c r="G524" i="26"/>
  <c r="H524" i="26"/>
  <c r="F525" i="26"/>
  <c r="G525" i="26"/>
  <c r="H525" i="26"/>
  <c r="F526" i="26"/>
  <c r="G526" i="26"/>
  <c r="H526" i="26"/>
  <c r="F527" i="26"/>
  <c r="G527" i="26"/>
  <c r="H527" i="26"/>
  <c r="F528" i="26"/>
  <c r="G528" i="26"/>
  <c r="H528" i="26"/>
  <c r="F529" i="26"/>
  <c r="G529" i="26"/>
  <c r="H529" i="26"/>
  <c r="F530" i="26"/>
  <c r="G530" i="26"/>
  <c r="H530" i="26"/>
  <c r="F531" i="26"/>
  <c r="G531" i="26"/>
  <c r="H531" i="26"/>
  <c r="F532" i="26"/>
  <c r="G532" i="26"/>
  <c r="H532" i="26"/>
  <c r="F533" i="26"/>
  <c r="G533" i="26"/>
  <c r="H533" i="26"/>
  <c r="F534" i="26"/>
  <c r="G534" i="26"/>
  <c r="H534" i="26"/>
  <c r="F535" i="26"/>
  <c r="G535" i="26"/>
  <c r="H535" i="26"/>
  <c r="F536" i="26"/>
  <c r="G536" i="26"/>
  <c r="H536" i="26"/>
  <c r="F537" i="26"/>
  <c r="G537" i="26"/>
  <c r="H537" i="26"/>
  <c r="F538" i="26"/>
  <c r="G538" i="26"/>
  <c r="H538" i="26"/>
  <c r="F539" i="26"/>
  <c r="G539" i="26"/>
  <c r="H539" i="26"/>
  <c r="F540" i="26"/>
  <c r="G540" i="26"/>
  <c r="H540" i="26"/>
  <c r="F541" i="26"/>
  <c r="G541" i="26"/>
  <c r="H541" i="26"/>
  <c r="F542" i="26"/>
  <c r="G542" i="26"/>
  <c r="H542" i="26"/>
  <c r="F543" i="26"/>
  <c r="G543" i="26"/>
  <c r="H543" i="26"/>
  <c r="F544" i="26"/>
  <c r="G544" i="26"/>
  <c r="H544" i="26"/>
  <c r="F545" i="26"/>
  <c r="G545" i="26"/>
  <c r="H545" i="26"/>
  <c r="F546" i="26"/>
  <c r="G546" i="26"/>
  <c r="H546" i="26"/>
  <c r="F547" i="26"/>
  <c r="G547" i="26"/>
  <c r="H547" i="26"/>
  <c r="F548" i="26"/>
  <c r="G548" i="26"/>
  <c r="H548" i="26"/>
  <c r="F549" i="26"/>
  <c r="G549" i="26"/>
  <c r="H549" i="26"/>
  <c r="F550" i="26"/>
  <c r="G550" i="26"/>
  <c r="H550" i="26"/>
  <c r="F551" i="26"/>
  <c r="G551" i="26"/>
  <c r="H551" i="26"/>
  <c r="F552" i="26"/>
  <c r="G552" i="26"/>
  <c r="H552" i="26"/>
  <c r="F553" i="26"/>
  <c r="G553" i="26"/>
  <c r="H553" i="26"/>
  <c r="F554" i="26"/>
  <c r="G554" i="26"/>
  <c r="H554" i="26"/>
  <c r="F555" i="26"/>
  <c r="G555" i="26"/>
  <c r="H555" i="26"/>
  <c r="F556" i="26"/>
  <c r="G556" i="26"/>
  <c r="H556" i="26"/>
  <c r="F557" i="26"/>
  <c r="G557" i="26"/>
  <c r="H557" i="26"/>
  <c r="F558" i="26"/>
  <c r="G558" i="26"/>
  <c r="H558" i="26"/>
  <c r="F559" i="26"/>
  <c r="G559" i="26"/>
  <c r="H559" i="26"/>
  <c r="F560" i="26"/>
  <c r="G560" i="26"/>
  <c r="H560" i="26"/>
  <c r="F561" i="26"/>
  <c r="G561" i="26"/>
  <c r="H561" i="26"/>
  <c r="F562" i="26"/>
  <c r="G562" i="26"/>
  <c r="H562" i="26"/>
  <c r="F563" i="26"/>
  <c r="G563" i="26"/>
  <c r="H563" i="26"/>
  <c r="F564" i="26"/>
  <c r="G564" i="26"/>
  <c r="H564" i="26"/>
  <c r="F565" i="26"/>
  <c r="G565" i="26"/>
  <c r="H565" i="26"/>
  <c r="F566" i="26"/>
  <c r="G566" i="26"/>
  <c r="H566" i="26"/>
  <c r="F567" i="26"/>
  <c r="G567" i="26"/>
  <c r="H567" i="26"/>
  <c r="F568" i="26"/>
  <c r="G568" i="26"/>
  <c r="H568" i="26"/>
  <c r="F569" i="26"/>
  <c r="G569" i="26"/>
  <c r="H569" i="26"/>
  <c r="F570" i="26"/>
  <c r="G570" i="26"/>
  <c r="H570" i="26"/>
  <c r="F571" i="26"/>
  <c r="G571" i="26"/>
  <c r="H571" i="26"/>
  <c r="F572" i="26"/>
  <c r="G572" i="26"/>
  <c r="H572" i="26"/>
  <c r="F573" i="26"/>
  <c r="G573" i="26"/>
  <c r="H573" i="26"/>
  <c r="F574" i="26"/>
  <c r="G574" i="26"/>
  <c r="H574" i="26"/>
  <c r="F575" i="26"/>
  <c r="G575" i="26"/>
  <c r="H575" i="26"/>
  <c r="F576" i="26"/>
  <c r="G576" i="26"/>
  <c r="H576" i="26"/>
  <c r="F577" i="26"/>
  <c r="G577" i="26"/>
  <c r="H577" i="26"/>
  <c r="F578" i="26"/>
  <c r="G578" i="26"/>
  <c r="H578" i="26"/>
  <c r="F579" i="26"/>
  <c r="G579" i="26"/>
  <c r="H579" i="26"/>
  <c r="F580" i="26"/>
  <c r="G580" i="26"/>
  <c r="H580" i="26"/>
  <c r="F581" i="26"/>
  <c r="G581" i="26"/>
  <c r="H581" i="26"/>
  <c r="F582" i="26"/>
  <c r="G582" i="26"/>
  <c r="H582" i="26"/>
  <c r="F583" i="26"/>
  <c r="G583" i="26"/>
  <c r="H583" i="26"/>
  <c r="F584" i="26"/>
  <c r="G584" i="26"/>
  <c r="H584" i="26"/>
  <c r="F585" i="26"/>
  <c r="G585" i="26"/>
  <c r="H585" i="26"/>
  <c r="F586" i="26"/>
  <c r="G586" i="26"/>
  <c r="H586" i="26"/>
  <c r="F587" i="26"/>
  <c r="G587" i="26"/>
  <c r="H587" i="26"/>
  <c r="F588" i="26"/>
  <c r="G588" i="26"/>
  <c r="H588" i="26"/>
  <c r="F589" i="26"/>
  <c r="G589" i="26"/>
  <c r="H589" i="26"/>
  <c r="F590" i="26"/>
  <c r="G590" i="26"/>
  <c r="H590" i="26"/>
  <c r="F591" i="26"/>
  <c r="G591" i="26"/>
  <c r="H591" i="26"/>
  <c r="F592" i="26"/>
  <c r="G592" i="26"/>
  <c r="H592" i="26"/>
  <c r="F593" i="26"/>
  <c r="G593" i="26"/>
  <c r="H593" i="26"/>
  <c r="F594" i="26"/>
  <c r="G594" i="26"/>
  <c r="H594" i="26"/>
  <c r="F595" i="26"/>
  <c r="G595" i="26"/>
  <c r="H595" i="26"/>
  <c r="F596" i="26"/>
  <c r="G596" i="26"/>
  <c r="H596" i="26"/>
  <c r="F597" i="26"/>
  <c r="G597" i="26"/>
  <c r="H597" i="26"/>
  <c r="F598" i="26"/>
  <c r="G598" i="26"/>
  <c r="H598" i="26"/>
  <c r="F599" i="26"/>
  <c r="G599" i="26"/>
  <c r="H599" i="26"/>
  <c r="F600" i="26"/>
  <c r="G600" i="26"/>
  <c r="H600" i="26"/>
  <c r="F601" i="26"/>
  <c r="G601" i="26"/>
  <c r="H601" i="26"/>
  <c r="F602" i="26"/>
  <c r="G602" i="26"/>
  <c r="H602" i="26"/>
  <c r="F603" i="26"/>
  <c r="G603" i="26"/>
  <c r="H603" i="26"/>
  <c r="F604" i="26"/>
  <c r="G604" i="26"/>
  <c r="H604" i="26"/>
  <c r="F605" i="26"/>
  <c r="G605" i="26"/>
  <c r="H605" i="26"/>
  <c r="F606" i="26"/>
  <c r="G606" i="26"/>
  <c r="H606" i="26"/>
  <c r="F607" i="26"/>
  <c r="G607" i="26"/>
  <c r="H607" i="26"/>
  <c r="F608" i="26"/>
  <c r="G608" i="26"/>
  <c r="H608" i="26"/>
  <c r="F609" i="26"/>
  <c r="G609" i="26"/>
  <c r="H609" i="26"/>
  <c r="F610" i="26"/>
  <c r="G610" i="26"/>
  <c r="H610" i="26"/>
  <c r="F611" i="26"/>
  <c r="G611" i="26"/>
  <c r="H611" i="26"/>
  <c r="F612" i="26"/>
  <c r="G612" i="26"/>
  <c r="H612" i="26"/>
  <c r="F613" i="26"/>
  <c r="G613" i="26"/>
  <c r="H613" i="26"/>
  <c r="F614" i="26"/>
  <c r="G614" i="26"/>
  <c r="H614" i="26"/>
  <c r="F615" i="26"/>
  <c r="G615" i="26"/>
  <c r="H615" i="26"/>
  <c r="F616" i="26"/>
  <c r="G616" i="26"/>
  <c r="H616" i="26"/>
  <c r="F617" i="26"/>
  <c r="G617" i="26"/>
  <c r="H617" i="26"/>
  <c r="F618" i="26"/>
  <c r="G618" i="26"/>
  <c r="H618" i="26"/>
  <c r="F619" i="26"/>
  <c r="G619" i="26"/>
  <c r="H619" i="26"/>
  <c r="F620" i="26"/>
  <c r="G620" i="26"/>
  <c r="H620" i="26"/>
  <c r="F621" i="26"/>
  <c r="G621" i="26"/>
  <c r="H621" i="26"/>
  <c r="F622" i="26"/>
  <c r="G622" i="26"/>
  <c r="H622" i="26"/>
  <c r="F623" i="26"/>
  <c r="G623" i="26"/>
  <c r="H623" i="26"/>
  <c r="F624" i="26"/>
  <c r="G624" i="26"/>
  <c r="H624" i="26"/>
  <c r="F625" i="26"/>
  <c r="G625" i="26"/>
  <c r="H625" i="26"/>
  <c r="F626" i="26"/>
  <c r="G626" i="26"/>
  <c r="H626" i="26"/>
  <c r="F627" i="26"/>
  <c r="G627" i="26"/>
  <c r="H627" i="26"/>
  <c r="F628" i="26"/>
  <c r="G628" i="26"/>
  <c r="H628" i="26"/>
  <c r="F629" i="26"/>
  <c r="G629" i="26"/>
  <c r="H629" i="26"/>
  <c r="F630" i="26"/>
  <c r="G630" i="26"/>
  <c r="H630" i="26"/>
  <c r="F631" i="26"/>
  <c r="G631" i="26"/>
  <c r="H631" i="26"/>
  <c r="F632" i="26"/>
  <c r="G632" i="26"/>
  <c r="H632" i="26"/>
  <c r="F633" i="26"/>
  <c r="G633" i="26"/>
  <c r="H633" i="26"/>
  <c r="F634" i="26"/>
  <c r="G634" i="26"/>
  <c r="H634" i="26"/>
  <c r="F635" i="26"/>
  <c r="G635" i="26"/>
  <c r="H635" i="26"/>
  <c r="F636" i="26"/>
  <c r="G636" i="26"/>
  <c r="H636" i="26"/>
  <c r="F637" i="26"/>
  <c r="G637" i="26"/>
  <c r="H637" i="26"/>
  <c r="F638" i="26"/>
  <c r="G638" i="26"/>
  <c r="H638" i="26"/>
  <c r="F639" i="26"/>
  <c r="G639" i="26"/>
  <c r="H639" i="26"/>
  <c r="F640" i="26"/>
  <c r="G640" i="26"/>
  <c r="H640" i="26"/>
  <c r="F641" i="26"/>
  <c r="G641" i="26"/>
  <c r="H641" i="26"/>
  <c r="F642" i="26"/>
  <c r="G642" i="26"/>
  <c r="H642" i="26"/>
  <c r="F643" i="26"/>
  <c r="G643" i="26"/>
  <c r="H643" i="26"/>
  <c r="F644" i="26"/>
  <c r="G644" i="26"/>
  <c r="H644" i="26"/>
  <c r="F645" i="26"/>
  <c r="G645" i="26"/>
  <c r="H645" i="26"/>
  <c r="F646" i="26"/>
  <c r="G646" i="26"/>
  <c r="H646" i="26"/>
  <c r="F647" i="26"/>
  <c r="G647" i="26"/>
  <c r="H647" i="26"/>
  <c r="F648" i="26"/>
  <c r="G648" i="26"/>
  <c r="H648" i="26"/>
  <c r="F649" i="26"/>
  <c r="G649" i="26"/>
  <c r="H649" i="26"/>
  <c r="F650" i="26"/>
  <c r="G650" i="26"/>
  <c r="H650" i="26"/>
  <c r="F651" i="26"/>
  <c r="G651" i="26"/>
  <c r="H651" i="26"/>
  <c r="F652" i="26"/>
  <c r="G652" i="26"/>
  <c r="H652" i="26"/>
  <c r="F653" i="26"/>
  <c r="G653" i="26"/>
  <c r="H653" i="26"/>
  <c r="F654" i="26"/>
  <c r="G654" i="26"/>
  <c r="H654" i="26"/>
  <c r="F655" i="26"/>
  <c r="G655" i="26"/>
  <c r="H655" i="26"/>
  <c r="F656" i="26"/>
  <c r="G656" i="26"/>
  <c r="H656" i="26"/>
  <c r="F657" i="26"/>
  <c r="G657" i="26"/>
  <c r="H657" i="26"/>
  <c r="F658" i="26"/>
  <c r="G658" i="26"/>
  <c r="H658" i="26"/>
  <c r="F659" i="26"/>
  <c r="G659" i="26"/>
  <c r="H659" i="26"/>
  <c r="F660" i="26"/>
  <c r="G660" i="26"/>
  <c r="H660" i="26"/>
  <c r="F661" i="26"/>
  <c r="G661" i="26"/>
  <c r="H661" i="26"/>
  <c r="F662" i="26"/>
  <c r="G662" i="26"/>
  <c r="H662" i="26"/>
  <c r="F663" i="26"/>
  <c r="G663" i="26"/>
  <c r="H663" i="26"/>
  <c r="F664" i="26"/>
  <c r="G664" i="26"/>
  <c r="H664" i="26"/>
  <c r="F665" i="26"/>
  <c r="G665" i="26"/>
  <c r="H665" i="26"/>
  <c r="F666" i="26"/>
  <c r="G666" i="26"/>
  <c r="H666" i="26"/>
  <c r="F667" i="26"/>
  <c r="G667" i="26"/>
  <c r="H667" i="26"/>
  <c r="F668" i="26"/>
  <c r="G668" i="26"/>
  <c r="H668" i="26"/>
  <c r="F669" i="26"/>
  <c r="G669" i="26"/>
  <c r="H669" i="26"/>
  <c r="F670" i="26"/>
  <c r="G670" i="26"/>
  <c r="H670" i="26"/>
  <c r="F671" i="26"/>
  <c r="G671" i="26"/>
  <c r="H671" i="26"/>
  <c r="F672" i="26"/>
  <c r="G672" i="26"/>
  <c r="H672" i="26"/>
  <c r="F673" i="26"/>
  <c r="G673" i="26"/>
  <c r="H673" i="26"/>
  <c r="F674" i="26"/>
  <c r="G674" i="26"/>
  <c r="H674" i="26"/>
  <c r="F675" i="26"/>
  <c r="G675" i="26"/>
  <c r="H675" i="26"/>
  <c r="F676" i="26"/>
  <c r="G676" i="26"/>
  <c r="H676" i="26"/>
  <c r="F677" i="26"/>
  <c r="G677" i="26"/>
  <c r="H677" i="26"/>
  <c r="F678" i="26"/>
  <c r="G678" i="26"/>
  <c r="H678" i="26"/>
  <c r="F679" i="26"/>
  <c r="G679" i="26"/>
  <c r="H679" i="26"/>
  <c r="F680" i="26"/>
  <c r="G680" i="26"/>
  <c r="H680" i="26"/>
  <c r="F681" i="26"/>
  <c r="G681" i="26"/>
  <c r="H681" i="26"/>
  <c r="F682" i="26"/>
  <c r="G682" i="26"/>
  <c r="H682" i="26"/>
  <c r="F683" i="26"/>
  <c r="G683" i="26"/>
  <c r="H683" i="26"/>
  <c r="F684" i="26"/>
  <c r="G684" i="26"/>
  <c r="H684" i="26"/>
  <c r="F685" i="26"/>
  <c r="G685" i="26"/>
  <c r="H685" i="26"/>
  <c r="F686" i="26"/>
  <c r="G686" i="26"/>
  <c r="H686" i="26"/>
  <c r="F687" i="26"/>
  <c r="G687" i="26"/>
  <c r="H687" i="26"/>
  <c r="F688" i="26"/>
  <c r="G688" i="26"/>
  <c r="H688" i="26"/>
  <c r="F689" i="26"/>
  <c r="G689" i="26"/>
  <c r="H689" i="26"/>
  <c r="F690" i="26"/>
  <c r="G690" i="26"/>
  <c r="H690" i="26"/>
  <c r="F691" i="26"/>
  <c r="G691" i="26"/>
  <c r="H691" i="26"/>
  <c r="F692" i="26"/>
  <c r="G692" i="26"/>
  <c r="H692" i="26"/>
  <c r="F693" i="26"/>
  <c r="G693" i="26"/>
  <c r="H693" i="26"/>
  <c r="F694" i="26"/>
  <c r="G694" i="26"/>
  <c r="H694" i="26"/>
  <c r="F695" i="26"/>
  <c r="G695" i="26"/>
  <c r="H695" i="26"/>
  <c r="F696" i="26"/>
  <c r="G696" i="26"/>
  <c r="H696" i="26"/>
  <c r="F697" i="26"/>
  <c r="G697" i="26"/>
  <c r="H697" i="26"/>
  <c r="F698" i="26"/>
  <c r="G698" i="26"/>
  <c r="H698" i="26"/>
  <c r="F699" i="26"/>
  <c r="G699" i="26"/>
  <c r="H699" i="26"/>
  <c r="F700" i="26"/>
  <c r="G700" i="26"/>
  <c r="H700" i="26"/>
  <c r="F701" i="26"/>
  <c r="G701" i="26"/>
  <c r="H701" i="26"/>
  <c r="F702" i="26"/>
  <c r="G702" i="26"/>
  <c r="H702" i="26"/>
  <c r="F703" i="26"/>
  <c r="G703" i="26"/>
  <c r="H703" i="26"/>
  <c r="F704" i="26"/>
  <c r="G704" i="26"/>
  <c r="H704" i="26"/>
  <c r="F705" i="26"/>
  <c r="G705" i="26"/>
  <c r="H705" i="26"/>
  <c r="F706" i="26"/>
  <c r="G706" i="26"/>
  <c r="H706" i="26"/>
  <c r="F707" i="26"/>
  <c r="G707" i="26"/>
  <c r="H707" i="26"/>
  <c r="F708" i="26"/>
  <c r="G708" i="26"/>
  <c r="H708" i="26"/>
  <c r="F709" i="26"/>
  <c r="G709" i="26"/>
  <c r="H709" i="26"/>
  <c r="F710" i="26"/>
  <c r="G710" i="26"/>
  <c r="H710" i="26"/>
  <c r="F712" i="26"/>
  <c r="G712" i="26"/>
  <c r="H712" i="26"/>
  <c r="G6" i="26"/>
  <c r="H6" i="26"/>
  <c r="F6" i="26"/>
  <c r="J700" i="30"/>
  <c r="K700" i="30"/>
  <c r="L700" i="30"/>
  <c r="M700" i="30"/>
  <c r="N700" i="30"/>
  <c r="O700" i="30"/>
  <c r="P700" i="30"/>
  <c r="Q700" i="30"/>
  <c r="R700" i="30"/>
  <c r="S700" i="30"/>
  <c r="T700" i="30"/>
  <c r="U700" i="30"/>
  <c r="V700" i="30"/>
  <c r="W700" i="30"/>
  <c r="F700" i="30"/>
  <c r="G700" i="30"/>
  <c r="H700" i="30"/>
  <c r="W710" i="26" l="1"/>
  <c r="Z710" i="26" s="1"/>
  <c r="W701" i="26"/>
  <c r="Z701" i="26" s="1"/>
  <c r="AB698" i="26"/>
  <c r="V698" i="26"/>
  <c r="W696" i="26"/>
  <c r="Z696" i="26" s="1"/>
  <c r="AB707" i="26"/>
  <c r="W705" i="26"/>
  <c r="Z705" i="26" s="1"/>
  <c r="W709" i="26"/>
  <c r="Z709" i="26" s="1"/>
  <c r="W695" i="26"/>
  <c r="Z695" i="26" s="1"/>
  <c r="W704" i="26"/>
  <c r="Z704" i="26" s="1"/>
  <c r="W699" i="26"/>
  <c r="Z699" i="26" s="1"/>
  <c r="W708" i="26"/>
  <c r="Z708" i="26" s="1"/>
  <c r="W694" i="26"/>
  <c r="Z694" i="26" s="1"/>
  <c r="W703" i="26"/>
  <c r="Z703" i="26" s="1"/>
  <c r="W698" i="26"/>
  <c r="W693" i="26"/>
  <c r="Z693" i="26" s="1"/>
  <c r="W712" i="26"/>
  <c r="Z712" i="26" s="1"/>
  <c r="W702" i="26"/>
  <c r="Z702" i="26" s="1"/>
  <c r="W697" i="26"/>
  <c r="Z697" i="26" s="1"/>
  <c r="W706" i="26"/>
  <c r="Z706" i="26" s="1"/>
  <c r="W6" i="26"/>
  <c r="V6" i="26"/>
  <c r="Z698" i="26" l="1"/>
  <c r="Y698" i="26"/>
  <c r="V9" i="30"/>
  <c r="V13" i="30"/>
  <c r="V17" i="30"/>
  <c r="V21" i="30"/>
  <c r="V25" i="30"/>
  <c r="V29" i="30"/>
  <c r="V33" i="30"/>
  <c r="V37" i="30"/>
  <c r="V41" i="30"/>
  <c r="V45" i="30"/>
  <c r="V49" i="30"/>
  <c r="V57" i="30"/>
  <c r="V61" i="30"/>
  <c r="V65" i="30"/>
  <c r="V69" i="30"/>
  <c r="V73" i="30"/>
  <c r="V77" i="30"/>
  <c r="V81" i="30"/>
  <c r="V85" i="30"/>
  <c r="V89" i="30"/>
  <c r="V93" i="30"/>
  <c r="V97" i="30"/>
  <c r="V105" i="30"/>
  <c r="V109" i="30"/>
  <c r="V113" i="30"/>
  <c r="V117" i="30"/>
  <c r="V121" i="30"/>
  <c r="V125" i="30"/>
  <c r="V129" i="30"/>
  <c r="V133" i="30"/>
  <c r="V137" i="30"/>
  <c r="V141" i="30"/>
  <c r="V145" i="30"/>
  <c r="V153" i="30"/>
  <c r="V157" i="30"/>
  <c r="V161" i="30"/>
  <c r="V165" i="30"/>
  <c r="V169" i="30"/>
  <c r="V173" i="30"/>
  <c r="V177" i="30"/>
  <c r="V181" i="30"/>
  <c r="V185" i="30"/>
  <c r="V189" i="30"/>
  <c r="V193" i="30"/>
  <c r="V201" i="30"/>
  <c r="V205" i="30"/>
  <c r="V209" i="30"/>
  <c r="V213" i="30"/>
  <c r="V217" i="30"/>
  <c r="V221" i="30"/>
  <c r="V225" i="30"/>
  <c r="V229" i="30"/>
  <c r="V233" i="30"/>
  <c r="V237" i="30"/>
  <c r="V241" i="30"/>
  <c r="V249" i="30"/>
  <c r="V253" i="30"/>
  <c r="V257" i="30"/>
  <c r="V261" i="30"/>
  <c r="V265" i="30"/>
  <c r="V269" i="30"/>
  <c r="V273" i="30"/>
  <c r="V277" i="30"/>
  <c r="V281" i="30"/>
  <c r="V285" i="30"/>
  <c r="V289" i="30"/>
  <c r="V297" i="30"/>
  <c r="V301" i="30"/>
  <c r="V305" i="30"/>
  <c r="V309" i="30"/>
  <c r="V313" i="30"/>
  <c r="V317" i="30"/>
  <c r="V321" i="30"/>
  <c r="V325" i="30"/>
  <c r="V329" i="30"/>
  <c r="V333" i="30"/>
  <c r="V337" i="30"/>
  <c r="V341" i="30"/>
  <c r="V345" i="30"/>
  <c r="V349" i="30"/>
  <c r="V353" i="30"/>
  <c r="V357" i="30"/>
  <c r="V361" i="30"/>
  <c r="V369" i="30"/>
  <c r="V373" i="30"/>
  <c r="V377" i="30"/>
  <c r="V381" i="30"/>
  <c r="V385" i="30"/>
  <c r="V389" i="30"/>
  <c r="V393" i="30"/>
  <c r="V397" i="30"/>
  <c r="V401" i="30"/>
  <c r="V409" i="30"/>
  <c r="V413" i="30"/>
  <c r="V417" i="30"/>
  <c r="V421" i="30"/>
  <c r="V425" i="30"/>
  <c r="V429" i="30"/>
  <c r="V433" i="30"/>
  <c r="V437" i="30"/>
  <c r="V441" i="30"/>
  <c r="V445" i="30"/>
  <c r="V449" i="30"/>
  <c r="V457" i="30"/>
  <c r="V461" i="30"/>
  <c r="V465" i="30"/>
  <c r="V469" i="30"/>
  <c r="V473" i="30"/>
  <c r="V477" i="30"/>
  <c r="V481" i="30"/>
  <c r="V485" i="30"/>
  <c r="V489" i="30"/>
  <c r="V497" i="30"/>
  <c r="V501" i="30"/>
  <c r="V505" i="30"/>
  <c r="V509" i="30"/>
  <c r="V513" i="30"/>
  <c r="V517" i="30"/>
  <c r="V521" i="30"/>
  <c r="V525" i="30"/>
  <c r="V529" i="30"/>
  <c r="V533" i="30"/>
  <c r="V537" i="30"/>
  <c r="V545" i="30"/>
  <c r="V549" i="30"/>
  <c r="V553" i="30"/>
  <c r="V557" i="30"/>
  <c r="V561" i="30"/>
  <c r="V565" i="30"/>
  <c r="V569" i="30"/>
  <c r="V573" i="30"/>
  <c r="V577" i="30"/>
  <c r="V581" i="30"/>
  <c r="V585" i="30"/>
  <c r="V593" i="30"/>
  <c r="V597" i="30"/>
  <c r="V601" i="30"/>
  <c r="V605" i="30"/>
  <c r="V609" i="30"/>
  <c r="V613" i="30"/>
  <c r="V617" i="30"/>
  <c r="V621" i="30"/>
  <c r="V625" i="30"/>
  <c r="V629" i="30"/>
  <c r="V633" i="30"/>
  <c r="V641" i="30"/>
  <c r="V645" i="30"/>
  <c r="V649" i="30"/>
  <c r="V653" i="30"/>
  <c r="V657" i="30"/>
  <c r="V661" i="30"/>
  <c r="V665" i="30"/>
  <c r="V669" i="30"/>
  <c r="V673" i="30"/>
  <c r="V677" i="30"/>
  <c r="V681" i="30"/>
  <c r="V685" i="30"/>
  <c r="V689" i="30"/>
  <c r="V691" i="30"/>
  <c r="V693" i="30"/>
  <c r="V697" i="30"/>
  <c r="V699" i="30"/>
  <c r="V695" i="30"/>
  <c r="V687" i="30"/>
  <c r="V683" i="30"/>
  <c r="V679" i="30"/>
  <c r="V675" i="30"/>
  <c r="V671" i="30"/>
  <c r="V667" i="30"/>
  <c r="V663" i="30"/>
  <c r="V659" i="30"/>
  <c r="V655" i="30"/>
  <c r="V651" i="30"/>
  <c r="V647" i="30"/>
  <c r="V643" i="30"/>
  <c r="V639" i="30"/>
  <c r="V635" i="30"/>
  <c r="V631" i="30"/>
  <c r="V627" i="30"/>
  <c r="V623" i="30"/>
  <c r="V619" i="30"/>
  <c r="V615" i="30"/>
  <c r="V611" i="30"/>
  <c r="V607" i="30"/>
  <c r="V603" i="30"/>
  <c r="V599" i="30"/>
  <c r="V595" i="30"/>
  <c r="V591" i="30"/>
  <c r="V587" i="30"/>
  <c r="V583" i="30"/>
  <c r="V579" i="30"/>
  <c r="V575" i="30"/>
  <c r="V571" i="30"/>
  <c r="V567" i="30"/>
  <c r="V563" i="30"/>
  <c r="V559" i="30"/>
  <c r="V555" i="30"/>
  <c r="V551" i="30"/>
  <c r="V547" i="30"/>
  <c r="V543" i="30"/>
  <c r="V539" i="30"/>
  <c r="V535" i="30"/>
  <c r="V531" i="30"/>
  <c r="V527" i="30"/>
  <c r="V523" i="30"/>
  <c r="V519" i="30"/>
  <c r="V515" i="30"/>
  <c r="V511" i="30"/>
  <c r="V507" i="30"/>
  <c r="V499" i="30"/>
  <c r="V495" i="30"/>
  <c r="V491" i="30"/>
  <c r="V487" i="30"/>
  <c r="V483" i="30"/>
  <c r="V475" i="30"/>
  <c r="V471" i="30"/>
  <c r="V467" i="30"/>
  <c r="V463" i="30"/>
  <c r="V459" i="30"/>
  <c r="V455" i="30"/>
  <c r="V451" i="30"/>
  <c r="V447" i="30"/>
  <c r="V443" i="30"/>
  <c r="V439" i="30"/>
  <c r="V435" i="30"/>
  <c r="V431" i="30"/>
  <c r="V427" i="30"/>
  <c r="V423" i="30"/>
  <c r="V419" i="30"/>
  <c r="V415" i="30"/>
  <c r="V411" i="30"/>
  <c r="V407" i="30"/>
  <c r="V403" i="30"/>
  <c r="V399" i="30"/>
  <c r="V395" i="30"/>
  <c r="V391" i="30"/>
  <c r="V387" i="30"/>
  <c r="V379" i="30"/>
  <c r="V375" i="30"/>
  <c r="V367" i="30"/>
  <c r="V363" i="30"/>
  <c r="V355" i="30"/>
  <c r="V351" i="30"/>
  <c r="V343" i="30"/>
  <c r="V339" i="30"/>
  <c r="V331" i="30"/>
  <c r="V327" i="30"/>
  <c r="V319" i="30"/>
  <c r="V315" i="30"/>
  <c r="V307" i="30"/>
  <c r="V303" i="30"/>
  <c r="V295" i="30"/>
  <c r="V291" i="30"/>
  <c r="V283" i="30"/>
  <c r="V279" i="30"/>
  <c r="V271" i="30"/>
  <c r="V267" i="30"/>
  <c r="V263" i="30"/>
  <c r="V259" i="30"/>
  <c r="W258" i="30"/>
  <c r="V258" i="30"/>
  <c r="V256" i="30"/>
  <c r="V252" i="30"/>
  <c r="V248" i="30"/>
  <c r="V244" i="30"/>
  <c r="V240" i="30"/>
  <c r="V236" i="30"/>
  <c r="V232" i="30"/>
  <c r="V228" i="30"/>
  <c r="V224" i="30"/>
  <c r="V220" i="30"/>
  <c r="V216" i="30"/>
  <c r="V212" i="30"/>
  <c r="V208" i="30"/>
  <c r="V204" i="30"/>
  <c r="V200" i="30"/>
  <c r="V196" i="30"/>
  <c r="V192" i="30"/>
  <c r="V188" i="30"/>
  <c r="V184" i="30"/>
  <c r="V180" i="30"/>
  <c r="V176" i="30"/>
  <c r="V172" i="30"/>
  <c r="V168" i="30"/>
  <c r="V164" i="30"/>
  <c r="V160" i="30"/>
  <c r="V156" i="30"/>
  <c r="V152" i="30"/>
  <c r="V148" i="30"/>
  <c r="V144" i="30"/>
  <c r="V140" i="30"/>
  <c r="V136" i="30"/>
  <c r="V132" i="30"/>
  <c r="V128" i="30"/>
  <c r="V124" i="30"/>
  <c r="V120" i="30"/>
  <c r="V116" i="30"/>
  <c r="V112" i="30"/>
  <c r="V108" i="30"/>
  <c r="V104" i="30"/>
  <c r="V100" i="30"/>
  <c r="V96" i="30"/>
  <c r="V92" i="30"/>
  <c r="V88" i="30"/>
  <c r="V84" i="30"/>
  <c r="V80" i="30"/>
  <c r="V76" i="30"/>
  <c r="V72" i="30"/>
  <c r="V68" i="30"/>
  <c r="V64" i="30"/>
  <c r="V60" i="30"/>
  <c r="V56" i="30"/>
  <c r="V52" i="30"/>
  <c r="V48" i="30"/>
  <c r="V44" i="30"/>
  <c r="W40" i="30"/>
  <c r="V40" i="30"/>
  <c r="V36" i="30"/>
  <c r="V34" i="30"/>
  <c r="V32" i="30"/>
  <c r="W28" i="30"/>
  <c r="V28" i="30"/>
  <c r="V27" i="30"/>
  <c r="V24" i="30"/>
  <c r="V22" i="30"/>
  <c r="V20" i="30"/>
  <c r="W18" i="30"/>
  <c r="W16" i="30"/>
  <c r="V16" i="30"/>
  <c r="V15" i="30"/>
  <c r="V12" i="30"/>
  <c r="W10" i="30"/>
  <c r="V10" i="30"/>
  <c r="V8" i="30"/>
  <c r="V6" i="30"/>
  <c r="W7" i="30"/>
  <c r="V7" i="30"/>
  <c r="W8" i="30"/>
  <c r="W9" i="30"/>
  <c r="W11" i="30"/>
  <c r="V11" i="30"/>
  <c r="W12" i="30"/>
  <c r="W13" i="30"/>
  <c r="V14" i="30"/>
  <c r="W14" i="30"/>
  <c r="W15" i="30"/>
  <c r="W17" i="30"/>
  <c r="V18" i="30"/>
  <c r="V19" i="30"/>
  <c r="W19" i="30"/>
  <c r="W20" i="30"/>
  <c r="W21" i="30"/>
  <c r="W22" i="30"/>
  <c r="W23" i="30"/>
  <c r="V23" i="30"/>
  <c r="W24" i="30"/>
  <c r="W25" i="30"/>
  <c r="V26" i="30"/>
  <c r="W26" i="30"/>
  <c r="W27" i="30"/>
  <c r="W29" i="30"/>
  <c r="V30" i="30"/>
  <c r="W30" i="30"/>
  <c r="V31" i="30"/>
  <c r="W31" i="30"/>
  <c r="W32" i="30"/>
  <c r="W33" i="30"/>
  <c r="W34" i="30"/>
  <c r="W35" i="30"/>
  <c r="V35" i="30"/>
  <c r="W36" i="30"/>
  <c r="W37" i="30"/>
  <c r="V38" i="30"/>
  <c r="W38" i="30"/>
  <c r="V39" i="30"/>
  <c r="W39" i="30"/>
  <c r="W41" i="30"/>
  <c r="V42" i="30"/>
  <c r="W42" i="30"/>
  <c r="V43" i="30"/>
  <c r="W43" i="30"/>
  <c r="W44" i="30"/>
  <c r="W45" i="30"/>
  <c r="W46" i="30"/>
  <c r="V46" i="30"/>
  <c r="V47" i="30"/>
  <c r="W47" i="30"/>
  <c r="W48" i="30"/>
  <c r="W49" i="30"/>
  <c r="V50" i="30"/>
  <c r="W50" i="30"/>
  <c r="V51" i="30"/>
  <c r="W51" i="30"/>
  <c r="W52" i="30"/>
  <c r="V53" i="30"/>
  <c r="W53" i="30"/>
  <c r="W54" i="30"/>
  <c r="V54" i="30"/>
  <c r="V55" i="30"/>
  <c r="W55" i="30"/>
  <c r="W56" i="30"/>
  <c r="W57" i="30"/>
  <c r="W58" i="30"/>
  <c r="V58" i="30"/>
  <c r="V59" i="30"/>
  <c r="W59" i="30"/>
  <c r="W60" i="30"/>
  <c r="W61" i="30"/>
  <c r="V62" i="30"/>
  <c r="W62" i="30"/>
  <c r="V63" i="30"/>
  <c r="W63" i="30"/>
  <c r="W64" i="30"/>
  <c r="W65" i="30"/>
  <c r="W66" i="30"/>
  <c r="V66" i="30"/>
  <c r="V67" i="30"/>
  <c r="W67" i="30"/>
  <c r="W68" i="30"/>
  <c r="W69" i="30"/>
  <c r="W70" i="30"/>
  <c r="V70" i="30"/>
  <c r="W71" i="30"/>
  <c r="V71" i="30"/>
  <c r="W72" i="30"/>
  <c r="W73" i="30"/>
  <c r="V74" i="30"/>
  <c r="W74" i="30"/>
  <c r="V75" i="30"/>
  <c r="W75" i="30"/>
  <c r="W76" i="30"/>
  <c r="W77" i="30"/>
  <c r="W78" i="30"/>
  <c r="V78" i="30"/>
  <c r="V79" i="30"/>
  <c r="W79" i="30"/>
  <c r="W80" i="30"/>
  <c r="W81" i="30"/>
  <c r="W82" i="30"/>
  <c r="V82" i="30"/>
  <c r="V83" i="30"/>
  <c r="W83" i="30"/>
  <c r="W84" i="30"/>
  <c r="W85" i="30"/>
  <c r="V86" i="30"/>
  <c r="W86" i="30"/>
  <c r="V87" i="30"/>
  <c r="W87" i="30"/>
  <c r="W88" i="30"/>
  <c r="W89" i="30"/>
  <c r="W90" i="30"/>
  <c r="V90" i="30"/>
  <c r="V91" i="30"/>
  <c r="W91" i="30"/>
  <c r="W92" i="30"/>
  <c r="W93" i="30"/>
  <c r="W94" i="30"/>
  <c r="V94" i="30"/>
  <c r="V95" i="30"/>
  <c r="W95" i="30"/>
  <c r="W96" i="30"/>
  <c r="W97" i="30"/>
  <c r="V98" i="30"/>
  <c r="W98" i="30"/>
  <c r="V99" i="30"/>
  <c r="W99" i="30"/>
  <c r="W100" i="30"/>
  <c r="V101" i="30"/>
  <c r="W101" i="30"/>
  <c r="W102" i="30"/>
  <c r="V102" i="30"/>
  <c r="V103" i="30"/>
  <c r="W103" i="30"/>
  <c r="W104" i="30"/>
  <c r="W105" i="30"/>
  <c r="W106" i="30"/>
  <c r="V106" i="30"/>
  <c r="V107" i="30"/>
  <c r="W107" i="30"/>
  <c r="W108" i="30"/>
  <c r="W109" i="30"/>
  <c r="V110" i="30"/>
  <c r="W110" i="30"/>
  <c r="V111" i="30"/>
  <c r="W111" i="30"/>
  <c r="W112" i="30"/>
  <c r="W113" i="30"/>
  <c r="W114" i="30"/>
  <c r="V114" i="30"/>
  <c r="V115" i="30"/>
  <c r="W115" i="30"/>
  <c r="W116" i="30"/>
  <c r="W117" i="30"/>
  <c r="W118" i="30"/>
  <c r="V118" i="30"/>
  <c r="V119" i="30"/>
  <c r="W119" i="30"/>
  <c r="W120" i="30"/>
  <c r="W121" i="30"/>
  <c r="V122" i="30"/>
  <c r="W122" i="30"/>
  <c r="V123" i="30"/>
  <c r="W123" i="30"/>
  <c r="W124" i="30"/>
  <c r="W125" i="30"/>
  <c r="W126" i="30"/>
  <c r="V126" i="30"/>
  <c r="V127" i="30"/>
  <c r="W127" i="30"/>
  <c r="W128" i="30"/>
  <c r="W129" i="30"/>
  <c r="W130" i="30"/>
  <c r="V130" i="30"/>
  <c r="V131" i="30"/>
  <c r="W131" i="30"/>
  <c r="W132" i="30"/>
  <c r="W133" i="30"/>
  <c r="V134" i="30"/>
  <c r="W134" i="30"/>
  <c r="V135" i="30"/>
  <c r="W135" i="30"/>
  <c r="W136" i="30"/>
  <c r="W137" i="30"/>
  <c r="W138" i="30"/>
  <c r="V138" i="30"/>
  <c r="V139" i="30"/>
  <c r="W139" i="30"/>
  <c r="W140" i="30"/>
  <c r="W141" i="30"/>
  <c r="W142" i="30"/>
  <c r="V142" i="30"/>
  <c r="V143" i="30"/>
  <c r="W143" i="30"/>
  <c r="W144" i="30"/>
  <c r="W145" i="30"/>
  <c r="V146" i="30"/>
  <c r="W146" i="30"/>
  <c r="V147" i="30"/>
  <c r="W147" i="30"/>
  <c r="W148" i="30"/>
  <c r="V149" i="30"/>
  <c r="W149" i="30"/>
  <c r="W150" i="30"/>
  <c r="V150" i="30"/>
  <c r="V151" i="30"/>
  <c r="W151" i="30"/>
  <c r="W152" i="30"/>
  <c r="W153" i="30"/>
  <c r="W154" i="30"/>
  <c r="V154" i="30"/>
  <c r="V155" i="30"/>
  <c r="W155" i="30"/>
  <c r="W156" i="30"/>
  <c r="W157" i="30"/>
  <c r="V158" i="30"/>
  <c r="W158" i="30"/>
  <c r="V159" i="30"/>
  <c r="W159" i="30"/>
  <c r="W160" i="30"/>
  <c r="W161" i="30"/>
  <c r="W162" i="30"/>
  <c r="V162" i="30"/>
  <c r="V163" i="30"/>
  <c r="W163" i="30"/>
  <c r="W164" i="30"/>
  <c r="W165" i="30"/>
  <c r="W166" i="30"/>
  <c r="V166" i="30"/>
  <c r="V167" i="30"/>
  <c r="W167" i="30"/>
  <c r="W168" i="30"/>
  <c r="W169" i="30"/>
  <c r="V170" i="30"/>
  <c r="W170" i="30"/>
  <c r="V171" i="30"/>
  <c r="W171" i="30"/>
  <c r="W172" i="30"/>
  <c r="W173" i="30"/>
  <c r="W174" i="30"/>
  <c r="V174" i="30"/>
  <c r="V175" i="30"/>
  <c r="W175" i="30"/>
  <c r="W176" i="30"/>
  <c r="W177" i="30"/>
  <c r="W178" i="30"/>
  <c r="V178" i="30"/>
  <c r="V179" i="30"/>
  <c r="W179" i="30"/>
  <c r="W180" i="30"/>
  <c r="W181" i="30"/>
  <c r="V182" i="30"/>
  <c r="W182" i="30"/>
  <c r="V183" i="30"/>
  <c r="W183" i="30"/>
  <c r="W184" i="30"/>
  <c r="W185" i="30"/>
  <c r="W186" i="30"/>
  <c r="V186" i="30"/>
  <c r="V187" i="30"/>
  <c r="W187" i="30"/>
  <c r="W188" i="30"/>
  <c r="W189" i="30"/>
  <c r="W190" i="30"/>
  <c r="V190" i="30"/>
  <c r="V191" i="30"/>
  <c r="W191" i="30"/>
  <c r="W192" i="30"/>
  <c r="W193" i="30"/>
  <c r="V194" i="30"/>
  <c r="W194" i="30"/>
  <c r="V195" i="30"/>
  <c r="W195" i="30"/>
  <c r="W196" i="30"/>
  <c r="V197" i="30"/>
  <c r="W197" i="30"/>
  <c r="W198" i="30"/>
  <c r="V198" i="30"/>
  <c r="V199" i="30"/>
  <c r="W199" i="30"/>
  <c r="W200" i="30"/>
  <c r="W201" i="30"/>
  <c r="W202" i="30"/>
  <c r="V202" i="30"/>
  <c r="V203" i="30"/>
  <c r="W203" i="30"/>
  <c r="W204" i="30"/>
  <c r="W205" i="30"/>
  <c r="V206" i="30"/>
  <c r="W206" i="30"/>
  <c r="V207" i="30"/>
  <c r="W207" i="30"/>
  <c r="W208" i="30"/>
  <c r="W209" i="30"/>
  <c r="W210" i="30"/>
  <c r="V210" i="30"/>
  <c r="V211" i="30"/>
  <c r="W211" i="30"/>
  <c r="W212" i="30"/>
  <c r="W213" i="30"/>
  <c r="W214" i="30"/>
  <c r="V214" i="30"/>
  <c r="V215" i="30"/>
  <c r="W215" i="30"/>
  <c r="W216" i="30"/>
  <c r="W217" i="30"/>
  <c r="V218" i="30"/>
  <c r="W218" i="30"/>
  <c r="V219" i="30"/>
  <c r="W219" i="30"/>
  <c r="W220" i="30"/>
  <c r="W221" i="30"/>
  <c r="W222" i="30"/>
  <c r="V222" i="30"/>
  <c r="V223" i="30"/>
  <c r="W223" i="30"/>
  <c r="W224" i="30"/>
  <c r="W225" i="30"/>
  <c r="W226" i="30"/>
  <c r="V226" i="30"/>
  <c r="V227" i="30"/>
  <c r="W227" i="30"/>
  <c r="W228" i="30"/>
  <c r="W229" i="30"/>
  <c r="V230" i="30"/>
  <c r="W230" i="30"/>
  <c r="V231" i="30"/>
  <c r="W231" i="30"/>
  <c r="W232" i="30"/>
  <c r="W233" i="30"/>
  <c r="W234" i="30"/>
  <c r="V234" i="30"/>
  <c r="V235" i="30"/>
  <c r="W235" i="30"/>
  <c r="W236" i="30"/>
  <c r="W237" i="30"/>
  <c r="W238" i="30"/>
  <c r="V238" i="30"/>
  <c r="V239" i="30"/>
  <c r="W239" i="30"/>
  <c r="W240" i="30"/>
  <c r="W241" i="30"/>
  <c r="V242" i="30"/>
  <c r="W242" i="30"/>
  <c r="V243" i="30"/>
  <c r="W243" i="30"/>
  <c r="W244" i="30"/>
  <c r="V245" i="30"/>
  <c r="W245" i="30"/>
  <c r="W246" i="30"/>
  <c r="V246" i="30"/>
  <c r="V247" i="30"/>
  <c r="W247" i="30"/>
  <c r="W248" i="30"/>
  <c r="W249" i="30"/>
  <c r="W250" i="30"/>
  <c r="V250" i="30"/>
  <c r="V251" i="30"/>
  <c r="W251" i="30"/>
  <c r="W252" i="30"/>
  <c r="W253" i="30"/>
  <c r="V254" i="30"/>
  <c r="W254" i="30"/>
  <c r="V255" i="30"/>
  <c r="W255" i="30"/>
  <c r="W256" i="30"/>
  <c r="W257" i="30"/>
  <c r="W259" i="30"/>
  <c r="V260" i="30"/>
  <c r="W260" i="30"/>
  <c r="W261" i="30"/>
  <c r="W262" i="30"/>
  <c r="V262" i="30"/>
  <c r="W263" i="30"/>
  <c r="V264" i="30"/>
  <c r="W264" i="30"/>
  <c r="W265" i="30"/>
  <c r="V266" i="30"/>
  <c r="W266" i="30"/>
  <c r="W267" i="30"/>
  <c r="V268" i="30"/>
  <c r="W268" i="30"/>
  <c r="W269" i="30"/>
  <c r="W270" i="30"/>
  <c r="V270" i="30"/>
  <c r="W271" i="30"/>
  <c r="V272" i="30"/>
  <c r="W272" i="30"/>
  <c r="W273" i="30"/>
  <c r="W274" i="30"/>
  <c r="V274" i="30"/>
  <c r="W275" i="30"/>
  <c r="V275" i="30"/>
  <c r="V276" i="30"/>
  <c r="W276" i="30"/>
  <c r="W277" i="30"/>
  <c r="V278" i="30"/>
  <c r="W278" i="30"/>
  <c r="W279" i="30"/>
  <c r="V280" i="30"/>
  <c r="W280" i="30"/>
  <c r="W281" i="30"/>
  <c r="V282" i="30"/>
  <c r="W282" i="30"/>
  <c r="W283" i="30"/>
  <c r="V284" i="30"/>
  <c r="W284" i="30"/>
  <c r="W285" i="30"/>
  <c r="W286" i="30"/>
  <c r="V286" i="30"/>
  <c r="W287" i="30"/>
  <c r="V287" i="30"/>
  <c r="V288" i="30"/>
  <c r="W288" i="30"/>
  <c r="W289" i="30"/>
  <c r="V290" i="30"/>
  <c r="W290" i="30"/>
  <c r="W291" i="30"/>
  <c r="V292" i="30"/>
  <c r="W292" i="30"/>
  <c r="V293" i="30"/>
  <c r="W293" i="30"/>
  <c r="V294" i="30"/>
  <c r="W294" i="30"/>
  <c r="W295" i="30"/>
  <c r="V296" i="30"/>
  <c r="W296" i="30"/>
  <c r="W297" i="30"/>
  <c r="W298" i="30"/>
  <c r="V298" i="30"/>
  <c r="W299" i="30"/>
  <c r="V299" i="30"/>
  <c r="V300" i="30"/>
  <c r="W300" i="30"/>
  <c r="W301" i="30"/>
  <c r="V302" i="30"/>
  <c r="W302" i="30"/>
  <c r="W303" i="30"/>
  <c r="V304" i="30"/>
  <c r="W304" i="30"/>
  <c r="W305" i="30"/>
  <c r="V306" i="30"/>
  <c r="W306" i="30"/>
  <c r="W307" i="30"/>
  <c r="V308" i="30"/>
  <c r="W308" i="30"/>
  <c r="W309" i="30"/>
  <c r="W310" i="30"/>
  <c r="V310" i="30"/>
  <c r="W311" i="30"/>
  <c r="V311" i="30"/>
  <c r="V312" i="30"/>
  <c r="W312" i="30"/>
  <c r="W313" i="30"/>
  <c r="V314" i="30"/>
  <c r="W314" i="30"/>
  <c r="W315" i="30"/>
  <c r="V316" i="30"/>
  <c r="W316" i="30"/>
  <c r="W317" i="30"/>
  <c r="V318" i="30"/>
  <c r="W318" i="30"/>
  <c r="W319" i="30"/>
  <c r="V320" i="30"/>
  <c r="W320" i="30"/>
  <c r="W321" i="30"/>
  <c r="W322" i="30"/>
  <c r="V322" i="30"/>
  <c r="W323" i="30"/>
  <c r="V323" i="30"/>
  <c r="V324" i="30"/>
  <c r="W324" i="30"/>
  <c r="W325" i="30"/>
  <c r="V326" i="30"/>
  <c r="W326" i="30"/>
  <c r="W327" i="30"/>
  <c r="V328" i="30"/>
  <c r="W328" i="30"/>
  <c r="W329" i="30"/>
  <c r="V330" i="30"/>
  <c r="W330" i="30"/>
  <c r="W331" i="30"/>
  <c r="V332" i="30"/>
  <c r="W332" i="30"/>
  <c r="W333" i="30"/>
  <c r="W334" i="30"/>
  <c r="V334" i="30"/>
  <c r="W335" i="30"/>
  <c r="V335" i="30"/>
  <c r="V336" i="30"/>
  <c r="W336" i="30"/>
  <c r="W337" i="30"/>
  <c r="V338" i="30"/>
  <c r="W338" i="30"/>
  <c r="W339" i="30"/>
  <c r="V340" i="30"/>
  <c r="W340" i="30"/>
  <c r="W341" i="30"/>
  <c r="V342" i="30"/>
  <c r="W342" i="30"/>
  <c r="W343" i="30"/>
  <c r="V344" i="30"/>
  <c r="W344" i="30"/>
  <c r="W345" i="30"/>
  <c r="W346" i="30"/>
  <c r="V346" i="30"/>
  <c r="W347" i="30"/>
  <c r="V347" i="30"/>
  <c r="V348" i="30"/>
  <c r="W348" i="30"/>
  <c r="W349" i="30"/>
  <c r="V350" i="30"/>
  <c r="W350" i="30"/>
  <c r="W351" i="30"/>
  <c r="V352" i="30"/>
  <c r="W352" i="30"/>
  <c r="W353" i="30"/>
  <c r="V354" i="30"/>
  <c r="W354" i="30"/>
  <c r="W355" i="30"/>
  <c r="V356" i="30"/>
  <c r="W356" i="30"/>
  <c r="W357" i="30"/>
  <c r="W358" i="30"/>
  <c r="V358" i="30"/>
  <c r="W359" i="30"/>
  <c r="V359" i="30"/>
  <c r="V360" i="30"/>
  <c r="W360" i="30"/>
  <c r="W361" i="30"/>
  <c r="V362" i="30"/>
  <c r="W362" i="30"/>
  <c r="W363" i="30"/>
  <c r="V364" i="30"/>
  <c r="W364" i="30"/>
  <c r="V365" i="30"/>
  <c r="W365" i="30"/>
  <c r="V366" i="30"/>
  <c r="W366" i="30"/>
  <c r="W367" i="30"/>
  <c r="V368" i="30"/>
  <c r="W368" i="30"/>
  <c r="W369" i="30"/>
  <c r="W370" i="30"/>
  <c r="V370" i="30"/>
  <c r="W371" i="30"/>
  <c r="V371" i="30"/>
  <c r="V372" i="30"/>
  <c r="W372" i="30"/>
  <c r="W373" i="30"/>
  <c r="V374" i="30"/>
  <c r="W374" i="30"/>
  <c r="W375" i="30"/>
  <c r="V376" i="30"/>
  <c r="W376" i="30"/>
  <c r="W377" i="30"/>
  <c r="V378" i="30"/>
  <c r="W378" i="30"/>
  <c r="W379" i="30"/>
  <c r="V380" i="30"/>
  <c r="W380" i="30"/>
  <c r="W381" i="30"/>
  <c r="W382" i="30"/>
  <c r="V382" i="30"/>
  <c r="W383" i="30"/>
  <c r="V383" i="30"/>
  <c r="V384" i="30"/>
  <c r="W384" i="30"/>
  <c r="W385" i="30"/>
  <c r="V386" i="30"/>
  <c r="W386" i="30"/>
  <c r="W387" i="30"/>
  <c r="V388" i="30"/>
  <c r="W388" i="30"/>
  <c r="W389" i="30"/>
  <c r="W390" i="30"/>
  <c r="V390" i="30"/>
  <c r="W391" i="30"/>
  <c r="V392" i="30"/>
  <c r="W392" i="30"/>
  <c r="W393" i="30"/>
  <c r="W394" i="30"/>
  <c r="V394" i="30"/>
  <c r="W395" i="30"/>
  <c r="V396" i="30"/>
  <c r="W396" i="30"/>
  <c r="W397" i="30"/>
  <c r="V398" i="30"/>
  <c r="W398" i="30"/>
  <c r="W399" i="30"/>
  <c r="V400" i="30"/>
  <c r="W400" i="30"/>
  <c r="W401" i="30"/>
  <c r="W402" i="30"/>
  <c r="V402" i="30"/>
  <c r="W403" i="30"/>
  <c r="V404" i="30"/>
  <c r="W404" i="30"/>
  <c r="V405" i="30"/>
  <c r="W405" i="30"/>
  <c r="W406" i="30"/>
  <c r="V406" i="30"/>
  <c r="W407" i="30"/>
  <c r="V408" i="30"/>
  <c r="W408" i="30"/>
  <c r="W409" i="30"/>
  <c r="V410" i="30"/>
  <c r="W410" i="30"/>
  <c r="W411" i="30"/>
  <c r="V412" i="30"/>
  <c r="W412" i="30"/>
  <c r="W413" i="30"/>
  <c r="W414" i="30"/>
  <c r="V414" i="30"/>
  <c r="W415" i="30"/>
  <c r="V416" i="30"/>
  <c r="W416" i="30"/>
  <c r="W417" i="30"/>
  <c r="W418" i="30"/>
  <c r="V418" i="30"/>
  <c r="W419" i="30"/>
  <c r="V420" i="30"/>
  <c r="W420" i="30"/>
  <c r="W421" i="30"/>
  <c r="V422" i="30"/>
  <c r="W422" i="30"/>
  <c r="W423" i="30"/>
  <c r="V424" i="30"/>
  <c r="W424" i="30"/>
  <c r="W425" i="30"/>
  <c r="W426" i="30"/>
  <c r="V426" i="30"/>
  <c r="W427" i="30"/>
  <c r="V428" i="30"/>
  <c r="W428" i="30"/>
  <c r="W429" i="30"/>
  <c r="W430" i="30"/>
  <c r="V430" i="30"/>
  <c r="W431" i="30"/>
  <c r="V432" i="30"/>
  <c r="W432" i="30"/>
  <c r="W433" i="30"/>
  <c r="V434" i="30"/>
  <c r="W434" i="30"/>
  <c r="W435" i="30"/>
  <c r="V436" i="30"/>
  <c r="W436" i="30"/>
  <c r="W437" i="30"/>
  <c r="W438" i="30"/>
  <c r="V438" i="30"/>
  <c r="W439" i="30"/>
  <c r="V440" i="30"/>
  <c r="W440" i="30"/>
  <c r="W441" i="30"/>
  <c r="W442" i="30"/>
  <c r="V442" i="30"/>
  <c r="W443" i="30"/>
  <c r="V444" i="30"/>
  <c r="W444" i="30"/>
  <c r="W445" i="30"/>
  <c r="V446" i="30"/>
  <c r="W446" i="30"/>
  <c r="W447" i="30"/>
  <c r="V448" i="30"/>
  <c r="W448" i="30"/>
  <c r="W449" i="30"/>
  <c r="W450" i="30"/>
  <c r="V450" i="30"/>
  <c r="W451" i="30"/>
  <c r="V452" i="30"/>
  <c r="W452" i="30"/>
  <c r="V453" i="30"/>
  <c r="W453" i="30"/>
  <c r="W454" i="30"/>
  <c r="V454" i="30"/>
  <c r="W455" i="30"/>
  <c r="W456" i="30"/>
  <c r="V456" i="30"/>
  <c r="W457" i="30"/>
  <c r="V458" i="30"/>
  <c r="W458" i="30"/>
  <c r="W459" i="30"/>
  <c r="V460" i="30"/>
  <c r="W460" i="30"/>
  <c r="W461" i="30"/>
  <c r="W462" i="30"/>
  <c r="V462" i="30"/>
  <c r="W463" i="30"/>
  <c r="V464" i="30"/>
  <c r="W464" i="30"/>
  <c r="W465" i="30"/>
  <c r="W466" i="30"/>
  <c r="V466" i="30"/>
  <c r="W467" i="30"/>
  <c r="V468" i="30"/>
  <c r="W468" i="30"/>
  <c r="W469" i="30"/>
  <c r="V470" i="30"/>
  <c r="W470" i="30"/>
  <c r="W471" i="30"/>
  <c r="V472" i="30"/>
  <c r="W472" i="30"/>
  <c r="W473" i="30"/>
  <c r="V474" i="30"/>
  <c r="W474" i="30"/>
  <c r="W475" i="30"/>
  <c r="V476" i="30"/>
  <c r="W476" i="30"/>
  <c r="W477" i="30"/>
  <c r="W478" i="30"/>
  <c r="V478" i="30"/>
  <c r="W479" i="30"/>
  <c r="V479" i="30"/>
  <c r="W480" i="30"/>
  <c r="V480" i="30"/>
  <c r="W481" i="30"/>
  <c r="V482" i="30"/>
  <c r="W482" i="30"/>
  <c r="W483" i="30"/>
  <c r="V484" i="30"/>
  <c r="W484" i="30"/>
  <c r="W485" i="30"/>
  <c r="V486" i="30"/>
  <c r="W486" i="30"/>
  <c r="W487" i="30"/>
  <c r="V488" i="30"/>
  <c r="W488" i="30"/>
  <c r="W489" i="30"/>
  <c r="V490" i="30"/>
  <c r="W490" i="30"/>
  <c r="W491" i="30"/>
  <c r="V492" i="30"/>
  <c r="W492" i="30"/>
  <c r="W493" i="30"/>
  <c r="V493" i="30"/>
  <c r="V494" i="30"/>
  <c r="W494" i="30"/>
  <c r="W495" i="30"/>
  <c r="V496" i="30"/>
  <c r="W496" i="30"/>
  <c r="W497" i="30"/>
  <c r="V498" i="30"/>
  <c r="W498" i="30"/>
  <c r="W499" i="30"/>
  <c r="V500" i="30"/>
  <c r="W500" i="30"/>
  <c r="W501" i="30"/>
  <c r="V502" i="30"/>
  <c r="W502" i="30"/>
  <c r="W503" i="30"/>
  <c r="V503" i="30"/>
  <c r="V504" i="30"/>
  <c r="W504" i="30"/>
  <c r="W505" i="30"/>
  <c r="V506" i="30"/>
  <c r="W506" i="30"/>
  <c r="W507" i="30"/>
  <c r="V508" i="30"/>
  <c r="W508" i="30"/>
  <c r="W509" i="30"/>
  <c r="V510" i="30"/>
  <c r="W510" i="30"/>
  <c r="W511" i="30"/>
  <c r="V512" i="30"/>
  <c r="W512" i="30"/>
  <c r="W513" i="30"/>
  <c r="V514" i="30"/>
  <c r="W514" i="30"/>
  <c r="W515" i="30"/>
  <c r="W516" i="30"/>
  <c r="V516" i="30"/>
  <c r="W517" i="30"/>
  <c r="V518" i="30"/>
  <c r="W518" i="30"/>
  <c r="W519" i="30"/>
  <c r="V520" i="30"/>
  <c r="W520" i="30"/>
  <c r="W521" i="30"/>
  <c r="V522" i="30"/>
  <c r="W522" i="30"/>
  <c r="W523" i="30"/>
  <c r="W524" i="30"/>
  <c r="V524" i="30"/>
  <c r="W525" i="30"/>
  <c r="V526" i="30"/>
  <c r="W526" i="30"/>
  <c r="W527" i="30"/>
  <c r="W528" i="30"/>
  <c r="V528" i="30"/>
  <c r="W529" i="30"/>
  <c r="V530" i="30"/>
  <c r="W530" i="30"/>
  <c r="W531" i="30"/>
  <c r="V532" i="30"/>
  <c r="W532" i="30"/>
  <c r="W533" i="30"/>
  <c r="V534" i="30"/>
  <c r="W534" i="30"/>
  <c r="W535" i="30"/>
  <c r="W536" i="30"/>
  <c r="V536" i="30"/>
  <c r="W537" i="30"/>
  <c r="V538" i="30"/>
  <c r="W538" i="30"/>
  <c r="W539" i="30"/>
  <c r="W540" i="30"/>
  <c r="V540" i="30"/>
  <c r="V541" i="30"/>
  <c r="W541" i="30"/>
  <c r="V542" i="30"/>
  <c r="W542" i="30"/>
  <c r="W543" i="30"/>
  <c r="V544" i="30"/>
  <c r="W544" i="30"/>
  <c r="W545" i="30"/>
  <c r="V546" i="30"/>
  <c r="W546" i="30"/>
  <c r="W547" i="30"/>
  <c r="W548" i="30"/>
  <c r="V548" i="30"/>
  <c r="W549" i="30"/>
  <c r="V550" i="30"/>
  <c r="W550" i="30"/>
  <c r="W551" i="30"/>
  <c r="W552" i="30"/>
  <c r="V552" i="30"/>
  <c r="W553" i="30"/>
  <c r="V554" i="30"/>
  <c r="W554" i="30"/>
  <c r="W555" i="30"/>
  <c r="V556" i="30"/>
  <c r="W556" i="30"/>
  <c r="W557" i="30"/>
  <c r="V558" i="30"/>
  <c r="W558" i="30"/>
  <c r="W559" i="30"/>
  <c r="W560" i="30"/>
  <c r="V560" i="30"/>
  <c r="W561" i="30"/>
  <c r="V562" i="30"/>
  <c r="W562" i="30"/>
  <c r="W563" i="30"/>
  <c r="W564" i="30"/>
  <c r="V564" i="30"/>
  <c r="W565" i="30"/>
  <c r="V566" i="30"/>
  <c r="W566" i="30"/>
  <c r="W567" i="30"/>
  <c r="V568" i="30"/>
  <c r="W568" i="30"/>
  <c r="W569" i="30"/>
  <c r="V570" i="30"/>
  <c r="W570" i="30"/>
  <c r="W571" i="30"/>
  <c r="W572" i="30"/>
  <c r="V572" i="30"/>
  <c r="W573" i="30"/>
  <c r="V574" i="30"/>
  <c r="W574" i="30"/>
  <c r="W575" i="30"/>
  <c r="W576" i="30"/>
  <c r="V576" i="30"/>
  <c r="W577" i="30"/>
  <c r="V578" i="30"/>
  <c r="W578" i="30"/>
  <c r="W579" i="30"/>
  <c r="V580" i="30"/>
  <c r="W580" i="30"/>
  <c r="W581" i="30"/>
  <c r="V582" i="30"/>
  <c r="W582" i="30"/>
  <c r="W583" i="30"/>
  <c r="W584" i="30"/>
  <c r="V584" i="30"/>
  <c r="W585" i="30"/>
  <c r="V586" i="30"/>
  <c r="W586" i="30"/>
  <c r="W587" i="30"/>
  <c r="W588" i="30"/>
  <c r="V588" i="30"/>
  <c r="V589" i="30"/>
  <c r="W589" i="30"/>
  <c r="V590" i="30"/>
  <c r="W590" i="30"/>
  <c r="W591" i="30"/>
  <c r="V592" i="30"/>
  <c r="W592" i="30"/>
  <c r="W593" i="30"/>
  <c r="V594" i="30"/>
  <c r="W594" i="30"/>
  <c r="W595" i="30"/>
  <c r="W596" i="30"/>
  <c r="V596" i="30"/>
  <c r="W597" i="30"/>
  <c r="V598" i="30"/>
  <c r="W598" i="30"/>
  <c r="W599" i="30"/>
  <c r="W600" i="30"/>
  <c r="V600" i="30"/>
  <c r="W601" i="30"/>
  <c r="V602" i="30"/>
  <c r="W602" i="30"/>
  <c r="W603" i="30"/>
  <c r="V604" i="30"/>
  <c r="W604" i="30"/>
  <c r="W605" i="30"/>
  <c r="V606" i="30"/>
  <c r="W606" i="30"/>
  <c r="W607" i="30"/>
  <c r="W608" i="30"/>
  <c r="V608" i="30"/>
  <c r="W609" i="30"/>
  <c r="V610" i="30"/>
  <c r="W610" i="30"/>
  <c r="W611" i="30"/>
  <c r="W612" i="30"/>
  <c r="V612" i="30"/>
  <c r="W613" i="30"/>
  <c r="V614" i="30"/>
  <c r="W614" i="30"/>
  <c r="W615" i="30"/>
  <c r="V616" i="30"/>
  <c r="W616" i="30"/>
  <c r="W617" i="30"/>
  <c r="V618" i="30"/>
  <c r="W618" i="30"/>
  <c r="W619" i="30"/>
  <c r="W620" i="30"/>
  <c r="V620" i="30"/>
  <c r="W621" i="30"/>
  <c r="V622" i="30"/>
  <c r="W622" i="30"/>
  <c r="W623" i="30"/>
  <c r="W624" i="30"/>
  <c r="V624" i="30"/>
  <c r="W625" i="30"/>
  <c r="V626" i="30"/>
  <c r="W626" i="30"/>
  <c r="W627" i="30"/>
  <c r="V628" i="30"/>
  <c r="W628" i="30"/>
  <c r="W629" i="30"/>
  <c r="V630" i="30"/>
  <c r="W630" i="30"/>
  <c r="W631" i="30"/>
  <c r="W632" i="30"/>
  <c r="V632" i="30"/>
  <c r="W633" i="30"/>
  <c r="V634" i="30"/>
  <c r="W634" i="30"/>
  <c r="W635" i="30"/>
  <c r="W636" i="30"/>
  <c r="V636" i="30"/>
  <c r="V637" i="30"/>
  <c r="W637" i="30"/>
  <c r="V638" i="30"/>
  <c r="W638" i="30"/>
  <c r="W639" i="30"/>
  <c r="V640" i="30"/>
  <c r="W640" i="30"/>
  <c r="W641" i="30"/>
  <c r="V642" i="30"/>
  <c r="W642" i="30"/>
  <c r="W643" i="30"/>
  <c r="W644" i="30"/>
  <c r="V644" i="30"/>
  <c r="W645" i="30"/>
  <c r="V646" i="30"/>
  <c r="W646" i="30"/>
  <c r="W647" i="30"/>
  <c r="W648" i="30"/>
  <c r="V648" i="30"/>
  <c r="W649" i="30"/>
  <c r="V650" i="30"/>
  <c r="W650" i="30"/>
  <c r="W651" i="30"/>
  <c r="V652" i="30"/>
  <c r="W652" i="30"/>
  <c r="W653" i="30"/>
  <c r="V654" i="30"/>
  <c r="W654" i="30"/>
  <c r="W655" i="30"/>
  <c r="V656" i="30"/>
  <c r="W656" i="30"/>
  <c r="W657" i="30"/>
  <c r="V658" i="30"/>
  <c r="W658" i="30"/>
  <c r="W659" i="30"/>
  <c r="W660" i="30"/>
  <c r="V660" i="30"/>
  <c r="W661" i="30"/>
  <c r="V662" i="30"/>
  <c r="W662" i="30"/>
  <c r="W663" i="30"/>
  <c r="V664" i="30"/>
  <c r="W664" i="30"/>
  <c r="W665" i="30"/>
  <c r="V666" i="30"/>
  <c r="W666" i="30"/>
  <c r="W667" i="30"/>
  <c r="V668" i="30"/>
  <c r="W668" i="30"/>
  <c r="W669" i="30"/>
  <c r="V670" i="30"/>
  <c r="W670" i="30"/>
  <c r="W671" i="30"/>
  <c r="W672" i="30"/>
  <c r="V672" i="30"/>
  <c r="W673" i="30"/>
  <c r="V674" i="30"/>
  <c r="W674" i="30"/>
  <c r="W675" i="30"/>
  <c r="V676" i="30"/>
  <c r="W676" i="30"/>
  <c r="W677" i="30"/>
  <c r="V678" i="30"/>
  <c r="W678" i="30"/>
  <c r="W679" i="30"/>
  <c r="V680" i="30"/>
  <c r="W680" i="30"/>
  <c r="W681" i="30"/>
  <c r="V682" i="30"/>
  <c r="W682" i="30"/>
  <c r="W683" i="30"/>
  <c r="W684" i="30"/>
  <c r="V684" i="30"/>
  <c r="W685" i="30"/>
  <c r="V686" i="30"/>
  <c r="W686" i="30"/>
  <c r="W687" i="30"/>
  <c r="V688" i="30"/>
  <c r="W688" i="30"/>
  <c r="W689" i="30"/>
  <c r="V690" i="30"/>
  <c r="W690" i="30"/>
  <c r="W691" i="30"/>
  <c r="V692" i="30"/>
  <c r="W692" i="30"/>
  <c r="W693" i="30"/>
  <c r="V694" i="30"/>
  <c r="W694" i="30"/>
  <c r="W695" i="30"/>
  <c r="W696" i="30"/>
  <c r="V696" i="30"/>
  <c r="W697" i="30"/>
  <c r="V698" i="30"/>
  <c r="W698" i="30"/>
  <c r="W699" i="30"/>
  <c r="V700" i="32"/>
  <c r="W700" i="32"/>
  <c r="T700" i="32"/>
  <c r="S700" i="32"/>
  <c r="R700" i="32"/>
  <c r="P700" i="32"/>
  <c r="O700" i="32"/>
  <c r="N700" i="32"/>
  <c r="L700" i="32"/>
  <c r="K700" i="32"/>
  <c r="J700" i="32"/>
  <c r="H700" i="32"/>
  <c r="G700" i="32"/>
  <c r="F700" i="32"/>
  <c r="AM700" i="26"/>
  <c r="AN700" i="26" s="1"/>
  <c r="AM701" i="26"/>
  <c r="AM702" i="26"/>
  <c r="AM703" i="26"/>
  <c r="AN703" i="26" s="1"/>
  <c r="B76" i="16"/>
  <c r="B71" i="16"/>
  <c r="B69" i="16"/>
  <c r="B67" i="16"/>
  <c r="W6" i="30" l="1"/>
  <c r="B70" i="6"/>
  <c r="B62" i="6"/>
  <c r="B60" i="6"/>
  <c r="B58" i="6"/>
  <c r="B57" i="6"/>
  <c r="B56" i="6"/>
  <c r="B55" i="6"/>
  <c r="B54" i="6"/>
  <c r="B51" i="6"/>
  <c r="B52" i="6"/>
  <c r="B53" i="6"/>
  <c r="B59" i="6"/>
  <c r="B61" i="6"/>
  <c r="B68" i="6"/>
  <c r="B69" i="6"/>
  <c r="F713" i="26"/>
  <c r="G713" i="26"/>
  <c r="H713" i="26"/>
  <c r="I713" i="26"/>
  <c r="J713" i="26"/>
  <c r="K713" i="26"/>
  <c r="L713" i="26"/>
  <c r="M713" i="26"/>
  <c r="N713" i="26"/>
  <c r="O713" i="26"/>
  <c r="P713" i="26"/>
  <c r="Q713" i="26"/>
  <c r="R713" i="26"/>
  <c r="S713" i="26"/>
  <c r="T713" i="26"/>
  <c r="U713" i="26"/>
  <c r="V713" i="26"/>
  <c r="AF706" i="26" l="1"/>
  <c r="AF707" i="26"/>
  <c r="AF708" i="26"/>
  <c r="AF709" i="26"/>
  <c r="AF710" i="26"/>
  <c r="AF712" i="26"/>
  <c r="B484" i="15" l="1"/>
  <c r="G71" i="6" l="1"/>
  <c r="H71" i="6"/>
  <c r="B481" i="15"/>
  <c r="G474" i="15"/>
  <c r="E9" i="15"/>
  <c r="B480" i="15" s="1"/>
  <c r="B18" i="8"/>
  <c r="J11" i="8"/>
  <c r="J10" i="8"/>
  <c r="J9" i="8"/>
  <c r="J6" i="8"/>
  <c r="B49" i="6"/>
  <c r="B48" i="6"/>
  <c r="B47" i="6"/>
  <c r="B46" i="6"/>
  <c r="B45" i="6"/>
  <c r="B44" i="6"/>
  <c r="B37" i="6"/>
  <c r="B32" i="6"/>
  <c r="B21" i="6"/>
  <c r="B19" i="6"/>
  <c r="B18" i="6"/>
  <c r="B15" i="6"/>
  <c r="B12" i="6"/>
  <c r="B11" i="6"/>
  <c r="B14" i="6"/>
  <c r="B13" i="6"/>
  <c r="B10" i="6"/>
  <c r="B9" i="6"/>
  <c r="G476" i="15" l="1"/>
  <c r="B485" i="15" s="1"/>
  <c r="B486" i="15" s="1"/>
  <c r="B17" i="6"/>
  <c r="AB6" i="26" l="1"/>
  <c r="AF6" i="26" s="1"/>
  <c r="AB25" i="26" l="1"/>
  <c r="AF25" i="26" s="1"/>
  <c r="AM704" i="26" l="1"/>
  <c r="AM705" i="26"/>
  <c r="AM706" i="26"/>
  <c r="AN706" i="26" s="1"/>
  <c r="AM707" i="26"/>
  <c r="AN707" i="26" s="1"/>
  <c r="AM708" i="26"/>
  <c r="AN708" i="26" s="1"/>
  <c r="AM709" i="26"/>
  <c r="AN709" i="26" s="1"/>
  <c r="AM710" i="26"/>
  <c r="AN710" i="26" s="1"/>
  <c r="AM712" i="26"/>
  <c r="AN712" i="26" s="1"/>
  <c r="AI713" i="26" l="1"/>
  <c r="B71" i="9"/>
  <c r="B77" i="9"/>
  <c r="B67" i="9"/>
  <c r="B68" i="9"/>
  <c r="C52" i="10"/>
  <c r="C51" i="10"/>
  <c r="C50" i="10"/>
  <c r="F31" i="10"/>
  <c r="F22" i="10"/>
  <c r="F36" i="9"/>
  <c r="Z6" i="26" l="1"/>
  <c r="AB24" i="26" l="1"/>
  <c r="AK713" i="26" l="1"/>
  <c r="AB308" i="26" l="1"/>
  <c r="AF308" i="26" s="1"/>
  <c r="AB19" i="26" l="1"/>
  <c r="AB16" i="26"/>
  <c r="AB13" i="26"/>
  <c r="AL713" i="26" l="1"/>
  <c r="AH713" i="26"/>
  <c r="Y6" i="26" l="1"/>
  <c r="K51" i="16" l="1"/>
  <c r="K38" i="16"/>
  <c r="K49" i="16"/>
  <c r="AM455" i="26" l="1"/>
  <c r="AB455" i="26"/>
  <c r="AF455" i="26" s="1"/>
  <c r="AN455" i="26" l="1"/>
  <c r="AM6" i="26" l="1"/>
  <c r="AF705" i="26" l="1"/>
  <c r="AN705" i="26" s="1"/>
  <c r="AF704" i="26"/>
  <c r="AN704" i="26" s="1"/>
  <c r="AF702" i="26"/>
  <c r="AN702" i="26" s="1"/>
  <c r="AF701" i="26"/>
  <c r="AN701" i="26" s="1"/>
  <c r="AB7" i="26" l="1"/>
  <c r="AB8" i="26"/>
  <c r="AB9" i="26"/>
  <c r="AB10" i="26"/>
  <c r="AB11" i="26"/>
  <c r="AB12" i="26"/>
  <c r="AB14" i="26"/>
  <c r="AB15" i="26"/>
  <c r="AB17" i="26"/>
  <c r="AB18" i="26"/>
  <c r="AB20" i="26"/>
  <c r="AB21" i="26"/>
  <c r="AB22" i="26"/>
  <c r="AB23" i="26"/>
  <c r="AB26" i="26"/>
  <c r="AB27" i="26"/>
  <c r="AB28" i="26"/>
  <c r="AB29" i="26"/>
  <c r="AB30" i="26"/>
  <c r="AB31" i="26"/>
  <c r="AB32" i="26"/>
  <c r="AB33" i="26"/>
  <c r="AB34" i="26"/>
  <c r="AB35" i="26"/>
  <c r="AB36" i="26"/>
  <c r="AB37" i="26"/>
  <c r="AB38" i="26"/>
  <c r="AB39" i="26"/>
  <c r="AB40" i="26"/>
  <c r="AB41" i="26"/>
  <c r="AB42" i="26"/>
  <c r="AB43" i="26"/>
  <c r="AB44" i="26"/>
  <c r="AB45" i="26"/>
  <c r="AB46" i="26"/>
  <c r="AB47" i="26"/>
  <c r="AB48" i="26"/>
  <c r="AB49" i="26"/>
  <c r="AB50" i="26"/>
  <c r="AB51" i="26"/>
  <c r="AB52" i="26"/>
  <c r="AB53" i="26"/>
  <c r="AB54" i="26"/>
  <c r="AB55" i="26"/>
  <c r="AB56" i="26"/>
  <c r="AB57" i="26"/>
  <c r="AB58" i="26"/>
  <c r="AB59" i="26"/>
  <c r="AB60" i="26"/>
  <c r="AB61" i="26"/>
  <c r="AB62" i="26"/>
  <c r="AB63" i="26"/>
  <c r="AB64" i="26"/>
  <c r="AB65" i="26"/>
  <c r="AB66" i="26"/>
  <c r="AB67" i="26"/>
  <c r="AB68" i="26"/>
  <c r="AB69" i="26"/>
  <c r="AB70" i="26"/>
  <c r="AB71" i="26"/>
  <c r="AB72" i="26"/>
  <c r="AB73" i="26"/>
  <c r="AB74" i="26"/>
  <c r="AB75" i="26"/>
  <c r="AB76" i="26"/>
  <c r="AB77" i="26"/>
  <c r="AB78" i="26"/>
  <c r="AB79" i="26"/>
  <c r="AB80" i="26"/>
  <c r="AB81" i="26"/>
  <c r="AB82" i="26"/>
  <c r="AB83" i="26"/>
  <c r="AB84" i="26"/>
  <c r="AB85" i="26"/>
  <c r="AB86" i="26"/>
  <c r="AB87" i="26"/>
  <c r="AB88" i="26"/>
  <c r="AB89" i="26"/>
  <c r="AB90" i="26"/>
  <c r="AB91" i="26"/>
  <c r="AB92" i="26"/>
  <c r="AB93" i="26"/>
  <c r="AB94" i="26"/>
  <c r="AB95" i="26"/>
  <c r="AB96" i="26"/>
  <c r="AB97" i="26"/>
  <c r="AB98" i="26"/>
  <c r="AB99" i="26"/>
  <c r="AB100" i="26"/>
  <c r="AB101" i="26"/>
  <c r="AB102" i="26"/>
  <c r="AB103" i="26"/>
  <c r="AB104" i="26"/>
  <c r="AB105" i="26"/>
  <c r="AB106" i="26"/>
  <c r="AB107" i="26"/>
  <c r="AB108" i="26"/>
  <c r="AB109" i="26"/>
  <c r="AB110" i="26"/>
  <c r="AB111" i="26"/>
  <c r="AB112" i="26"/>
  <c r="AB113" i="26"/>
  <c r="AB114" i="26"/>
  <c r="AB115" i="26"/>
  <c r="AB116" i="26"/>
  <c r="AB117" i="26"/>
  <c r="AB118" i="26"/>
  <c r="AB119" i="26"/>
  <c r="AB120" i="26"/>
  <c r="AB121" i="26"/>
  <c r="AB122" i="26"/>
  <c r="AB123" i="26"/>
  <c r="AB124" i="26"/>
  <c r="AB125" i="26"/>
  <c r="AB126" i="26"/>
  <c r="AB127" i="26"/>
  <c r="AB128" i="26"/>
  <c r="AB129" i="26"/>
  <c r="AB130" i="26"/>
  <c r="AB131" i="26"/>
  <c r="AB132" i="26"/>
  <c r="AB133" i="26"/>
  <c r="AB134" i="26"/>
  <c r="AB135" i="26"/>
  <c r="AB136" i="26"/>
  <c r="AB137" i="26"/>
  <c r="AB138" i="26"/>
  <c r="AB139" i="26"/>
  <c r="AB140" i="26"/>
  <c r="AB141" i="26"/>
  <c r="AB142" i="26"/>
  <c r="AB143" i="26"/>
  <c r="AB144" i="26"/>
  <c r="AB145" i="26"/>
  <c r="AB146" i="26"/>
  <c r="AB147" i="26"/>
  <c r="AB148" i="26"/>
  <c r="AB149" i="26"/>
  <c r="AB150" i="26"/>
  <c r="AB151" i="26"/>
  <c r="AB152" i="26"/>
  <c r="AB153" i="26"/>
  <c r="AB154" i="26"/>
  <c r="AB155" i="26"/>
  <c r="AB156" i="26"/>
  <c r="AB157" i="26"/>
  <c r="AB158" i="26"/>
  <c r="AB159" i="26"/>
  <c r="AB160" i="26"/>
  <c r="AB161" i="26"/>
  <c r="AB162" i="26"/>
  <c r="AB163" i="26"/>
  <c r="AB164" i="26"/>
  <c r="AB165" i="26"/>
  <c r="AB166" i="26"/>
  <c r="AB167" i="26"/>
  <c r="AB168" i="26"/>
  <c r="AB169" i="26"/>
  <c r="AB170" i="26"/>
  <c r="AB171" i="26"/>
  <c r="AB172" i="26"/>
  <c r="AB173" i="26"/>
  <c r="AB174" i="26"/>
  <c r="AB175" i="26"/>
  <c r="AB176" i="26"/>
  <c r="AB177" i="26"/>
  <c r="AB178" i="26"/>
  <c r="AB179" i="26"/>
  <c r="AB180" i="26"/>
  <c r="AB181" i="26"/>
  <c r="AB182" i="26"/>
  <c r="AB183" i="26"/>
  <c r="AB184" i="26"/>
  <c r="AB185" i="26"/>
  <c r="AB186" i="26"/>
  <c r="AB187" i="26"/>
  <c r="AB188" i="26"/>
  <c r="AB189" i="26"/>
  <c r="AB190" i="26"/>
  <c r="AB191" i="26"/>
  <c r="AB192" i="26"/>
  <c r="AB193" i="26"/>
  <c r="AB194" i="26"/>
  <c r="AB195" i="26"/>
  <c r="AB196" i="26"/>
  <c r="AB197" i="26"/>
  <c r="AB198" i="26"/>
  <c r="AB199" i="26"/>
  <c r="AB200" i="26"/>
  <c r="AB201" i="26"/>
  <c r="AB202" i="26"/>
  <c r="AB203" i="26"/>
  <c r="AB204" i="26"/>
  <c r="AB205" i="26"/>
  <c r="AB206" i="26"/>
  <c r="AB207" i="26"/>
  <c r="AB208" i="26"/>
  <c r="AB209" i="26"/>
  <c r="AB210" i="26"/>
  <c r="AB211" i="26"/>
  <c r="AB212" i="26"/>
  <c r="AB213" i="26"/>
  <c r="AB214" i="26"/>
  <c r="AB215" i="26"/>
  <c r="AB216" i="26"/>
  <c r="AB217" i="26"/>
  <c r="AB218" i="26"/>
  <c r="AB219" i="26"/>
  <c r="AB220" i="26"/>
  <c r="AB221" i="26"/>
  <c r="AB222" i="26"/>
  <c r="AB223" i="26"/>
  <c r="AB224" i="26"/>
  <c r="AB225" i="26"/>
  <c r="AB226" i="26"/>
  <c r="AB227" i="26"/>
  <c r="AB228" i="26"/>
  <c r="AB229" i="26"/>
  <c r="AB230" i="26"/>
  <c r="AB231" i="26"/>
  <c r="AB232" i="26"/>
  <c r="AB233" i="26"/>
  <c r="AB234" i="26"/>
  <c r="AB235" i="26"/>
  <c r="AB236" i="26"/>
  <c r="AB237" i="26"/>
  <c r="AB238" i="26"/>
  <c r="AB239" i="26"/>
  <c r="AB240" i="26"/>
  <c r="AB241" i="26"/>
  <c r="AB242" i="26"/>
  <c r="AB243" i="26"/>
  <c r="AB244" i="26"/>
  <c r="AB245" i="26"/>
  <c r="AB246" i="26"/>
  <c r="AB247" i="26"/>
  <c r="AB248" i="26"/>
  <c r="AB249" i="26"/>
  <c r="AB250" i="26"/>
  <c r="AB251" i="26"/>
  <c r="AB252" i="26"/>
  <c r="AB253" i="26"/>
  <c r="AB254" i="26"/>
  <c r="AB255" i="26"/>
  <c r="AB256" i="26"/>
  <c r="AB257" i="26"/>
  <c r="AB258" i="26"/>
  <c r="AB259" i="26"/>
  <c r="AB260" i="26"/>
  <c r="AB261" i="26"/>
  <c r="AB262" i="26"/>
  <c r="AB263" i="26"/>
  <c r="AB264" i="26"/>
  <c r="AB265" i="26"/>
  <c r="AB266" i="26"/>
  <c r="AB267" i="26"/>
  <c r="AB268" i="26"/>
  <c r="AB269" i="26"/>
  <c r="AB270" i="26"/>
  <c r="AB271" i="26"/>
  <c r="AB272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4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7" i="26"/>
  <c r="AB298" i="26"/>
  <c r="AB299" i="26"/>
  <c r="AB300" i="26"/>
  <c r="AB301" i="26"/>
  <c r="AB302" i="26"/>
  <c r="AB303" i="26"/>
  <c r="AB304" i="26"/>
  <c r="AB305" i="26"/>
  <c r="AB306" i="26"/>
  <c r="AB307" i="26"/>
  <c r="AB309" i="26"/>
  <c r="AB310" i="26"/>
  <c r="AB311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3" i="26"/>
  <c r="AB324" i="26"/>
  <c r="AB325" i="26"/>
  <c r="AB326" i="26"/>
  <c r="AB327" i="26"/>
  <c r="AB328" i="26"/>
  <c r="AB329" i="26"/>
  <c r="AB330" i="26"/>
  <c r="AB331" i="26"/>
  <c r="AB332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3" i="26"/>
  <c r="AB354" i="26"/>
  <c r="AB355" i="26"/>
  <c r="AB356" i="26"/>
  <c r="AB357" i="26"/>
  <c r="AB358" i="26"/>
  <c r="AB359" i="26"/>
  <c r="AB360" i="26"/>
  <c r="AB361" i="26"/>
  <c r="AB362" i="26"/>
  <c r="AB363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2" i="26"/>
  <c r="AB383" i="26"/>
  <c r="AB384" i="26"/>
  <c r="AB385" i="26"/>
  <c r="AB386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4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3" i="26"/>
  <c r="AB424" i="26"/>
  <c r="AB425" i="26"/>
  <c r="AB426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B444" i="26"/>
  <c r="AB445" i="26"/>
  <c r="AB446" i="26"/>
  <c r="AB447" i="26"/>
  <c r="AB448" i="26"/>
  <c r="AB449" i="26"/>
  <c r="AB450" i="26"/>
  <c r="AB451" i="26"/>
  <c r="AB452" i="26"/>
  <c r="AB453" i="26"/>
  <c r="AB454" i="26"/>
  <c r="AB456" i="26"/>
  <c r="AB457" i="26"/>
  <c r="AB458" i="26"/>
  <c r="AB459" i="26"/>
  <c r="AB460" i="26"/>
  <c r="AB461" i="26"/>
  <c r="AB462" i="26"/>
  <c r="AB463" i="26"/>
  <c r="AB464" i="26"/>
  <c r="AB465" i="26"/>
  <c r="AB466" i="26"/>
  <c r="AB468" i="26"/>
  <c r="AB469" i="26"/>
  <c r="AB470" i="26"/>
  <c r="AB471" i="26"/>
  <c r="AB472" i="26"/>
  <c r="AB473" i="26"/>
  <c r="AB474" i="26"/>
  <c r="AB475" i="26"/>
  <c r="AB476" i="26"/>
  <c r="AB477" i="26"/>
  <c r="AB478" i="26"/>
  <c r="AB479" i="26"/>
  <c r="AB480" i="26"/>
  <c r="AB481" i="26"/>
  <c r="AB482" i="26"/>
  <c r="AB483" i="26"/>
  <c r="AB484" i="26"/>
  <c r="AB485" i="26"/>
  <c r="AB486" i="26"/>
  <c r="AB487" i="26"/>
  <c r="AB488" i="26"/>
  <c r="AB489" i="26"/>
  <c r="AB490" i="26"/>
  <c r="AB491" i="26"/>
  <c r="AB492" i="26"/>
  <c r="AB493" i="26"/>
  <c r="AB494" i="26"/>
  <c r="AB495" i="26"/>
  <c r="AB496" i="26"/>
  <c r="AB497" i="26"/>
  <c r="AB498" i="26"/>
  <c r="AB499" i="26"/>
  <c r="AB500" i="26"/>
  <c r="AB501" i="26"/>
  <c r="AB502" i="26"/>
  <c r="AB503" i="26"/>
  <c r="AB504" i="26"/>
  <c r="AB505" i="26"/>
  <c r="AB506" i="26"/>
  <c r="AB507" i="26"/>
  <c r="AB508" i="26"/>
  <c r="AB509" i="26"/>
  <c r="AB510" i="26"/>
  <c r="AB511" i="26"/>
  <c r="AB512" i="26"/>
  <c r="AB513" i="26"/>
  <c r="AB514" i="26"/>
  <c r="AB515" i="26"/>
  <c r="AB516" i="26"/>
  <c r="AB517" i="26"/>
  <c r="AB518" i="26"/>
  <c r="AB519" i="26"/>
  <c r="AB520" i="26"/>
  <c r="AB521" i="26"/>
  <c r="AB522" i="26"/>
  <c r="AB523" i="26"/>
  <c r="AB524" i="26"/>
  <c r="AB525" i="26"/>
  <c r="AB526" i="26"/>
  <c r="AB527" i="26"/>
  <c r="AB528" i="26"/>
  <c r="AB529" i="26"/>
  <c r="AB530" i="26"/>
  <c r="AB531" i="26"/>
  <c r="AB532" i="26"/>
  <c r="AB533" i="26"/>
  <c r="AB534" i="26"/>
  <c r="AB535" i="26"/>
  <c r="AB536" i="26"/>
  <c r="AB537" i="26"/>
  <c r="AB538" i="26"/>
  <c r="AB539" i="26"/>
  <c r="AB540" i="26"/>
  <c r="AB541" i="26"/>
  <c r="AB542" i="26"/>
  <c r="AB543" i="26"/>
  <c r="AB544" i="26"/>
  <c r="AB545" i="26"/>
  <c r="AB546" i="26"/>
  <c r="AB547" i="26"/>
  <c r="AB548" i="26"/>
  <c r="AB549" i="26"/>
  <c r="AB550" i="26"/>
  <c r="AB551" i="26"/>
  <c r="AB552" i="26"/>
  <c r="AB553" i="26"/>
  <c r="AB554" i="26"/>
  <c r="AB555" i="26"/>
  <c r="AB556" i="26"/>
  <c r="AB557" i="26"/>
  <c r="AB558" i="26"/>
  <c r="AB559" i="26"/>
  <c r="AB560" i="26"/>
  <c r="AB561" i="26"/>
  <c r="AB562" i="26"/>
  <c r="AB563" i="26"/>
  <c r="AB564" i="26"/>
  <c r="AB565" i="26"/>
  <c r="AB566" i="26"/>
  <c r="AB567" i="26"/>
  <c r="AB568" i="26"/>
  <c r="AB569" i="26"/>
  <c r="AB570" i="26"/>
  <c r="AB571" i="26"/>
  <c r="AB572" i="26"/>
  <c r="AB573" i="26"/>
  <c r="AB574" i="26"/>
  <c r="AB575" i="26"/>
  <c r="AB576" i="26"/>
  <c r="AB577" i="26"/>
  <c r="AB578" i="26"/>
  <c r="AB579" i="26"/>
  <c r="AB580" i="26"/>
  <c r="AB581" i="26"/>
  <c r="AB582" i="26"/>
  <c r="AB583" i="26"/>
  <c r="AB584" i="26"/>
  <c r="AB585" i="26"/>
  <c r="AB586" i="26"/>
  <c r="AB587" i="26"/>
  <c r="AB588" i="26"/>
  <c r="AB589" i="26"/>
  <c r="AB590" i="26"/>
  <c r="AB591" i="26"/>
  <c r="AB592" i="26"/>
  <c r="AB593" i="26"/>
  <c r="AB594" i="26"/>
  <c r="AB595" i="26"/>
  <c r="AB596" i="26"/>
  <c r="AB597" i="26"/>
  <c r="AB598" i="26"/>
  <c r="AB599" i="26"/>
  <c r="AB600" i="26"/>
  <c r="AB601" i="26"/>
  <c r="AB602" i="26"/>
  <c r="AB603" i="26"/>
  <c r="AB604" i="26"/>
  <c r="AB605" i="26"/>
  <c r="AB606" i="26"/>
  <c r="AB607" i="26"/>
  <c r="AB608" i="26"/>
  <c r="AB609" i="26"/>
  <c r="AB610" i="26"/>
  <c r="AB611" i="26"/>
  <c r="AB612" i="26"/>
  <c r="AB613" i="26"/>
  <c r="AB614" i="26"/>
  <c r="AB615" i="26"/>
  <c r="AB616" i="26"/>
  <c r="AB617" i="26"/>
  <c r="AB618" i="26"/>
  <c r="AB619" i="26"/>
  <c r="AB620" i="26"/>
  <c r="AB621" i="26"/>
  <c r="AB622" i="26"/>
  <c r="AB623" i="26"/>
  <c r="AB624" i="26"/>
  <c r="AB625" i="26"/>
  <c r="AB626" i="26"/>
  <c r="AB627" i="26"/>
  <c r="AB628" i="26"/>
  <c r="AB629" i="26"/>
  <c r="AB630" i="26"/>
  <c r="AB631" i="26"/>
  <c r="AB632" i="26"/>
  <c r="AB633" i="26"/>
  <c r="AB634" i="26"/>
  <c r="AB635" i="26"/>
  <c r="AB636" i="26"/>
  <c r="AB637" i="26"/>
  <c r="AB638" i="26"/>
  <c r="AB639" i="26"/>
  <c r="AB640" i="26"/>
  <c r="AB641" i="26"/>
  <c r="AB642" i="26"/>
  <c r="AB643" i="26"/>
  <c r="AB644" i="26"/>
  <c r="AB645" i="26"/>
  <c r="AB646" i="26"/>
  <c r="AB647" i="26"/>
  <c r="AB648" i="26"/>
  <c r="AB649" i="26"/>
  <c r="AB650" i="26"/>
  <c r="AB651" i="26"/>
  <c r="AB652" i="26"/>
  <c r="AB653" i="26"/>
  <c r="AB654" i="26"/>
  <c r="AB655" i="26"/>
  <c r="AB656" i="26"/>
  <c r="AB657" i="26"/>
  <c r="AB658" i="26"/>
  <c r="AB659" i="26"/>
  <c r="AB660" i="26"/>
  <c r="AB661" i="26"/>
  <c r="AB662" i="26"/>
  <c r="AB663" i="26"/>
  <c r="AB664" i="26"/>
  <c r="AB665" i="26"/>
  <c r="AB666" i="26"/>
  <c r="AB667" i="26"/>
  <c r="AB668" i="26"/>
  <c r="AB669" i="26"/>
  <c r="AB670" i="26"/>
  <c r="AB671" i="26"/>
  <c r="AB672" i="26"/>
  <c r="AB673" i="26"/>
  <c r="AB674" i="26"/>
  <c r="AB675" i="26"/>
  <c r="AB676" i="26"/>
  <c r="AB677" i="26"/>
  <c r="AB678" i="26"/>
  <c r="AB679" i="26"/>
  <c r="AB680" i="26"/>
  <c r="AB681" i="26"/>
  <c r="AB682" i="26"/>
  <c r="AB683" i="26"/>
  <c r="AB684" i="26"/>
  <c r="AB685" i="26"/>
  <c r="AB686" i="26"/>
  <c r="AB687" i="26"/>
  <c r="AB688" i="26"/>
  <c r="AB689" i="26"/>
  <c r="AB690" i="26"/>
  <c r="AB691" i="26"/>
  <c r="AB692" i="26"/>
  <c r="AB713" i="26" l="1"/>
  <c r="X713" i="26"/>
  <c r="Z713" i="26" l="1"/>
  <c r="Y713" i="26"/>
  <c r="AM118" i="26" l="1"/>
  <c r="AF137" i="26" l="1"/>
  <c r="AF14" i="26" l="1"/>
  <c r="AF199" i="26" l="1"/>
  <c r="AF313" i="26"/>
  <c r="AF695" i="26"/>
  <c r="AM7" i="26" l="1"/>
  <c r="AM8" i="26"/>
  <c r="AM9" i="26"/>
  <c r="AM10" i="26"/>
  <c r="AM11" i="26"/>
  <c r="AM12" i="26"/>
  <c r="AM13" i="26"/>
  <c r="AM14" i="26"/>
  <c r="AM15" i="26"/>
  <c r="AM16" i="26"/>
  <c r="AM17" i="26"/>
  <c r="AM18" i="26"/>
  <c r="AM26" i="26"/>
  <c r="AM27" i="26"/>
  <c r="AM28" i="26"/>
  <c r="AM30" i="26"/>
  <c r="AM31" i="26"/>
  <c r="AM32" i="26"/>
  <c r="AM33" i="26"/>
  <c r="AM34" i="26"/>
  <c r="AM35" i="26"/>
  <c r="AM36" i="26"/>
  <c r="AM38" i="26"/>
  <c r="AM39" i="26"/>
  <c r="AM40" i="26"/>
  <c r="AM41" i="26"/>
  <c r="AM42" i="26"/>
  <c r="AM43" i="26"/>
  <c r="AM44" i="26"/>
  <c r="AM45" i="26"/>
  <c r="AM46" i="26"/>
  <c r="AM47" i="26"/>
  <c r="AM48" i="26"/>
  <c r="AM49" i="26"/>
  <c r="AM50" i="26"/>
  <c r="AM51" i="26"/>
  <c r="AM52" i="26"/>
  <c r="AM53" i="26"/>
  <c r="AM54" i="26"/>
  <c r="AM55" i="26"/>
  <c r="AM56" i="26"/>
  <c r="AM57" i="26"/>
  <c r="AM58" i="26"/>
  <c r="AM59" i="26"/>
  <c r="AM60" i="26"/>
  <c r="AM61" i="26"/>
  <c r="AM62" i="26"/>
  <c r="AM63" i="26"/>
  <c r="AM64" i="26"/>
  <c r="AM65" i="26"/>
  <c r="AM66" i="26"/>
  <c r="AM67" i="26"/>
  <c r="AM68" i="26"/>
  <c r="AM69" i="26"/>
  <c r="AM70" i="26"/>
  <c r="AM71" i="26"/>
  <c r="AM72" i="26"/>
  <c r="AM73" i="26"/>
  <c r="AM74" i="26"/>
  <c r="AM75" i="26"/>
  <c r="AM76" i="26"/>
  <c r="AM77" i="26"/>
  <c r="AM78" i="26"/>
  <c r="AM79" i="26"/>
  <c r="AM80" i="26"/>
  <c r="AM81" i="26"/>
  <c r="AM82" i="26"/>
  <c r="AM83" i="26"/>
  <c r="AM84" i="26"/>
  <c r="AM85" i="26"/>
  <c r="AM86" i="26"/>
  <c r="AM87" i="26"/>
  <c r="AM88" i="26"/>
  <c r="AM89" i="26"/>
  <c r="AM90" i="26"/>
  <c r="AM91" i="26"/>
  <c r="AM94" i="26"/>
  <c r="AM95" i="26"/>
  <c r="AM96" i="26"/>
  <c r="AM97" i="26"/>
  <c r="AM98" i="26"/>
  <c r="AM99" i="26"/>
  <c r="AM101" i="26"/>
  <c r="AM102" i="26"/>
  <c r="AM105" i="26"/>
  <c r="AM106" i="26"/>
  <c r="AM108" i="26"/>
  <c r="AM109" i="26"/>
  <c r="AM110" i="26"/>
  <c r="AM111" i="26"/>
  <c r="AM112" i="26"/>
  <c r="AM113" i="26"/>
  <c r="AM114" i="26"/>
  <c r="AM115" i="26"/>
  <c r="AM116" i="26"/>
  <c r="AM117" i="26"/>
  <c r="AM121" i="26"/>
  <c r="AM124" i="26"/>
  <c r="AM127" i="26"/>
  <c r="AM128" i="26"/>
  <c r="AM129" i="26"/>
  <c r="AM130" i="26"/>
  <c r="AM132" i="26"/>
  <c r="AM133" i="26"/>
  <c r="AM134" i="26"/>
  <c r="AM139" i="26"/>
  <c r="AM140" i="26"/>
  <c r="AM143" i="26"/>
  <c r="AM145" i="26"/>
  <c r="AM147" i="26"/>
  <c r="AM148" i="26"/>
  <c r="AM149" i="26"/>
  <c r="AM150" i="26"/>
  <c r="AM152" i="26"/>
  <c r="AM155" i="26"/>
  <c r="AM156" i="26"/>
  <c r="AM157" i="26"/>
  <c r="AM158" i="26"/>
  <c r="AM159" i="26"/>
  <c r="AM160" i="26"/>
  <c r="AM161" i="26"/>
  <c r="AM162" i="26"/>
  <c r="AM163" i="26"/>
  <c r="AM164" i="26"/>
  <c r="AM165" i="26"/>
  <c r="AM166" i="26"/>
  <c r="AM167" i="26"/>
  <c r="AM168" i="26"/>
  <c r="AM169" i="26"/>
  <c r="AM170" i="26"/>
  <c r="AM171" i="26"/>
  <c r="AM172" i="26"/>
  <c r="AM173" i="26"/>
  <c r="AM174" i="26"/>
  <c r="AM175" i="26"/>
  <c r="AM176" i="26"/>
  <c r="AM177" i="26"/>
  <c r="AM178" i="26"/>
  <c r="AM179" i="26"/>
  <c r="AM180" i="26"/>
  <c r="AM181" i="26"/>
  <c r="AM182" i="26"/>
  <c r="AM183" i="26"/>
  <c r="AM184" i="26"/>
  <c r="AM185" i="26"/>
  <c r="AM186" i="26"/>
  <c r="AM187" i="26"/>
  <c r="AM188" i="26"/>
  <c r="AM189" i="26"/>
  <c r="AM190" i="26"/>
  <c r="AM191" i="26"/>
  <c r="AM192" i="26"/>
  <c r="AM193" i="26"/>
  <c r="AM194" i="26"/>
  <c r="AM195" i="26"/>
  <c r="AM196" i="26"/>
  <c r="AM197" i="26"/>
  <c r="AM198" i="26"/>
  <c r="AM199" i="26"/>
  <c r="AN199" i="26" s="1"/>
  <c r="AM200" i="26"/>
  <c r="AM202" i="26"/>
  <c r="AM203" i="26"/>
  <c r="AM204" i="26"/>
  <c r="AM206" i="26"/>
  <c r="AM207" i="26"/>
  <c r="AM210" i="26"/>
  <c r="AM211" i="26"/>
  <c r="AM212" i="26"/>
  <c r="AM213" i="26"/>
  <c r="AM214" i="26"/>
  <c r="AM215" i="26"/>
  <c r="AM216" i="26"/>
  <c r="AM217" i="26"/>
  <c r="AM218" i="26"/>
  <c r="AM220" i="26"/>
  <c r="AM221" i="26"/>
  <c r="AM222" i="26"/>
  <c r="AM224" i="26"/>
  <c r="AM227" i="26"/>
  <c r="AM228" i="26"/>
  <c r="AM229" i="26"/>
  <c r="AM230" i="26"/>
  <c r="AM231" i="26"/>
  <c r="AM232" i="26"/>
  <c r="AM234" i="26"/>
  <c r="AM235" i="26"/>
  <c r="AM236" i="26"/>
  <c r="AM238" i="26"/>
  <c r="AM239" i="26"/>
  <c r="AM240" i="26"/>
  <c r="AM242" i="26"/>
  <c r="AM243" i="26"/>
  <c r="AM244" i="26"/>
  <c r="AM245" i="26"/>
  <c r="AM246" i="26"/>
  <c r="AM247" i="26"/>
  <c r="AM248" i="26"/>
  <c r="AM249" i="26"/>
  <c r="AM250" i="26"/>
  <c r="AM251" i="26"/>
  <c r="AM252" i="26"/>
  <c r="AM253" i="26"/>
  <c r="AM254" i="26"/>
  <c r="AM255" i="26"/>
  <c r="AM256" i="26"/>
  <c r="AM257" i="26"/>
  <c r="AM259" i="26"/>
  <c r="AM260" i="26"/>
  <c r="AM261" i="26"/>
  <c r="AM262" i="26"/>
  <c r="AM263" i="26"/>
  <c r="AM264" i="26"/>
  <c r="AM266" i="26"/>
  <c r="AM267" i="26"/>
  <c r="AM268" i="26"/>
  <c r="AM269" i="26"/>
  <c r="AM270" i="26"/>
  <c r="AM271" i="26"/>
  <c r="AM272" i="26"/>
  <c r="AM273" i="26"/>
  <c r="AM274" i="26"/>
  <c r="AM275" i="26"/>
  <c r="AM276" i="26"/>
  <c r="AM277" i="26"/>
  <c r="AM278" i="26"/>
  <c r="AM279" i="26"/>
  <c r="AM280" i="26"/>
  <c r="AM281" i="26"/>
  <c r="AM282" i="26"/>
  <c r="AM283" i="26"/>
  <c r="AM284" i="26"/>
  <c r="AM285" i="26"/>
  <c r="AM286" i="26"/>
  <c r="AM287" i="26"/>
  <c r="AM288" i="26"/>
  <c r="AM289" i="26"/>
  <c r="AM290" i="26"/>
  <c r="AM291" i="26"/>
  <c r="AM292" i="26"/>
  <c r="AM293" i="26"/>
  <c r="AM294" i="26"/>
  <c r="AM295" i="26"/>
  <c r="AM296" i="26"/>
  <c r="AM297" i="26"/>
  <c r="AM298" i="26"/>
  <c r="AM300" i="26"/>
  <c r="AM301" i="26"/>
  <c r="AM302" i="26"/>
  <c r="AM303" i="26"/>
  <c r="AM305" i="26"/>
  <c r="AM306" i="26"/>
  <c r="AM307" i="26"/>
  <c r="AM309" i="26"/>
  <c r="AM310" i="26"/>
  <c r="AM311" i="26"/>
  <c r="AM313" i="26"/>
  <c r="AN313" i="26" s="1"/>
  <c r="AM314" i="26"/>
  <c r="AM315" i="26"/>
  <c r="AM317" i="26"/>
  <c r="AM318" i="26"/>
  <c r="AM319" i="26"/>
  <c r="AM321" i="26"/>
  <c r="AM322" i="26"/>
  <c r="AM323" i="26"/>
  <c r="AM324" i="26"/>
  <c r="AM325" i="26"/>
  <c r="AM326" i="26"/>
  <c r="AM327" i="26"/>
  <c r="AM328" i="26"/>
  <c r="AM329" i="26"/>
  <c r="AM330" i="26"/>
  <c r="AM331" i="26"/>
  <c r="AM332" i="26"/>
  <c r="AM333" i="26"/>
  <c r="AM334" i="26"/>
  <c r="AM335" i="26"/>
  <c r="AM336" i="26"/>
  <c r="AM337" i="26"/>
  <c r="AM340" i="26"/>
  <c r="AM341" i="26"/>
  <c r="AM342" i="26"/>
  <c r="AM343" i="26"/>
  <c r="AM348" i="26"/>
  <c r="AM349" i="26"/>
  <c r="AM353" i="26"/>
  <c r="AM354" i="26"/>
  <c r="AM355" i="26"/>
  <c r="AM356" i="26"/>
  <c r="AM357" i="26"/>
  <c r="AM359" i="26"/>
  <c r="AM361" i="26"/>
  <c r="AM362" i="26"/>
  <c r="AM363" i="26"/>
  <c r="AM365" i="26"/>
  <c r="AM367" i="26"/>
  <c r="AM369" i="26"/>
  <c r="AM370" i="26"/>
  <c r="AM371" i="26"/>
  <c r="AM372" i="26"/>
  <c r="AM373" i="26"/>
  <c r="AM374" i="26"/>
  <c r="AM375" i="26"/>
  <c r="AM376" i="26"/>
  <c r="AM378" i="26"/>
  <c r="AM379" i="26"/>
  <c r="AM380" i="26"/>
  <c r="AM381" i="26"/>
  <c r="AM382" i="26"/>
  <c r="AM383" i="26"/>
  <c r="AM384" i="26"/>
  <c r="AM385" i="26"/>
  <c r="AM386" i="26"/>
  <c r="AM387" i="26"/>
  <c r="AM388" i="26"/>
  <c r="AM389" i="26"/>
  <c r="AM390" i="26"/>
  <c r="AM391" i="26"/>
  <c r="AM392" i="26"/>
  <c r="AM393" i="26"/>
  <c r="AM394" i="26"/>
  <c r="AM395" i="26"/>
  <c r="AM396" i="26"/>
  <c r="AM397" i="26"/>
  <c r="AM398" i="26"/>
  <c r="AM399" i="26"/>
  <c r="AM400" i="26"/>
  <c r="AM401" i="26"/>
  <c r="AM403" i="26"/>
  <c r="AM404" i="26"/>
  <c r="AM407" i="26"/>
  <c r="AM408" i="26"/>
  <c r="AM409" i="26"/>
  <c r="AM410" i="26"/>
  <c r="AM411" i="26"/>
  <c r="AM412" i="26"/>
  <c r="AM414" i="26"/>
  <c r="AM415" i="26"/>
  <c r="AM418" i="26"/>
  <c r="AM419" i="26"/>
  <c r="AM420" i="26"/>
  <c r="AM421" i="26"/>
  <c r="AM422" i="26"/>
  <c r="AM424" i="26"/>
  <c r="AM425" i="26"/>
  <c r="AM428" i="26"/>
  <c r="AM429" i="26"/>
  <c r="AM430" i="26"/>
  <c r="AM431" i="26"/>
  <c r="AM432" i="26"/>
  <c r="AM434" i="26"/>
  <c r="AM435" i="26"/>
  <c r="AM436" i="26"/>
  <c r="AM437" i="26"/>
  <c r="AM438" i="26"/>
  <c r="AM439" i="26"/>
  <c r="AM440" i="26"/>
  <c r="AM441" i="26"/>
  <c r="AM442" i="26"/>
  <c r="AM443" i="26"/>
  <c r="AM445" i="26"/>
  <c r="AM446" i="26"/>
  <c r="AM447" i="26"/>
  <c r="AM448" i="26"/>
  <c r="AM450" i="26"/>
  <c r="AM451" i="26"/>
  <c r="AM453" i="26"/>
  <c r="AM454" i="26"/>
  <c r="AM457" i="26"/>
  <c r="AM458" i="26"/>
  <c r="AM459" i="26"/>
  <c r="AM460" i="26"/>
  <c r="AM462" i="26"/>
  <c r="AM463" i="26"/>
  <c r="AM464" i="26"/>
  <c r="AM489" i="26"/>
  <c r="AM490" i="26"/>
  <c r="AM491" i="26"/>
  <c r="AM492" i="26"/>
  <c r="AM493" i="26"/>
  <c r="AM494" i="26"/>
  <c r="AM495" i="26"/>
  <c r="AM496" i="26"/>
  <c r="AM497" i="26"/>
  <c r="AM498" i="26"/>
  <c r="AM500" i="26"/>
  <c r="AM501" i="26"/>
  <c r="AM502" i="26"/>
  <c r="AM503" i="26"/>
  <c r="AM504" i="26"/>
  <c r="AM505" i="26"/>
  <c r="AM506" i="26"/>
  <c r="AM507" i="26"/>
  <c r="AM508" i="26"/>
  <c r="AM509" i="26"/>
  <c r="AM510" i="26"/>
  <c r="AM512" i="26"/>
  <c r="AM513" i="26"/>
  <c r="AM514" i="26"/>
  <c r="AM515" i="26"/>
  <c r="AM516" i="26"/>
  <c r="AM517" i="26"/>
  <c r="AM518" i="26"/>
  <c r="AM519" i="26"/>
  <c r="AM520" i="26"/>
  <c r="AM521" i="26"/>
  <c r="AM525" i="26"/>
  <c r="AM528" i="26"/>
  <c r="AM529" i="26"/>
  <c r="AM530" i="26"/>
  <c r="AM532" i="26"/>
  <c r="AM533" i="26"/>
  <c r="AM534" i="26"/>
  <c r="AM535" i="26"/>
  <c r="AM538" i="26"/>
  <c r="AM539" i="26"/>
  <c r="AM563" i="26"/>
  <c r="AM564" i="26"/>
  <c r="AM565" i="26"/>
  <c r="AM566" i="26"/>
  <c r="AM567" i="26"/>
  <c r="AM568" i="26"/>
  <c r="AM569" i="26"/>
  <c r="AM570" i="26"/>
  <c r="AM574" i="26"/>
  <c r="AM575" i="26"/>
  <c r="AM576" i="26"/>
  <c r="AM577" i="26"/>
  <c r="AM578" i="26"/>
  <c r="AM579" i="26"/>
  <c r="AM586" i="26"/>
  <c r="AM587" i="26"/>
  <c r="AM588" i="26"/>
  <c r="AM589" i="26"/>
  <c r="AM590" i="26"/>
  <c r="AM592" i="26"/>
  <c r="AM593" i="26"/>
  <c r="AM594" i="26"/>
  <c r="AM595" i="26"/>
  <c r="AM596" i="26"/>
  <c r="AM599" i="26"/>
  <c r="AM600" i="26"/>
  <c r="AM601" i="26"/>
  <c r="AM602" i="26"/>
  <c r="AM603" i="26"/>
  <c r="AM604" i="26"/>
  <c r="AM605" i="26"/>
  <c r="AM606" i="26"/>
  <c r="AM607" i="26"/>
  <c r="AM608" i="26"/>
  <c r="AM609" i="26"/>
  <c r="AM610" i="26"/>
  <c r="AM611" i="26"/>
  <c r="AM612" i="26"/>
  <c r="AM613" i="26"/>
  <c r="AM614" i="26"/>
  <c r="AM615" i="26"/>
  <c r="AM616" i="26"/>
  <c r="AM617" i="26"/>
  <c r="AM618" i="26"/>
  <c r="AM619" i="26"/>
  <c r="AM622" i="26"/>
  <c r="AM623" i="26"/>
  <c r="AM624" i="26"/>
  <c r="AM626" i="26"/>
  <c r="AM627" i="26"/>
  <c r="AM628" i="26"/>
  <c r="AM629" i="26"/>
  <c r="AM630" i="26"/>
  <c r="AM631" i="26"/>
  <c r="AM632" i="26"/>
  <c r="AM633" i="26"/>
  <c r="AM634" i="26"/>
  <c r="AM635" i="26"/>
  <c r="AM636" i="26"/>
  <c r="AM637" i="26"/>
  <c r="AM638" i="26"/>
  <c r="AM639" i="26"/>
  <c r="AM640" i="26"/>
  <c r="AM641" i="26"/>
  <c r="AM642" i="26"/>
  <c r="AM643" i="26"/>
  <c r="AM644" i="26"/>
  <c r="AM646" i="26"/>
  <c r="AM647" i="26"/>
  <c r="AM649" i="26"/>
  <c r="AM650" i="26"/>
  <c r="AM651" i="26"/>
  <c r="AM652" i="26"/>
  <c r="AM654" i="26"/>
  <c r="AM655" i="26"/>
  <c r="AM656" i="26"/>
  <c r="AM657" i="26"/>
  <c r="AM658" i="26"/>
  <c r="AM659" i="26"/>
  <c r="AM660" i="26"/>
  <c r="AM661" i="26"/>
  <c r="AM662" i="26"/>
  <c r="AM663" i="26"/>
  <c r="AM668" i="26"/>
  <c r="AM669" i="26"/>
  <c r="AM670" i="26"/>
  <c r="AM671" i="26"/>
  <c r="AM672" i="26"/>
  <c r="AM674" i="26"/>
  <c r="AM675" i="26"/>
  <c r="AM676" i="26"/>
  <c r="AM677" i="26"/>
  <c r="AM678" i="26"/>
  <c r="AM679" i="26"/>
  <c r="AM680" i="26"/>
  <c r="AM681" i="26"/>
  <c r="AM682" i="26"/>
  <c r="AM683" i="26"/>
  <c r="AM684" i="26"/>
  <c r="AM685" i="26"/>
  <c r="AM686" i="26"/>
  <c r="AM687" i="26"/>
  <c r="AM688" i="26"/>
  <c r="AM689" i="26"/>
  <c r="AM690" i="26"/>
  <c r="AM693" i="26"/>
  <c r="AM694" i="26"/>
  <c r="AM695" i="26"/>
  <c r="AN695" i="26" s="1"/>
  <c r="AM697" i="26"/>
  <c r="AM698" i="26"/>
  <c r="AD713" i="26" s="1"/>
  <c r="AM699" i="26"/>
  <c r="AF7" i="26" l="1"/>
  <c r="AF8" i="26"/>
  <c r="AF9" i="26"/>
  <c r="AN9" i="26" s="1"/>
  <c r="AF10" i="26"/>
  <c r="AN10" i="26" s="1"/>
  <c r="AF11" i="26"/>
  <c r="AN11" i="26" s="1"/>
  <c r="AF12" i="26"/>
  <c r="AN12" i="26" s="1"/>
  <c r="AF13" i="26"/>
  <c r="AN13" i="26" s="1"/>
  <c r="AN14" i="26"/>
  <c r="AF15" i="26"/>
  <c r="AN15" i="26" s="1"/>
  <c r="AF16" i="26"/>
  <c r="AN16" i="26" s="1"/>
  <c r="AF17" i="26"/>
  <c r="AN17" i="26" s="1"/>
  <c r="AF18" i="26"/>
  <c r="AN18" i="26" s="1"/>
  <c r="AF19" i="26"/>
  <c r="AF20" i="26"/>
  <c r="AF21" i="26"/>
  <c r="AF22" i="26"/>
  <c r="AF23" i="26"/>
  <c r="AF24" i="26"/>
  <c r="AF26" i="26"/>
  <c r="AN26" i="26" s="1"/>
  <c r="AF27" i="26"/>
  <c r="AN27" i="26" s="1"/>
  <c r="AF28" i="26"/>
  <c r="AN28" i="26" s="1"/>
  <c r="AF29" i="26"/>
  <c r="AF30" i="26"/>
  <c r="AN30" i="26" s="1"/>
  <c r="AF31" i="26"/>
  <c r="AN31" i="26" s="1"/>
  <c r="AF32" i="26"/>
  <c r="AN32" i="26" s="1"/>
  <c r="AF33" i="26"/>
  <c r="AN33" i="26" s="1"/>
  <c r="AF34" i="26"/>
  <c r="AN34" i="26" s="1"/>
  <c r="AF35" i="26"/>
  <c r="AN35" i="26" s="1"/>
  <c r="AF36" i="26"/>
  <c r="AN36" i="26" s="1"/>
  <c r="AF37" i="26"/>
  <c r="AF38" i="26"/>
  <c r="AN38" i="26" s="1"/>
  <c r="AF39" i="26"/>
  <c r="AN39" i="26" s="1"/>
  <c r="AF40" i="26"/>
  <c r="AN40" i="26" s="1"/>
  <c r="AF41" i="26"/>
  <c r="AN41" i="26" s="1"/>
  <c r="AF42" i="26"/>
  <c r="AN42" i="26" s="1"/>
  <c r="AF43" i="26"/>
  <c r="AN43" i="26" s="1"/>
  <c r="AF44" i="26"/>
  <c r="AN44" i="26" s="1"/>
  <c r="AF45" i="26"/>
  <c r="AN45" i="26" s="1"/>
  <c r="AF46" i="26"/>
  <c r="AN46" i="26" s="1"/>
  <c r="AF47" i="26"/>
  <c r="AN47" i="26" s="1"/>
  <c r="AF48" i="26"/>
  <c r="AN48" i="26" s="1"/>
  <c r="AF49" i="26"/>
  <c r="AN49" i="26" s="1"/>
  <c r="AF50" i="26"/>
  <c r="AN50" i="26" s="1"/>
  <c r="AF51" i="26"/>
  <c r="AN51" i="26" s="1"/>
  <c r="AF52" i="26"/>
  <c r="AN52" i="26" s="1"/>
  <c r="AF53" i="26"/>
  <c r="AN53" i="26" s="1"/>
  <c r="AF54" i="26"/>
  <c r="AN54" i="26" s="1"/>
  <c r="AF55" i="26"/>
  <c r="AN55" i="26" s="1"/>
  <c r="AF56" i="26"/>
  <c r="AN56" i="26" s="1"/>
  <c r="AF57" i="26"/>
  <c r="AN57" i="26" s="1"/>
  <c r="AF58" i="26"/>
  <c r="AN58" i="26" s="1"/>
  <c r="AF59" i="26"/>
  <c r="AN59" i="26" s="1"/>
  <c r="AF60" i="26"/>
  <c r="AN60" i="26" s="1"/>
  <c r="AF61" i="26"/>
  <c r="AN61" i="26" s="1"/>
  <c r="AF62" i="26"/>
  <c r="AN62" i="26" s="1"/>
  <c r="AF63" i="26"/>
  <c r="AN63" i="26" s="1"/>
  <c r="AF64" i="26"/>
  <c r="AN64" i="26" s="1"/>
  <c r="AF65" i="26"/>
  <c r="AN65" i="26" s="1"/>
  <c r="AF66" i="26"/>
  <c r="AN66" i="26" s="1"/>
  <c r="AF67" i="26"/>
  <c r="AN67" i="26" s="1"/>
  <c r="AF68" i="26"/>
  <c r="AN68" i="26" s="1"/>
  <c r="AF69" i="26"/>
  <c r="AN69" i="26" s="1"/>
  <c r="AF70" i="26"/>
  <c r="AN70" i="26" s="1"/>
  <c r="AF71" i="26"/>
  <c r="AN71" i="26" s="1"/>
  <c r="AF72" i="26"/>
  <c r="AN72" i="26" s="1"/>
  <c r="AF73" i="26"/>
  <c r="AN73" i="26" s="1"/>
  <c r="AF74" i="26"/>
  <c r="AN74" i="26" s="1"/>
  <c r="AF75" i="26"/>
  <c r="AN75" i="26" s="1"/>
  <c r="AF76" i="26"/>
  <c r="AN76" i="26" s="1"/>
  <c r="AF77" i="26"/>
  <c r="AN77" i="26" s="1"/>
  <c r="AF78" i="26"/>
  <c r="AN78" i="26" s="1"/>
  <c r="AF79" i="26"/>
  <c r="AN79" i="26" s="1"/>
  <c r="AF80" i="26"/>
  <c r="AN80" i="26" s="1"/>
  <c r="AF81" i="26"/>
  <c r="AN81" i="26" s="1"/>
  <c r="AF82" i="26"/>
  <c r="AN82" i="26" s="1"/>
  <c r="AF83" i="26"/>
  <c r="AN83" i="26" s="1"/>
  <c r="AF84" i="26"/>
  <c r="AN84" i="26" s="1"/>
  <c r="AF85" i="26"/>
  <c r="AN85" i="26" s="1"/>
  <c r="AF86" i="26"/>
  <c r="AN86" i="26" s="1"/>
  <c r="AF87" i="26"/>
  <c r="AN87" i="26" s="1"/>
  <c r="AF88" i="26"/>
  <c r="AN88" i="26" s="1"/>
  <c r="AF89" i="26"/>
  <c r="AN89" i="26" s="1"/>
  <c r="AF90" i="26"/>
  <c r="AN90" i="26" s="1"/>
  <c r="AF91" i="26"/>
  <c r="AN91" i="26" s="1"/>
  <c r="AF92" i="26"/>
  <c r="AF93" i="26"/>
  <c r="AF94" i="26"/>
  <c r="AN94" i="26" s="1"/>
  <c r="AF95" i="26"/>
  <c r="AN95" i="26" s="1"/>
  <c r="AF96" i="26"/>
  <c r="AN96" i="26" s="1"/>
  <c r="AF97" i="26"/>
  <c r="AN97" i="26" s="1"/>
  <c r="AF98" i="26"/>
  <c r="AN98" i="26" s="1"/>
  <c r="AF99" i="26"/>
  <c r="AN99" i="26" s="1"/>
  <c r="AF100" i="26"/>
  <c r="AF101" i="26"/>
  <c r="AN101" i="26" s="1"/>
  <c r="AF102" i="26"/>
  <c r="AN102" i="26" s="1"/>
  <c r="AF103" i="26"/>
  <c r="AF104" i="26"/>
  <c r="AF105" i="26"/>
  <c r="AN105" i="26" s="1"/>
  <c r="AF106" i="26"/>
  <c r="AN106" i="26" s="1"/>
  <c r="AF107" i="26"/>
  <c r="AF108" i="26"/>
  <c r="AN108" i="26" s="1"/>
  <c r="AF109" i="26"/>
  <c r="AN109" i="26" s="1"/>
  <c r="AF110" i="26"/>
  <c r="AN110" i="26" s="1"/>
  <c r="AF111" i="26"/>
  <c r="AN111" i="26" s="1"/>
  <c r="AF112" i="26"/>
  <c r="AN112" i="26" s="1"/>
  <c r="AF113" i="26"/>
  <c r="AN113" i="26" s="1"/>
  <c r="AF114" i="26"/>
  <c r="AN114" i="26" s="1"/>
  <c r="AF115" i="26"/>
  <c r="AN115" i="26" s="1"/>
  <c r="AF116" i="26"/>
  <c r="AN116" i="26" s="1"/>
  <c r="AF117" i="26"/>
  <c r="AN117" i="26" s="1"/>
  <c r="AF118" i="26"/>
  <c r="AF119" i="26"/>
  <c r="AF120" i="26"/>
  <c r="AF121" i="26"/>
  <c r="AN121" i="26" s="1"/>
  <c r="AF122" i="26"/>
  <c r="AF123" i="26"/>
  <c r="AF124" i="26"/>
  <c r="AN124" i="26" s="1"/>
  <c r="AF125" i="26"/>
  <c r="AF126" i="26"/>
  <c r="AF127" i="26"/>
  <c r="AN127" i="26" s="1"/>
  <c r="AF128" i="26"/>
  <c r="AN128" i="26" s="1"/>
  <c r="AF129" i="26"/>
  <c r="AN129" i="26" s="1"/>
  <c r="AF130" i="26"/>
  <c r="AN130" i="26" s="1"/>
  <c r="AF131" i="26"/>
  <c r="AF132" i="26"/>
  <c r="AN132" i="26" s="1"/>
  <c r="AF133" i="26"/>
  <c r="AN133" i="26" s="1"/>
  <c r="AF134" i="26"/>
  <c r="AN134" i="26" s="1"/>
  <c r="AF135" i="26"/>
  <c r="AF136" i="26"/>
  <c r="AF138" i="26"/>
  <c r="AF139" i="26"/>
  <c r="AN139" i="26" s="1"/>
  <c r="AF140" i="26"/>
  <c r="AN140" i="26" s="1"/>
  <c r="AF141" i="26"/>
  <c r="AF142" i="26"/>
  <c r="AF143" i="26"/>
  <c r="AN143" i="26" s="1"/>
  <c r="AF144" i="26"/>
  <c r="AF145" i="26"/>
  <c r="AN145" i="26" s="1"/>
  <c r="AF146" i="26"/>
  <c r="AF147" i="26"/>
  <c r="AN147" i="26" s="1"/>
  <c r="AF148" i="26"/>
  <c r="AN148" i="26" s="1"/>
  <c r="AF149" i="26"/>
  <c r="AN149" i="26" s="1"/>
  <c r="AF150" i="26"/>
  <c r="AN150" i="26" s="1"/>
  <c r="AF151" i="26"/>
  <c r="AF152" i="26"/>
  <c r="AN152" i="26" s="1"/>
  <c r="AF153" i="26"/>
  <c r="AF154" i="26"/>
  <c r="AF155" i="26"/>
  <c r="AN155" i="26" s="1"/>
  <c r="AF156" i="26"/>
  <c r="AN156" i="26" s="1"/>
  <c r="AF157" i="26"/>
  <c r="AN157" i="26" s="1"/>
  <c r="AF158" i="26"/>
  <c r="AN158" i="26" s="1"/>
  <c r="AF159" i="26"/>
  <c r="AN159" i="26" s="1"/>
  <c r="AF160" i="26"/>
  <c r="AN160" i="26" s="1"/>
  <c r="AF161" i="26"/>
  <c r="AN161" i="26" s="1"/>
  <c r="AF162" i="26"/>
  <c r="AN162" i="26" s="1"/>
  <c r="AF163" i="26"/>
  <c r="AN163" i="26" s="1"/>
  <c r="AF164" i="26"/>
  <c r="AN164" i="26" s="1"/>
  <c r="AF165" i="26"/>
  <c r="AN165" i="26" s="1"/>
  <c r="AF166" i="26"/>
  <c r="AN166" i="26" s="1"/>
  <c r="AF167" i="26"/>
  <c r="AN167" i="26" s="1"/>
  <c r="AF168" i="26"/>
  <c r="AN168" i="26" s="1"/>
  <c r="AF169" i="26"/>
  <c r="AN169" i="26" s="1"/>
  <c r="AF170" i="26"/>
  <c r="AN170" i="26" s="1"/>
  <c r="AF171" i="26"/>
  <c r="AN171" i="26" s="1"/>
  <c r="AF172" i="26"/>
  <c r="AN172" i="26" s="1"/>
  <c r="AF173" i="26"/>
  <c r="AN173" i="26" s="1"/>
  <c r="AF174" i="26"/>
  <c r="AN174" i="26" s="1"/>
  <c r="AF175" i="26"/>
  <c r="AN175" i="26" s="1"/>
  <c r="AF176" i="26"/>
  <c r="AN176" i="26" s="1"/>
  <c r="AF177" i="26"/>
  <c r="AN177" i="26" s="1"/>
  <c r="AF178" i="26"/>
  <c r="AN178" i="26" s="1"/>
  <c r="AF179" i="26"/>
  <c r="AN179" i="26" s="1"/>
  <c r="AF180" i="26"/>
  <c r="AN180" i="26" s="1"/>
  <c r="AF181" i="26"/>
  <c r="AN181" i="26" s="1"/>
  <c r="AF182" i="26"/>
  <c r="AN182" i="26" s="1"/>
  <c r="AF183" i="26"/>
  <c r="AN183" i="26" s="1"/>
  <c r="AF184" i="26"/>
  <c r="AN184" i="26" s="1"/>
  <c r="AF185" i="26"/>
  <c r="AN185" i="26" s="1"/>
  <c r="AF186" i="26"/>
  <c r="AN186" i="26" s="1"/>
  <c r="AF187" i="26"/>
  <c r="AN187" i="26" s="1"/>
  <c r="AF188" i="26"/>
  <c r="AN188" i="26" s="1"/>
  <c r="AF189" i="26"/>
  <c r="AN189" i="26" s="1"/>
  <c r="AF190" i="26"/>
  <c r="AN190" i="26" s="1"/>
  <c r="AF191" i="26"/>
  <c r="AN191" i="26" s="1"/>
  <c r="AF192" i="26"/>
  <c r="AN192" i="26" s="1"/>
  <c r="AF193" i="26"/>
  <c r="AN193" i="26" s="1"/>
  <c r="AF194" i="26"/>
  <c r="AN194" i="26" s="1"/>
  <c r="AF195" i="26"/>
  <c r="AN195" i="26" s="1"/>
  <c r="AF196" i="26"/>
  <c r="AN196" i="26" s="1"/>
  <c r="AF197" i="26"/>
  <c r="AN197" i="26" s="1"/>
  <c r="AF198" i="26"/>
  <c r="AN198" i="26" s="1"/>
  <c r="AF200" i="26"/>
  <c r="AN200" i="26" s="1"/>
  <c r="AF201" i="26"/>
  <c r="AF202" i="26"/>
  <c r="AN202" i="26" s="1"/>
  <c r="AF203" i="26"/>
  <c r="AN203" i="26" s="1"/>
  <c r="AF204" i="26"/>
  <c r="AN204" i="26" s="1"/>
  <c r="AF205" i="26"/>
  <c r="AF206" i="26"/>
  <c r="AN206" i="26" s="1"/>
  <c r="AF207" i="26"/>
  <c r="AN207" i="26" s="1"/>
  <c r="AF208" i="26"/>
  <c r="AF209" i="26"/>
  <c r="AF210" i="26"/>
  <c r="AN210" i="26" s="1"/>
  <c r="AF211" i="26"/>
  <c r="AN211" i="26" s="1"/>
  <c r="AF212" i="26"/>
  <c r="AN212" i="26" s="1"/>
  <c r="AF213" i="26"/>
  <c r="AN213" i="26" s="1"/>
  <c r="AF214" i="26"/>
  <c r="AN214" i="26" s="1"/>
  <c r="AF215" i="26"/>
  <c r="AN215" i="26" s="1"/>
  <c r="AF216" i="26"/>
  <c r="AN216" i="26" s="1"/>
  <c r="AF217" i="26"/>
  <c r="AN217" i="26" s="1"/>
  <c r="AF218" i="26"/>
  <c r="AN218" i="26" s="1"/>
  <c r="AF219" i="26"/>
  <c r="AF220" i="26"/>
  <c r="AN220" i="26" s="1"/>
  <c r="AF221" i="26"/>
  <c r="AN221" i="26" s="1"/>
  <c r="AF222" i="26"/>
  <c r="AN222" i="26" s="1"/>
  <c r="AF223" i="26"/>
  <c r="AF224" i="26"/>
  <c r="AN224" i="26" s="1"/>
  <c r="AF225" i="26"/>
  <c r="AF226" i="26"/>
  <c r="AF227" i="26"/>
  <c r="AN227" i="26" s="1"/>
  <c r="AF228" i="26"/>
  <c r="AN228" i="26" s="1"/>
  <c r="AF229" i="26"/>
  <c r="AN229" i="26" s="1"/>
  <c r="AF230" i="26"/>
  <c r="AN230" i="26" s="1"/>
  <c r="AF231" i="26"/>
  <c r="AN231" i="26" s="1"/>
  <c r="AF232" i="26"/>
  <c r="AN232" i="26" s="1"/>
  <c r="AF233" i="26"/>
  <c r="AF234" i="26"/>
  <c r="AN234" i="26" s="1"/>
  <c r="AF235" i="26"/>
  <c r="AN235" i="26" s="1"/>
  <c r="AF236" i="26"/>
  <c r="AN236" i="26" s="1"/>
  <c r="AF237" i="26"/>
  <c r="AF238" i="26"/>
  <c r="AN238" i="26" s="1"/>
  <c r="AF239" i="26"/>
  <c r="AN239" i="26" s="1"/>
  <c r="AF240" i="26"/>
  <c r="AN240" i="26" s="1"/>
  <c r="AF241" i="26"/>
  <c r="AF242" i="26"/>
  <c r="AN242" i="26" s="1"/>
  <c r="AF243" i="26"/>
  <c r="AN243" i="26" s="1"/>
  <c r="AF244" i="26"/>
  <c r="AN244" i="26" s="1"/>
  <c r="AF245" i="26"/>
  <c r="AN245" i="26" s="1"/>
  <c r="AF246" i="26"/>
  <c r="AN246" i="26" s="1"/>
  <c r="AF247" i="26"/>
  <c r="AN247" i="26" s="1"/>
  <c r="AF248" i="26"/>
  <c r="AN248" i="26" s="1"/>
  <c r="AF249" i="26"/>
  <c r="AN249" i="26" s="1"/>
  <c r="AF250" i="26"/>
  <c r="AN250" i="26" s="1"/>
  <c r="AF251" i="26"/>
  <c r="AN251" i="26" s="1"/>
  <c r="AF252" i="26"/>
  <c r="AN252" i="26" s="1"/>
  <c r="AF253" i="26"/>
  <c r="AN253" i="26" s="1"/>
  <c r="AF254" i="26"/>
  <c r="AN254" i="26" s="1"/>
  <c r="AF255" i="26"/>
  <c r="AN255" i="26" s="1"/>
  <c r="AF256" i="26"/>
  <c r="AN256" i="26" s="1"/>
  <c r="AF257" i="26"/>
  <c r="AN257" i="26" s="1"/>
  <c r="AF258" i="26"/>
  <c r="AF259" i="26"/>
  <c r="AN259" i="26" s="1"/>
  <c r="AF260" i="26"/>
  <c r="AN260" i="26" s="1"/>
  <c r="AF261" i="26"/>
  <c r="AN261" i="26" s="1"/>
  <c r="AF262" i="26"/>
  <c r="AN262" i="26" s="1"/>
  <c r="AF263" i="26"/>
  <c r="AN263" i="26" s="1"/>
  <c r="AF264" i="26"/>
  <c r="AN264" i="26" s="1"/>
  <c r="AF265" i="26"/>
  <c r="AF266" i="26"/>
  <c r="AN266" i="26" s="1"/>
  <c r="AF267" i="26"/>
  <c r="AN267" i="26" s="1"/>
  <c r="AF268" i="26"/>
  <c r="AN268" i="26" s="1"/>
  <c r="AF269" i="26"/>
  <c r="AN269" i="26" s="1"/>
  <c r="AF270" i="26"/>
  <c r="AN270" i="26" s="1"/>
  <c r="AF271" i="26"/>
  <c r="AN271" i="26" s="1"/>
  <c r="AF272" i="26"/>
  <c r="AN272" i="26" s="1"/>
  <c r="AF273" i="26"/>
  <c r="AN273" i="26" s="1"/>
  <c r="AF274" i="26"/>
  <c r="AN274" i="26" s="1"/>
  <c r="AF275" i="26"/>
  <c r="AN275" i="26" s="1"/>
  <c r="AF276" i="26"/>
  <c r="AN276" i="26" s="1"/>
  <c r="AF277" i="26"/>
  <c r="AN277" i="26" s="1"/>
  <c r="AF278" i="26"/>
  <c r="AN278" i="26" s="1"/>
  <c r="AF279" i="26"/>
  <c r="AN279" i="26" s="1"/>
  <c r="AF280" i="26"/>
  <c r="AN280" i="26" s="1"/>
  <c r="AF281" i="26"/>
  <c r="AN281" i="26" s="1"/>
  <c r="AF282" i="26"/>
  <c r="AN282" i="26" s="1"/>
  <c r="AF283" i="26"/>
  <c r="AN283" i="26" s="1"/>
  <c r="AF284" i="26"/>
  <c r="AN284" i="26" s="1"/>
  <c r="AF285" i="26"/>
  <c r="AN285" i="26" s="1"/>
  <c r="AF286" i="26"/>
  <c r="AN286" i="26" s="1"/>
  <c r="AF287" i="26"/>
  <c r="AN287" i="26" s="1"/>
  <c r="AF288" i="26"/>
  <c r="AN288" i="26" s="1"/>
  <c r="AF289" i="26"/>
  <c r="AN289" i="26" s="1"/>
  <c r="AF290" i="26"/>
  <c r="AN290" i="26" s="1"/>
  <c r="AF291" i="26"/>
  <c r="AN291" i="26" s="1"/>
  <c r="AF292" i="26"/>
  <c r="AN292" i="26" s="1"/>
  <c r="AF293" i="26"/>
  <c r="AN293" i="26" s="1"/>
  <c r="AF294" i="26"/>
  <c r="AN294" i="26" s="1"/>
  <c r="AF295" i="26"/>
  <c r="AN295" i="26" s="1"/>
  <c r="AF296" i="26"/>
  <c r="AN296" i="26" s="1"/>
  <c r="AF297" i="26"/>
  <c r="AN297" i="26" s="1"/>
  <c r="AF298" i="26"/>
  <c r="AN298" i="26" s="1"/>
  <c r="AF299" i="26"/>
  <c r="AF300" i="26"/>
  <c r="AN300" i="26" s="1"/>
  <c r="AF301" i="26"/>
  <c r="AN301" i="26" s="1"/>
  <c r="AF302" i="26"/>
  <c r="AN302" i="26" s="1"/>
  <c r="AF303" i="26"/>
  <c r="AN303" i="26" s="1"/>
  <c r="AF304" i="26"/>
  <c r="AF305" i="26"/>
  <c r="AN305" i="26" s="1"/>
  <c r="AF306" i="26"/>
  <c r="AN306" i="26" s="1"/>
  <c r="AF307" i="26"/>
  <c r="AN307" i="26" s="1"/>
  <c r="AF309" i="26"/>
  <c r="AN309" i="26" s="1"/>
  <c r="AF310" i="26"/>
  <c r="AN310" i="26" s="1"/>
  <c r="AF311" i="26"/>
  <c r="AN311" i="26" s="1"/>
  <c r="AF312" i="26"/>
  <c r="AF314" i="26"/>
  <c r="AN314" i="26" s="1"/>
  <c r="AF315" i="26"/>
  <c r="AN315" i="26" s="1"/>
  <c r="AF316" i="26"/>
  <c r="AF317" i="26"/>
  <c r="AN317" i="26" s="1"/>
  <c r="AF318" i="26"/>
  <c r="AN318" i="26" s="1"/>
  <c r="AF319" i="26"/>
  <c r="AN319" i="26" s="1"/>
  <c r="AF320" i="26"/>
  <c r="AF321" i="26"/>
  <c r="AN321" i="26" s="1"/>
  <c r="AF322" i="26"/>
  <c r="AN322" i="26" s="1"/>
  <c r="AF323" i="26"/>
  <c r="AN323" i="26" s="1"/>
  <c r="AF324" i="26"/>
  <c r="AN324" i="26" s="1"/>
  <c r="AF325" i="26"/>
  <c r="AN325" i="26" s="1"/>
  <c r="AF326" i="26"/>
  <c r="AN326" i="26" s="1"/>
  <c r="AF327" i="26"/>
  <c r="AN327" i="26" s="1"/>
  <c r="AF328" i="26"/>
  <c r="AN328" i="26" s="1"/>
  <c r="AF329" i="26"/>
  <c r="AN329" i="26" s="1"/>
  <c r="AF330" i="26"/>
  <c r="AN330" i="26" s="1"/>
  <c r="AF331" i="26"/>
  <c r="AN331" i="26" s="1"/>
  <c r="AF332" i="26"/>
  <c r="AN332" i="26" s="1"/>
  <c r="AF333" i="26"/>
  <c r="AN333" i="26" s="1"/>
  <c r="AF334" i="26"/>
  <c r="AN334" i="26" s="1"/>
  <c r="AF335" i="26"/>
  <c r="AN335" i="26" s="1"/>
  <c r="AF336" i="26"/>
  <c r="AN336" i="26" s="1"/>
  <c r="AF337" i="26"/>
  <c r="AN337" i="26" s="1"/>
  <c r="AF338" i="26"/>
  <c r="AF339" i="26"/>
  <c r="AF340" i="26"/>
  <c r="AN340" i="26" s="1"/>
  <c r="AF341" i="26"/>
  <c r="AN341" i="26" s="1"/>
  <c r="AF342" i="26"/>
  <c r="AN342" i="26" s="1"/>
  <c r="AF343" i="26"/>
  <c r="AN343" i="26" s="1"/>
  <c r="AF344" i="26"/>
  <c r="AF345" i="26"/>
  <c r="AF346" i="26"/>
  <c r="AF347" i="26"/>
  <c r="AF348" i="26"/>
  <c r="AN348" i="26" s="1"/>
  <c r="AF349" i="26"/>
  <c r="AN349" i="26" s="1"/>
  <c r="AF350" i="26"/>
  <c r="AF351" i="26"/>
  <c r="AF352" i="26"/>
  <c r="AF353" i="26"/>
  <c r="AN353" i="26" s="1"/>
  <c r="AF354" i="26"/>
  <c r="AN354" i="26" s="1"/>
  <c r="AF355" i="26"/>
  <c r="AN355" i="26" s="1"/>
  <c r="AF356" i="26"/>
  <c r="AN356" i="26" s="1"/>
  <c r="AF357" i="26"/>
  <c r="AN357" i="26" s="1"/>
  <c r="AF358" i="26"/>
  <c r="AF359" i="26"/>
  <c r="AN359" i="26" s="1"/>
  <c r="AF360" i="26"/>
  <c r="AF361" i="26"/>
  <c r="AN361" i="26" s="1"/>
  <c r="AF362" i="26"/>
  <c r="AN362" i="26" s="1"/>
  <c r="AF363" i="26"/>
  <c r="AN363" i="26" s="1"/>
  <c r="AF364" i="26"/>
  <c r="AF365" i="26"/>
  <c r="AN365" i="26" s="1"/>
  <c r="AF366" i="26"/>
  <c r="AF367" i="26"/>
  <c r="AN367" i="26" s="1"/>
  <c r="AF368" i="26"/>
  <c r="AF369" i="26"/>
  <c r="AN369" i="26" s="1"/>
  <c r="AF370" i="26"/>
  <c r="AN370" i="26" s="1"/>
  <c r="AF371" i="26"/>
  <c r="AN371" i="26" s="1"/>
  <c r="AF372" i="26"/>
  <c r="AN372" i="26" s="1"/>
  <c r="AF373" i="26"/>
  <c r="AN373" i="26" s="1"/>
  <c r="AF374" i="26"/>
  <c r="AN374" i="26" s="1"/>
  <c r="AF375" i="26"/>
  <c r="AN375" i="26" s="1"/>
  <c r="AF376" i="26"/>
  <c r="AN376" i="26" s="1"/>
  <c r="AF377" i="26"/>
  <c r="AF378" i="26"/>
  <c r="AN378" i="26" s="1"/>
  <c r="AF379" i="26"/>
  <c r="AN379" i="26" s="1"/>
  <c r="AF380" i="26"/>
  <c r="AN380" i="26" s="1"/>
  <c r="AF381" i="26"/>
  <c r="AN381" i="26" s="1"/>
  <c r="AF382" i="26"/>
  <c r="AN382" i="26" s="1"/>
  <c r="AF383" i="26"/>
  <c r="AN383" i="26" s="1"/>
  <c r="AF384" i="26"/>
  <c r="AN384" i="26" s="1"/>
  <c r="AF385" i="26"/>
  <c r="AN385" i="26" s="1"/>
  <c r="AF386" i="26"/>
  <c r="AN386" i="26" s="1"/>
  <c r="AF387" i="26"/>
  <c r="AN387" i="26" s="1"/>
  <c r="AF388" i="26"/>
  <c r="AN388" i="26" s="1"/>
  <c r="AF389" i="26"/>
  <c r="AN389" i="26" s="1"/>
  <c r="AF390" i="26"/>
  <c r="AN390" i="26" s="1"/>
  <c r="AF391" i="26"/>
  <c r="AN391" i="26" s="1"/>
  <c r="AF392" i="26"/>
  <c r="AN392" i="26" s="1"/>
  <c r="AF393" i="26"/>
  <c r="AN393" i="26" s="1"/>
  <c r="AF394" i="26"/>
  <c r="AN394" i="26" s="1"/>
  <c r="AF395" i="26"/>
  <c r="AN395" i="26" s="1"/>
  <c r="AF396" i="26"/>
  <c r="AN396" i="26" s="1"/>
  <c r="AF397" i="26"/>
  <c r="AN397" i="26" s="1"/>
  <c r="AF398" i="26"/>
  <c r="AN398" i="26" s="1"/>
  <c r="AF399" i="26"/>
  <c r="AN399" i="26" s="1"/>
  <c r="AF400" i="26"/>
  <c r="AN400" i="26" s="1"/>
  <c r="AF401" i="26"/>
  <c r="AN401" i="26" s="1"/>
  <c r="AF402" i="26"/>
  <c r="AF403" i="26"/>
  <c r="AN403" i="26" s="1"/>
  <c r="AF404" i="26"/>
  <c r="AN404" i="26" s="1"/>
  <c r="AF405" i="26"/>
  <c r="AF406" i="26"/>
  <c r="AF407" i="26"/>
  <c r="AN407" i="26" s="1"/>
  <c r="AF408" i="26"/>
  <c r="AN408" i="26" s="1"/>
  <c r="AF409" i="26"/>
  <c r="AN409" i="26" s="1"/>
  <c r="AF410" i="26"/>
  <c r="AN410" i="26" s="1"/>
  <c r="AF411" i="26"/>
  <c r="AN411" i="26" s="1"/>
  <c r="AF412" i="26"/>
  <c r="AN412" i="26" s="1"/>
  <c r="AF413" i="26"/>
  <c r="AF414" i="26"/>
  <c r="AN414" i="26" s="1"/>
  <c r="AF415" i="26"/>
  <c r="AN415" i="26" s="1"/>
  <c r="AF416" i="26"/>
  <c r="AF417" i="26"/>
  <c r="AF418" i="26"/>
  <c r="AN418" i="26" s="1"/>
  <c r="AF419" i="26"/>
  <c r="AN419" i="26" s="1"/>
  <c r="AF420" i="26"/>
  <c r="AN420" i="26" s="1"/>
  <c r="AF421" i="26"/>
  <c r="AN421" i="26" s="1"/>
  <c r="AF422" i="26"/>
  <c r="AN422" i="26" s="1"/>
  <c r="AF423" i="26"/>
  <c r="AF424" i="26"/>
  <c r="AN424" i="26" s="1"/>
  <c r="AF425" i="26"/>
  <c r="AN425" i="26" s="1"/>
  <c r="AF426" i="26"/>
  <c r="AF427" i="26"/>
  <c r="AF428" i="26"/>
  <c r="AN428" i="26" s="1"/>
  <c r="AF429" i="26"/>
  <c r="AN429" i="26" s="1"/>
  <c r="AF430" i="26"/>
  <c r="AN430" i="26" s="1"/>
  <c r="AF431" i="26"/>
  <c r="AN431" i="26" s="1"/>
  <c r="AF432" i="26"/>
  <c r="AN432" i="26" s="1"/>
  <c r="AF433" i="26"/>
  <c r="AF434" i="26"/>
  <c r="AN434" i="26" s="1"/>
  <c r="AF435" i="26"/>
  <c r="AN435" i="26" s="1"/>
  <c r="AF436" i="26"/>
  <c r="AN436" i="26" s="1"/>
  <c r="AF437" i="26"/>
  <c r="AN437" i="26" s="1"/>
  <c r="AF438" i="26"/>
  <c r="AN438" i="26" s="1"/>
  <c r="AF439" i="26"/>
  <c r="AN439" i="26" s="1"/>
  <c r="AF440" i="26"/>
  <c r="AN440" i="26" s="1"/>
  <c r="AF441" i="26"/>
  <c r="AN441" i="26" s="1"/>
  <c r="AF442" i="26"/>
  <c r="AN442" i="26" s="1"/>
  <c r="AF443" i="26"/>
  <c r="AN443" i="26" s="1"/>
  <c r="AF444" i="26"/>
  <c r="AF445" i="26"/>
  <c r="AN445" i="26" s="1"/>
  <c r="AF446" i="26"/>
  <c r="AN446" i="26" s="1"/>
  <c r="AF447" i="26"/>
  <c r="AN447" i="26" s="1"/>
  <c r="AF448" i="26"/>
  <c r="AN448" i="26" s="1"/>
  <c r="AF449" i="26"/>
  <c r="AF450" i="26"/>
  <c r="AN450" i="26" s="1"/>
  <c r="AF451" i="26"/>
  <c r="AN451" i="26" s="1"/>
  <c r="AF452" i="26"/>
  <c r="AF453" i="26"/>
  <c r="AN453" i="26" s="1"/>
  <c r="AF454" i="26"/>
  <c r="AN454" i="26" s="1"/>
  <c r="AF456" i="26"/>
  <c r="AF457" i="26"/>
  <c r="AN457" i="26" s="1"/>
  <c r="AF458" i="26"/>
  <c r="AN458" i="26" s="1"/>
  <c r="AF459" i="26"/>
  <c r="AN459" i="26" s="1"/>
  <c r="AF460" i="26"/>
  <c r="AN460" i="26" s="1"/>
  <c r="AF461" i="26"/>
  <c r="AF462" i="26"/>
  <c r="AN462" i="26" s="1"/>
  <c r="AF463" i="26"/>
  <c r="AN463" i="26" s="1"/>
  <c r="AF464" i="26"/>
  <c r="AN464" i="26" s="1"/>
  <c r="AF465" i="26"/>
  <c r="AF466" i="26"/>
  <c r="AF468" i="26"/>
  <c r="AF469" i="26"/>
  <c r="AF470" i="26"/>
  <c r="AF471" i="26"/>
  <c r="AF472" i="26"/>
  <c r="AF473" i="26"/>
  <c r="AF474" i="26"/>
  <c r="AF475" i="26"/>
  <c r="AF476" i="26"/>
  <c r="AF477" i="26"/>
  <c r="AF478" i="26"/>
  <c r="AF479" i="26"/>
  <c r="AF480" i="26"/>
  <c r="AF481" i="26"/>
  <c r="AF482" i="26"/>
  <c r="AF483" i="26"/>
  <c r="AF484" i="26"/>
  <c r="AF485" i="26"/>
  <c r="AF486" i="26"/>
  <c r="AF487" i="26"/>
  <c r="AF488" i="26"/>
  <c r="AF489" i="26"/>
  <c r="AN489" i="26" s="1"/>
  <c r="AF490" i="26"/>
  <c r="AN490" i="26" s="1"/>
  <c r="AF491" i="26"/>
  <c r="AN491" i="26" s="1"/>
  <c r="AF492" i="26"/>
  <c r="AN492" i="26" s="1"/>
  <c r="AF493" i="26"/>
  <c r="AN493" i="26" s="1"/>
  <c r="AF494" i="26"/>
  <c r="AN494" i="26" s="1"/>
  <c r="AF495" i="26"/>
  <c r="AN495" i="26" s="1"/>
  <c r="AF496" i="26"/>
  <c r="AN496" i="26" s="1"/>
  <c r="AF497" i="26"/>
  <c r="AN497" i="26" s="1"/>
  <c r="AF498" i="26"/>
  <c r="AN498" i="26" s="1"/>
  <c r="AF499" i="26"/>
  <c r="AF500" i="26"/>
  <c r="AN500" i="26" s="1"/>
  <c r="AF501" i="26"/>
  <c r="AN501" i="26" s="1"/>
  <c r="AF502" i="26"/>
  <c r="AN502" i="26" s="1"/>
  <c r="AF503" i="26"/>
  <c r="AN503" i="26" s="1"/>
  <c r="AF504" i="26"/>
  <c r="AN504" i="26" s="1"/>
  <c r="AF505" i="26"/>
  <c r="AN505" i="26" s="1"/>
  <c r="AF506" i="26"/>
  <c r="AN506" i="26" s="1"/>
  <c r="AF507" i="26"/>
  <c r="AN507" i="26" s="1"/>
  <c r="AF508" i="26"/>
  <c r="AN508" i="26" s="1"/>
  <c r="AF509" i="26"/>
  <c r="AN509" i="26" s="1"/>
  <c r="AF510" i="26"/>
  <c r="AN510" i="26" s="1"/>
  <c r="AF511" i="26"/>
  <c r="AF512" i="26"/>
  <c r="AN512" i="26" s="1"/>
  <c r="AF513" i="26"/>
  <c r="AN513" i="26" s="1"/>
  <c r="AF514" i="26"/>
  <c r="AN514" i="26" s="1"/>
  <c r="AF515" i="26"/>
  <c r="AN515" i="26" s="1"/>
  <c r="AF516" i="26"/>
  <c r="AN516" i="26" s="1"/>
  <c r="AF517" i="26"/>
  <c r="AN517" i="26" s="1"/>
  <c r="AF518" i="26"/>
  <c r="AN518" i="26" s="1"/>
  <c r="AF519" i="26"/>
  <c r="AN519" i="26" s="1"/>
  <c r="AF520" i="26"/>
  <c r="AN520" i="26" s="1"/>
  <c r="AF521" i="26"/>
  <c r="AN521" i="26" s="1"/>
  <c r="AF522" i="26"/>
  <c r="AF523" i="26"/>
  <c r="AF524" i="26"/>
  <c r="AF525" i="26"/>
  <c r="AN525" i="26" s="1"/>
  <c r="AF526" i="26"/>
  <c r="AF527" i="26"/>
  <c r="AF528" i="26"/>
  <c r="AN528" i="26" s="1"/>
  <c r="AF529" i="26"/>
  <c r="AN529" i="26" s="1"/>
  <c r="AF530" i="26"/>
  <c r="AN530" i="26" s="1"/>
  <c r="AF531" i="26"/>
  <c r="AF532" i="26"/>
  <c r="AN532" i="26" s="1"/>
  <c r="AF533" i="26"/>
  <c r="AN533" i="26" s="1"/>
  <c r="AF534" i="26"/>
  <c r="AN534" i="26" s="1"/>
  <c r="AF535" i="26"/>
  <c r="AN535" i="26" s="1"/>
  <c r="AF536" i="26"/>
  <c r="AF537" i="26"/>
  <c r="AF538" i="26"/>
  <c r="AN538" i="26" s="1"/>
  <c r="AF539" i="26"/>
  <c r="AN539" i="26" s="1"/>
  <c r="AF540" i="26"/>
  <c r="AF541" i="26"/>
  <c r="AF542" i="26"/>
  <c r="AF543" i="26"/>
  <c r="AF544" i="26"/>
  <c r="AF545" i="26"/>
  <c r="AF546" i="26"/>
  <c r="AF547" i="26"/>
  <c r="AF548" i="26"/>
  <c r="AF549" i="26"/>
  <c r="AF550" i="26"/>
  <c r="AF551" i="26"/>
  <c r="AF552" i="26"/>
  <c r="AF553" i="26"/>
  <c r="AF554" i="26"/>
  <c r="AF555" i="26"/>
  <c r="AF556" i="26"/>
  <c r="AF557" i="26"/>
  <c r="AF558" i="26"/>
  <c r="AF559" i="26"/>
  <c r="AF560" i="26"/>
  <c r="AF561" i="26"/>
  <c r="AF562" i="26"/>
  <c r="AF563" i="26"/>
  <c r="AN563" i="26" s="1"/>
  <c r="AF564" i="26"/>
  <c r="AN564" i="26" s="1"/>
  <c r="AF565" i="26"/>
  <c r="AN565" i="26" s="1"/>
  <c r="AF566" i="26"/>
  <c r="AN566" i="26" s="1"/>
  <c r="AF567" i="26"/>
  <c r="AN567" i="26" s="1"/>
  <c r="AF568" i="26"/>
  <c r="AN568" i="26" s="1"/>
  <c r="AF569" i="26"/>
  <c r="AN569" i="26" s="1"/>
  <c r="AF570" i="26"/>
  <c r="AN570" i="26" s="1"/>
  <c r="AF571" i="26"/>
  <c r="AF572" i="26"/>
  <c r="AF573" i="26"/>
  <c r="AF574" i="26"/>
  <c r="AN574" i="26" s="1"/>
  <c r="AF575" i="26"/>
  <c r="AN575" i="26" s="1"/>
  <c r="AF576" i="26"/>
  <c r="AN576" i="26" s="1"/>
  <c r="AF577" i="26"/>
  <c r="AN577" i="26" s="1"/>
  <c r="AF578" i="26"/>
  <c r="AN578" i="26" s="1"/>
  <c r="AF579" i="26"/>
  <c r="AN579" i="26" s="1"/>
  <c r="AF580" i="26"/>
  <c r="AF581" i="26"/>
  <c r="AF582" i="26"/>
  <c r="AF583" i="26"/>
  <c r="AF584" i="26"/>
  <c r="AF585" i="26"/>
  <c r="AF586" i="26"/>
  <c r="AN586" i="26" s="1"/>
  <c r="AF587" i="26"/>
  <c r="AN587" i="26" s="1"/>
  <c r="AF588" i="26"/>
  <c r="AN588" i="26" s="1"/>
  <c r="AF589" i="26"/>
  <c r="AN589" i="26" s="1"/>
  <c r="AF590" i="26"/>
  <c r="AN590" i="26" s="1"/>
  <c r="AF591" i="26"/>
  <c r="AF592" i="26"/>
  <c r="AN592" i="26" s="1"/>
  <c r="AF593" i="26"/>
  <c r="AN593" i="26" s="1"/>
  <c r="AF594" i="26"/>
  <c r="AN594" i="26" s="1"/>
  <c r="AF595" i="26"/>
  <c r="AN595" i="26" s="1"/>
  <c r="AF596" i="26"/>
  <c r="AN596" i="26" s="1"/>
  <c r="AF597" i="26"/>
  <c r="AF598" i="26"/>
  <c r="AF599" i="26"/>
  <c r="AN599" i="26" s="1"/>
  <c r="AF600" i="26"/>
  <c r="AN600" i="26" s="1"/>
  <c r="AF601" i="26"/>
  <c r="AN601" i="26" s="1"/>
  <c r="AF602" i="26"/>
  <c r="AN602" i="26" s="1"/>
  <c r="AF603" i="26"/>
  <c r="AN603" i="26" s="1"/>
  <c r="AF604" i="26"/>
  <c r="AN604" i="26" s="1"/>
  <c r="AF605" i="26"/>
  <c r="AN605" i="26" s="1"/>
  <c r="AF606" i="26"/>
  <c r="AN606" i="26" s="1"/>
  <c r="AF607" i="26"/>
  <c r="AN607" i="26" s="1"/>
  <c r="AF608" i="26"/>
  <c r="AN608" i="26" s="1"/>
  <c r="AF609" i="26"/>
  <c r="AN609" i="26" s="1"/>
  <c r="AF610" i="26"/>
  <c r="AN610" i="26" s="1"/>
  <c r="AF611" i="26"/>
  <c r="AN611" i="26" s="1"/>
  <c r="AF612" i="26"/>
  <c r="AN612" i="26" s="1"/>
  <c r="AF613" i="26"/>
  <c r="AN613" i="26" s="1"/>
  <c r="AF614" i="26"/>
  <c r="AN614" i="26" s="1"/>
  <c r="AF615" i="26"/>
  <c r="AN615" i="26" s="1"/>
  <c r="AF616" i="26"/>
  <c r="AN616" i="26" s="1"/>
  <c r="AF617" i="26"/>
  <c r="AN617" i="26" s="1"/>
  <c r="AF618" i="26"/>
  <c r="AN618" i="26" s="1"/>
  <c r="AF619" i="26"/>
  <c r="AN619" i="26" s="1"/>
  <c r="AF620" i="26"/>
  <c r="AF621" i="26"/>
  <c r="AF622" i="26"/>
  <c r="AN622" i="26" s="1"/>
  <c r="AF623" i="26"/>
  <c r="AN623" i="26" s="1"/>
  <c r="AF624" i="26"/>
  <c r="AN624" i="26" s="1"/>
  <c r="AF625" i="26"/>
  <c r="AF626" i="26"/>
  <c r="AN626" i="26" s="1"/>
  <c r="AF627" i="26"/>
  <c r="AN627" i="26" s="1"/>
  <c r="AF628" i="26"/>
  <c r="AN628" i="26" s="1"/>
  <c r="AF629" i="26"/>
  <c r="AN629" i="26" s="1"/>
  <c r="AF630" i="26"/>
  <c r="AN630" i="26" s="1"/>
  <c r="AF631" i="26"/>
  <c r="AN631" i="26" s="1"/>
  <c r="AF632" i="26"/>
  <c r="AN632" i="26" s="1"/>
  <c r="AF633" i="26"/>
  <c r="AN633" i="26" s="1"/>
  <c r="AF634" i="26"/>
  <c r="AN634" i="26" s="1"/>
  <c r="AF635" i="26"/>
  <c r="AN635" i="26" s="1"/>
  <c r="AF636" i="26"/>
  <c r="AN636" i="26" s="1"/>
  <c r="AF637" i="26"/>
  <c r="AN637" i="26" s="1"/>
  <c r="AF638" i="26"/>
  <c r="AN638" i="26" s="1"/>
  <c r="AF639" i="26"/>
  <c r="AN639" i="26" s="1"/>
  <c r="AF640" i="26"/>
  <c r="AN640" i="26" s="1"/>
  <c r="AF641" i="26"/>
  <c r="AN641" i="26" s="1"/>
  <c r="AF642" i="26"/>
  <c r="AN642" i="26" s="1"/>
  <c r="AF643" i="26"/>
  <c r="AN643" i="26" s="1"/>
  <c r="AF644" i="26"/>
  <c r="AN644" i="26" s="1"/>
  <c r="AF645" i="26"/>
  <c r="AF646" i="26"/>
  <c r="AN646" i="26" s="1"/>
  <c r="AF647" i="26"/>
  <c r="AN647" i="26" s="1"/>
  <c r="AF648" i="26"/>
  <c r="AF649" i="26"/>
  <c r="AN649" i="26" s="1"/>
  <c r="AF650" i="26"/>
  <c r="AN650" i="26" s="1"/>
  <c r="AF651" i="26"/>
  <c r="AN651" i="26" s="1"/>
  <c r="AF652" i="26"/>
  <c r="AN652" i="26" s="1"/>
  <c r="AF653" i="26"/>
  <c r="AF654" i="26"/>
  <c r="AN654" i="26" s="1"/>
  <c r="AF655" i="26"/>
  <c r="AN655" i="26" s="1"/>
  <c r="AF656" i="26"/>
  <c r="AN656" i="26" s="1"/>
  <c r="AF657" i="26"/>
  <c r="AN657" i="26" s="1"/>
  <c r="AF658" i="26"/>
  <c r="AN658" i="26" s="1"/>
  <c r="AF659" i="26"/>
  <c r="AN659" i="26" s="1"/>
  <c r="AF660" i="26"/>
  <c r="AN660" i="26" s="1"/>
  <c r="AF661" i="26"/>
  <c r="AN661" i="26" s="1"/>
  <c r="AF662" i="26"/>
  <c r="AN662" i="26" s="1"/>
  <c r="AF663" i="26"/>
  <c r="AN663" i="26" s="1"/>
  <c r="AF664" i="26"/>
  <c r="AF665" i="26"/>
  <c r="AF666" i="26"/>
  <c r="AF667" i="26"/>
  <c r="AF668" i="26"/>
  <c r="AN668" i="26" s="1"/>
  <c r="AF669" i="26"/>
  <c r="AN669" i="26" s="1"/>
  <c r="AF670" i="26"/>
  <c r="AN670" i="26" s="1"/>
  <c r="AF671" i="26"/>
  <c r="AN671" i="26" s="1"/>
  <c r="AF672" i="26"/>
  <c r="AN672" i="26" s="1"/>
  <c r="AF673" i="26"/>
  <c r="AF674" i="26"/>
  <c r="AN674" i="26" s="1"/>
  <c r="AF675" i="26"/>
  <c r="AN675" i="26" s="1"/>
  <c r="AF676" i="26"/>
  <c r="AN676" i="26" s="1"/>
  <c r="AF677" i="26"/>
  <c r="AN677" i="26" s="1"/>
  <c r="AF678" i="26"/>
  <c r="AN678" i="26" s="1"/>
  <c r="AF679" i="26"/>
  <c r="AN679" i="26" s="1"/>
  <c r="AF680" i="26"/>
  <c r="AN680" i="26" s="1"/>
  <c r="AF681" i="26"/>
  <c r="AN681" i="26" s="1"/>
  <c r="AF682" i="26"/>
  <c r="AN682" i="26" s="1"/>
  <c r="AF683" i="26"/>
  <c r="AN683" i="26" s="1"/>
  <c r="AF684" i="26"/>
  <c r="AN684" i="26" s="1"/>
  <c r="AF685" i="26"/>
  <c r="AN685" i="26" s="1"/>
  <c r="AF686" i="26"/>
  <c r="AN686" i="26" s="1"/>
  <c r="AF687" i="26"/>
  <c r="AN687" i="26" s="1"/>
  <c r="AF688" i="26"/>
  <c r="AN688" i="26" s="1"/>
  <c r="AF689" i="26"/>
  <c r="AN689" i="26" s="1"/>
  <c r="AF690" i="26"/>
  <c r="AN690" i="26" s="1"/>
  <c r="AF691" i="26"/>
  <c r="AF692" i="26"/>
  <c r="AF693" i="26"/>
  <c r="AN693" i="26" s="1"/>
  <c r="AF694" i="26"/>
  <c r="AN694" i="26" s="1"/>
  <c r="AF696" i="26"/>
  <c r="AF697" i="26"/>
  <c r="AN697" i="26" s="1"/>
  <c r="AF698" i="26"/>
  <c r="AF699" i="26"/>
  <c r="AN699" i="26" s="1"/>
  <c r="AN698" i="26" l="1"/>
  <c r="W713" i="26"/>
  <c r="AF713" i="26"/>
  <c r="AN7" i="26"/>
  <c r="AN6" i="26"/>
  <c r="AN8" i="26"/>
  <c r="K62" i="16" l="1"/>
  <c r="B75" i="16" s="1"/>
  <c r="K61" i="16"/>
  <c r="B74" i="16" s="1"/>
  <c r="K60" i="16"/>
  <c r="B73" i="16" s="1"/>
  <c r="K59" i="16"/>
  <c r="B72" i="16" s="1"/>
  <c r="K58" i="16"/>
  <c r="B70" i="16"/>
  <c r="K50" i="16"/>
  <c r="B68" i="16"/>
  <c r="C45" i="10"/>
  <c r="F32" i="10"/>
  <c r="C53" i="10" s="1"/>
  <c r="F19" i="10"/>
  <c r="F18" i="10"/>
  <c r="C49" i="10" s="1"/>
  <c r="F17" i="10"/>
  <c r="C48" i="10" s="1"/>
  <c r="F16" i="10"/>
  <c r="C47" i="10" s="1"/>
  <c r="F13" i="10"/>
  <c r="C46" i="10" s="1"/>
  <c r="F12" i="10"/>
  <c r="F11" i="10"/>
  <c r="C44" i="10" s="1"/>
  <c r="F8" i="10"/>
  <c r="C43" i="10" s="1"/>
  <c r="F7" i="10"/>
  <c r="C42" i="10" s="1"/>
  <c r="F6" i="10"/>
  <c r="F5" i="10"/>
  <c r="C40" i="10" s="1"/>
  <c r="F55" i="9"/>
  <c r="B75" i="9" s="1"/>
  <c r="F54" i="9"/>
  <c r="B74" i="9" s="1"/>
  <c r="F38" i="9"/>
  <c r="B73" i="9" s="1"/>
  <c r="F37" i="9"/>
  <c r="B72" i="9" s="1"/>
  <c r="F9" i="9"/>
  <c r="B70" i="9" s="1"/>
  <c r="F8" i="9"/>
  <c r="B69" i="9" s="1"/>
  <c r="F7" i="9"/>
  <c r="F5" i="9"/>
  <c r="F33" i="10" l="1"/>
  <c r="C41" i="10"/>
  <c r="C54" i="10" s="1"/>
  <c r="AM625" i="26" l="1"/>
  <c r="AN625" i="26" s="1"/>
  <c r="AM433" i="26"/>
  <c r="AN433" i="26" s="1"/>
  <c r="AM258" i="26"/>
  <c r="AN258" i="26" s="1"/>
  <c r="AM583" i="26"/>
  <c r="AN583" i="26" s="1"/>
  <c r="AM582" i="26"/>
  <c r="AN582" i="26" s="1"/>
  <c r="AM585" i="26"/>
  <c r="AN585" i="26" s="1"/>
  <c r="AM377" i="26"/>
  <c r="AN377" i="26" s="1"/>
  <c r="AM444" i="26"/>
  <c r="AN444" i="26" s="1"/>
  <c r="AM103" i="26"/>
  <c r="AN103" i="26" s="1"/>
  <c r="AM29" i="26"/>
  <c r="AN29" i="26" s="1"/>
  <c r="AM456" i="26"/>
  <c r="AN456" i="26" s="1"/>
  <c r="AM597" i="26"/>
  <c r="AN597" i="26" s="1"/>
  <c r="AM137" i="26"/>
  <c r="AN137" i="26" s="1"/>
  <c r="AM153" i="26"/>
  <c r="AN153" i="26" s="1"/>
  <c r="AN118" i="26"/>
  <c r="AM571" i="26" l="1"/>
  <c r="AN571" i="26" s="1"/>
  <c r="AM142" i="26"/>
  <c r="AN142" i="26" s="1"/>
  <c r="AM208" i="26" l="1"/>
  <c r="AN208" i="26" s="1"/>
  <c r="AM225" i="26"/>
  <c r="AN225" i="26" s="1"/>
  <c r="AM580" i="26"/>
  <c r="AN580" i="26" s="1"/>
  <c r="AM93" i="26" l="1"/>
  <c r="AN93" i="26" s="1"/>
  <c r="AM24" i="26"/>
  <c r="AN24" i="26" s="1"/>
  <c r="AM351" i="26"/>
  <c r="AN351" i="26" s="1"/>
  <c r="AM308" i="26" l="1"/>
  <c r="AN308" i="26" s="1"/>
  <c r="AM598" i="26" l="1"/>
  <c r="AN598" i="26" s="1"/>
  <c r="AM562" i="26"/>
  <c r="AN562" i="26" s="1"/>
  <c r="AM527" i="26"/>
  <c r="AN527" i="26" s="1"/>
  <c r="AM352" i="26"/>
  <c r="AN352" i="26" s="1"/>
  <c r="AM417" i="26"/>
  <c r="AN417" i="26" s="1"/>
  <c r="AM92" i="26"/>
  <c r="AN92" i="26" s="1"/>
  <c r="AM320" i="26"/>
  <c r="AN320" i="26" s="1"/>
  <c r="AM427" i="26"/>
  <c r="AN427" i="26" s="1"/>
  <c r="AM573" i="26"/>
  <c r="AN573" i="26" s="1"/>
  <c r="AM126" i="26"/>
  <c r="AN126" i="26" s="1"/>
  <c r="AM107" i="26"/>
  <c r="AN107" i="26" s="1"/>
  <c r="AM25" i="26"/>
  <c r="AN25" i="26" s="1"/>
  <c r="AM209" i="26"/>
  <c r="AN209" i="26" s="1"/>
  <c r="AM144" i="26"/>
  <c r="AN144" i="26" s="1"/>
  <c r="AM138" i="26"/>
  <c r="AN138" i="26" s="1"/>
  <c r="AM21" i="26"/>
  <c r="AN21" i="26" s="1"/>
  <c r="AM22" i="26"/>
  <c r="AN22" i="26" l="1"/>
  <c r="AM226" i="26"/>
  <c r="AN226" i="26" s="1"/>
  <c r="AM524" i="26"/>
  <c r="AN524" i="26" s="1"/>
  <c r="AM368" i="26"/>
  <c r="AN368" i="26" s="1"/>
  <c r="AM347" i="26"/>
  <c r="AN347" i="26" s="1"/>
  <c r="AM346" i="26"/>
  <c r="AN346" i="26" s="1"/>
  <c r="AM154" i="26"/>
  <c r="AN154" i="26" s="1"/>
  <c r="AM125" i="26"/>
  <c r="AN125" i="26" s="1"/>
  <c r="AM537" i="26"/>
  <c r="AN537" i="26" s="1"/>
  <c r="B24" i="6"/>
  <c r="AM406" i="26" l="1"/>
  <c r="AN406" i="26" s="1"/>
  <c r="AM241" i="26"/>
  <c r="AN241" i="26" s="1"/>
  <c r="AM522" i="26"/>
  <c r="AN522" i="26" s="1"/>
  <c r="B33" i="6" l="1"/>
  <c r="B34" i="6"/>
  <c r="B35" i="6"/>
  <c r="B36" i="6"/>
  <c r="B41" i="6"/>
  <c r="AM591" i="26"/>
  <c r="AN591" i="26" s="1"/>
  <c r="AM405" i="26"/>
  <c r="AN405" i="26" s="1"/>
  <c r="AM237" i="26"/>
  <c r="AN237" i="26" s="1"/>
  <c r="AM556" i="26"/>
  <c r="AN556" i="26" s="1"/>
  <c r="AM557" i="26"/>
  <c r="AN557" i="26" s="1"/>
  <c r="AM558" i="26"/>
  <c r="AN558" i="26" s="1"/>
  <c r="AM559" i="26"/>
  <c r="AN559" i="26" s="1"/>
  <c r="AM560" i="26"/>
  <c r="AN560" i="26" s="1"/>
  <c r="AM561" i="26"/>
  <c r="AN561" i="26" s="1"/>
  <c r="AM526" i="26"/>
  <c r="AN526" i="26" s="1"/>
  <c r="AM350" i="26"/>
  <c r="AN350" i="26" s="1"/>
  <c r="AM416" i="26"/>
  <c r="AN416" i="26" s="1"/>
  <c r="AM316" i="26"/>
  <c r="AN316" i="26" s="1"/>
  <c r="AM426" i="26"/>
  <c r="AN426" i="26" s="1"/>
  <c r="AM572" i="26"/>
  <c r="AN572" i="26" s="1"/>
  <c r="AM123" i="26"/>
  <c r="AN123" i="26" s="1"/>
  <c r="AM104" i="26"/>
  <c r="AN104" i="26" s="1"/>
  <c r="AM205" i="26" l="1"/>
  <c r="AN205" i="26" s="1"/>
  <c r="AM653" i="26"/>
  <c r="AN653" i="26" s="1"/>
  <c r="AM141" i="26"/>
  <c r="AN141" i="26" s="1"/>
  <c r="AM135" i="26"/>
  <c r="AN135" i="26" s="1"/>
  <c r="AM223" i="26"/>
  <c r="AN223" i="26" s="1"/>
  <c r="AM523" i="26"/>
  <c r="AN523" i="26" s="1"/>
  <c r="AM691" i="26"/>
  <c r="AN691" i="26" s="1"/>
  <c r="AM692" i="26"/>
  <c r="AN692" i="26" s="1"/>
  <c r="AM366" i="26"/>
  <c r="AN366" i="26" s="1"/>
  <c r="AM345" i="26"/>
  <c r="AN345" i="26" s="1"/>
  <c r="AM364" i="26"/>
  <c r="AN364" i="26" s="1"/>
  <c r="AM151" i="26"/>
  <c r="AN151" i="26" s="1"/>
  <c r="AM122" i="26"/>
  <c r="AN122" i="26" s="1"/>
  <c r="AM536" i="26"/>
  <c r="AN536" i="26" s="1"/>
  <c r="AM554" i="26"/>
  <c r="AN554" i="26" s="1"/>
  <c r="AM540" i="26"/>
  <c r="AN540" i="26" s="1"/>
  <c r="AM541" i="26"/>
  <c r="AN541" i="26" s="1"/>
  <c r="AM542" i="26"/>
  <c r="AN542" i="26" s="1"/>
  <c r="AM552" i="26"/>
  <c r="AN552" i="26" s="1"/>
  <c r="AM543" i="26"/>
  <c r="AN543" i="26" s="1"/>
  <c r="AM555" i="26"/>
  <c r="AN555" i="26" s="1"/>
  <c r="AM544" i="26"/>
  <c r="AN544" i="26" s="1"/>
  <c r="AM553" i="26"/>
  <c r="AN553" i="26" s="1"/>
  <c r="AM545" i="26"/>
  <c r="AN545" i="26" s="1"/>
  <c r="AM265" i="26"/>
  <c r="AN265" i="26" s="1"/>
  <c r="AM546" i="26"/>
  <c r="AN546" i="26" s="1"/>
  <c r="AM549" i="26"/>
  <c r="AN549" i="26" s="1"/>
  <c r="AM547" i="26"/>
  <c r="AN547" i="26" s="1"/>
  <c r="AM548" i="26"/>
  <c r="AN548" i="26" s="1"/>
  <c r="AM550" i="26"/>
  <c r="AN550" i="26" s="1"/>
  <c r="AM551" i="26"/>
  <c r="AN551" i="26" s="1"/>
  <c r="AM37" i="26"/>
  <c r="AN37" i="26" s="1"/>
  <c r="AM304" i="26"/>
  <c r="AN304" i="26" s="1"/>
  <c r="AM584" i="26"/>
  <c r="AN584" i="26" s="1"/>
  <c r="B6" i="6" l="1"/>
  <c r="B7" i="6"/>
  <c r="B8" i="6"/>
  <c r="B16" i="6"/>
  <c r="B20" i="6"/>
  <c r="B22" i="6"/>
  <c r="B23" i="6"/>
  <c r="B25" i="6"/>
  <c r="B26" i="6"/>
  <c r="B27" i="6"/>
  <c r="B28" i="6"/>
  <c r="F71" i="6"/>
  <c r="B29" i="6"/>
  <c r="B30" i="6"/>
  <c r="B31" i="6"/>
  <c r="B38" i="6"/>
  <c r="B39" i="6"/>
  <c r="B40" i="6"/>
  <c r="B43" i="6"/>
  <c r="D71" i="6"/>
  <c r="B42" i="6"/>
  <c r="B50" i="6"/>
  <c r="B63" i="6"/>
  <c r="B64" i="6"/>
  <c r="B65" i="6"/>
  <c r="B66" i="6"/>
  <c r="E71" i="6"/>
  <c r="B67" i="6"/>
  <c r="B71" i="6" l="1"/>
  <c r="AM531" i="26"/>
  <c r="AN531" i="26" s="1"/>
  <c r="AM402" i="26"/>
  <c r="AN402" i="26" s="1"/>
  <c r="AM233" i="26"/>
  <c r="AN233" i="26" s="1"/>
  <c r="AM483" i="26"/>
  <c r="AN483" i="26" s="1"/>
  <c r="AM484" i="26"/>
  <c r="AN484" i="26" s="1"/>
  <c r="AM485" i="26"/>
  <c r="AN485" i="26" s="1"/>
  <c r="AM486" i="26"/>
  <c r="AN486" i="26" s="1"/>
  <c r="AM487" i="26"/>
  <c r="AN487" i="26" s="1"/>
  <c r="AM488" i="26"/>
  <c r="AN488" i="26" s="1"/>
  <c r="AM452" i="26"/>
  <c r="AN452" i="26" s="1"/>
  <c r="AM344" i="26"/>
  <c r="AN344" i="26" s="1"/>
  <c r="AM413" i="26"/>
  <c r="AN413" i="26" s="1"/>
  <c r="AM312" i="26"/>
  <c r="AN312" i="26" s="1"/>
  <c r="AM423" i="26"/>
  <c r="AN423" i="26" s="1"/>
  <c r="AM499" i="26"/>
  <c r="AN499" i="26" s="1"/>
  <c r="AM648" i="26"/>
  <c r="AN648" i="26" s="1"/>
  <c r="AM120" i="26"/>
  <c r="AN120" i="26" s="1"/>
  <c r="AM100" i="26"/>
  <c r="AN100" i="26" s="1"/>
  <c r="AM23" i="26"/>
  <c r="AN23" i="26" s="1"/>
  <c r="AJ713" i="26"/>
  <c r="AM201" i="26"/>
  <c r="AN201" i="26" s="1"/>
  <c r="AM581" i="26"/>
  <c r="AN581" i="26" s="1"/>
  <c r="AM136" i="26"/>
  <c r="AN136" i="26" s="1"/>
  <c r="AM645" i="26"/>
  <c r="AN645" i="26" s="1"/>
  <c r="AM131" i="26"/>
  <c r="AN131" i="26" s="1"/>
  <c r="AM19" i="26"/>
  <c r="AN19" i="26" s="1"/>
  <c r="AM20" i="26"/>
  <c r="AN20" i="26" s="1"/>
  <c r="AM219" i="26"/>
  <c r="AN219" i="26" s="1"/>
  <c r="AM449" i="26"/>
  <c r="AN449" i="26" s="1"/>
  <c r="AM620" i="26"/>
  <c r="AN620" i="26" s="1"/>
  <c r="AM621" i="26"/>
  <c r="AN621" i="26" s="1"/>
  <c r="AM360" i="26"/>
  <c r="AN360" i="26" s="1"/>
  <c r="AM339" i="26"/>
  <c r="AN339" i="26" s="1"/>
  <c r="AM338" i="26"/>
  <c r="AN338" i="26" s="1"/>
  <c r="AM358" i="26"/>
  <c r="AN358" i="26" s="1"/>
  <c r="AM146" i="26"/>
  <c r="AN146" i="26" s="1"/>
  <c r="AM119" i="26"/>
  <c r="AN119" i="26" s="1"/>
  <c r="AM696" i="26"/>
  <c r="AN696" i="26" s="1"/>
  <c r="AM461" i="26"/>
  <c r="AN461" i="26" s="1"/>
  <c r="AM481" i="26"/>
  <c r="AN481" i="26" s="1"/>
  <c r="AM465" i="26"/>
  <c r="AN465" i="26" s="1"/>
  <c r="AM466" i="26"/>
  <c r="AN466" i="26" s="1"/>
  <c r="AM467" i="26"/>
  <c r="AN467" i="26" s="1"/>
  <c r="AM478" i="26"/>
  <c r="AN478" i="26" s="1"/>
  <c r="AM468" i="26"/>
  <c r="AN468" i="26" s="1"/>
  <c r="AM482" i="26"/>
  <c r="AN482" i="26" s="1"/>
  <c r="AM469" i="26"/>
  <c r="AN469" i="26" s="1"/>
  <c r="AM479" i="26"/>
  <c r="AN479" i="26" s="1"/>
  <c r="AM470" i="26"/>
  <c r="AN470" i="26" s="1"/>
  <c r="AM471" i="26"/>
  <c r="AN471" i="26" s="1"/>
  <c r="AM472" i="26"/>
  <c r="AN472" i="26" s="1"/>
  <c r="AM475" i="26"/>
  <c r="AN475" i="26" s="1"/>
  <c r="AM473" i="26"/>
  <c r="AN473" i="26" s="1"/>
  <c r="AM474" i="26"/>
  <c r="AN474" i="26" s="1"/>
  <c r="AM476" i="26"/>
  <c r="AN476" i="26" s="1"/>
  <c r="AM477" i="26"/>
  <c r="AN477" i="26" s="1"/>
  <c r="AM480" i="26"/>
  <c r="AN480" i="26" s="1"/>
  <c r="AM664" i="26"/>
  <c r="AN664" i="26" s="1"/>
  <c r="AM665" i="26"/>
  <c r="AN665" i="26" s="1"/>
  <c r="AM666" i="26"/>
  <c r="AN666" i="26" s="1"/>
  <c r="AM667" i="26"/>
  <c r="AN667" i="26" s="1"/>
  <c r="AM673" i="26"/>
  <c r="AN673" i="26" s="1"/>
  <c r="AM299" i="26"/>
  <c r="AN299" i="26" s="1"/>
  <c r="AG713" i="26"/>
  <c r="AM511" i="26"/>
  <c r="AN511" i="26" s="1"/>
  <c r="AM713" i="26" l="1"/>
  <c r="AN713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Anna Loren Superales</author>
  </authors>
  <commentList>
    <comment ref="G121" authorId="0" shapeId="0" xr:uid="{0DAED2FA-3913-4E8D-8FBC-800CD62FC492}">
      <text>
        <r>
          <rPr>
            <b/>
            <sz val="9"/>
            <color indexed="81"/>
            <rFont val="Tahoma"/>
            <family val="2"/>
          </rPr>
          <t>Anna Loren Superales: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.with addnl amounting 15,270 due to wrong settlement(cancelled trxn jud ni sia dtd 07.30.25 nga dili ra undta e-deduct, pero na-less ni mae ann sa settlement maong add back dtd 07.31.25</t>
        </r>
      </text>
    </comment>
    <comment ref="S208" authorId="0" shapeId="0" xr:uid="{1373ECBD-11CF-4BE3-815B-6BC78B03E8A7}">
      <text>
        <r>
          <rPr>
            <b/>
            <sz val="9"/>
            <color indexed="81"/>
            <rFont val="Tahoma"/>
            <family val="2"/>
          </rPr>
          <t>Anna Loren Superales: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
.added na ang unbilled ani dtd 07.30.25 amounting 8,286 &amp; deducted na sad ang cancellation ani dtd 07.30.25 amounitng 20,000</t>
        </r>
      </text>
    </comment>
    <comment ref="G220" authorId="0" shapeId="0" xr:uid="{36938FE1-508F-47D8-8979-034BC970ABFB}">
      <text>
        <r>
          <rPr>
            <b/>
            <sz val="9"/>
            <color indexed="81"/>
            <rFont val="Tahoma"/>
            <family val="2"/>
          </rPr>
          <t>Anna Loren Superales:</t>
        </r>
        <r>
          <rPr>
            <sz val="9"/>
            <color indexed="81"/>
            <rFont val="Tahoma"/>
            <family val="2"/>
          </rPr>
          <t xml:space="preserve">
unbilled sa kay naay cancellation (amount sa unbilled 3,762)
;for settlement pa ni on AUGUST</t>
        </r>
      </text>
    </comment>
    <comment ref="K220" authorId="0" shapeId="0" xr:uid="{E868129A-46AF-4CE2-9CFB-B776477CDB2F}">
      <text>
        <r>
          <rPr>
            <b/>
            <sz val="9"/>
            <color indexed="81"/>
            <rFont val="Tahoma"/>
            <family val="2"/>
          </rPr>
          <t>Anna Loren Superales: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.cancellation not yet deducted due to deficit amount (for adj. pa ni on august settlement)</t>
        </r>
      </text>
    </comment>
    <comment ref="K261" authorId="0" shapeId="0" xr:uid="{52452D79-706F-41CD-8AE9-432CCC1C445B}">
      <text>
        <r>
          <rPr>
            <b/>
            <sz val="9"/>
            <color indexed="81"/>
            <rFont val="Tahoma"/>
            <family val="2"/>
          </rPr>
          <t>Anna Loren Superales: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.ADJ. (CANCELLATION) DUE TO CANCELLATION WAS NOT DEDUCTED DTD 08.26.23 DURING SETTLEMENT</t>
        </r>
      </text>
    </comment>
    <comment ref="G363" authorId="0" shapeId="0" xr:uid="{84529095-81E4-4D39-94EA-72834F606D44}">
      <text>
        <r>
          <rPr>
            <b/>
            <sz val="9"/>
            <color indexed="81"/>
            <rFont val="Tahoma"/>
            <family val="2"/>
          </rPr>
          <t>Anna Loren Superales: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.WITH ADDNL POSTED IN FEEDBACK FILE DTD 07.31.25 2 TRXNS AMOUNITNG 1,133</t>
        </r>
      </text>
    </comment>
    <comment ref="K424" authorId="0" shapeId="0" xr:uid="{F33E900D-3C17-4BD8-A916-AC0531626459}">
      <text>
        <r>
          <rPr>
            <b/>
            <sz val="9"/>
            <color indexed="81"/>
            <rFont val="Tahoma"/>
            <family val="2"/>
          </rPr>
          <t>Anna Loren Superales:</t>
        </r>
        <r>
          <rPr>
            <sz val="9"/>
            <color indexed="81"/>
            <rFont val="Tahoma"/>
            <family val="2"/>
          </rPr>
          <t xml:space="preserve">
.</t>
        </r>
        <r>
          <rPr>
            <sz val="12"/>
            <color indexed="81"/>
            <rFont val="Tahoma"/>
            <family val="2"/>
          </rPr>
          <t>ADJUSTMENT MADE DUE TO  NO PAYMENT RECEIVED AS PER AME ANN'S REMARK ON HER SETTLEMENT ATTACHMENT DTD 04.16,29-30.25</t>
        </r>
      </text>
    </comment>
    <comment ref="G521" authorId="0" shapeId="0" xr:uid="{59FB1F3B-A994-414D-9490-B72CD68DF73D}">
      <text>
        <r>
          <rPr>
            <b/>
            <sz val="9"/>
            <color indexed="81"/>
            <rFont val="Tahoma"/>
            <family val="2"/>
          </rPr>
          <t>Anna Loren Superales: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.WALA PA NI GI-SETTLE KAY GIPA-VERIFY PA NI TE SICA SA PARTNER AMOUNTING 20,000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Anna Loren Superales</author>
  </authors>
  <commentList>
    <comment ref="W37" authorId="0" shapeId="0" xr:uid="{D6CF0373-946D-4B3F-8E07-3980176E64D5}">
      <text>
        <r>
          <rPr>
            <b/>
            <sz val="9"/>
            <color indexed="81"/>
            <rFont val="Tahoma"/>
            <family val="2"/>
          </rPr>
          <t>Anna Loren Superales:</t>
        </r>
        <r>
          <rPr>
            <sz val="9"/>
            <color indexed="81"/>
            <rFont val="Tahoma"/>
            <family val="2"/>
          </rPr>
          <t xml:space="preserve">
settlement for the trxns dtd 06.27.25</t>
        </r>
      </text>
    </comment>
    <comment ref="W263" authorId="0" shapeId="0" xr:uid="{5B643E38-191B-4F5E-9835-F4CEFB0C9FAD}">
      <text>
        <r>
          <rPr>
            <b/>
            <sz val="9"/>
            <color indexed="81"/>
            <rFont val="Tahoma"/>
            <family val="2"/>
          </rPr>
          <t>Anna Loren Superales:</t>
        </r>
        <r>
          <rPr>
            <sz val="9"/>
            <color indexed="81"/>
            <rFont val="Tahoma"/>
            <family val="2"/>
          </rPr>
          <t xml:space="preserve">
SETTLEMENT FOR UNBILLED DTD 06.27-29.25 AND ADJ. FOR THE CANCELLATION AMOUNTING 1,790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5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For transaction BPX00111136906601-- SKYF21003243119 we cannot cancel or adjust due to its already posted on our end. However, there is another record for this contract number SKYF21003243119 but different ML BPP ref no: BPX00111186080201 we can approved it if you send another request.</t>
        </r>
      </text>
    </comment>
  </commentList>
</comments>
</file>

<file path=xl/sharedStrings.xml><?xml version="1.0" encoding="utf-8"?>
<sst xmlns="http://schemas.openxmlformats.org/spreadsheetml/2006/main" count="12752" uniqueCount="3436">
  <si>
    <t>MLHUILLIER PHILIPPINES</t>
  </si>
  <si>
    <t>BILLS PAYMENT REPORT</t>
  </si>
  <si>
    <t xml:space="preserve">MLKP7 </t>
  </si>
  <si>
    <t>Cancelled (web)</t>
  </si>
  <si>
    <t>Net Total Trxns</t>
  </si>
  <si>
    <t>Billed Amount</t>
  </si>
  <si>
    <t>Current Variance</t>
  </si>
  <si>
    <t>No.</t>
  </si>
  <si>
    <t>Partner's Name</t>
  </si>
  <si>
    <t>Banks</t>
  </si>
  <si>
    <t>Vol</t>
  </si>
  <si>
    <t>Principal</t>
  </si>
  <si>
    <t>Charge</t>
  </si>
  <si>
    <t>Amount</t>
  </si>
  <si>
    <t>123 LENDING CORPORATION</t>
  </si>
  <si>
    <t>BDO</t>
  </si>
  <si>
    <t>Customer</t>
  </si>
  <si>
    <t>A-1 MILLING CORPORATION</t>
  </si>
  <si>
    <t>METROBANK</t>
  </si>
  <si>
    <t>A2M GLOBAL DISTRIBUTION INC.</t>
  </si>
  <si>
    <t>Partner</t>
  </si>
  <si>
    <t>ABEJO WATERS CORP - CEBU</t>
  </si>
  <si>
    <t>BPI ONLINE</t>
  </si>
  <si>
    <t>ABEJO WATERS CORP - TALISAY</t>
  </si>
  <si>
    <t>CHINABANK</t>
  </si>
  <si>
    <t>BPI</t>
  </si>
  <si>
    <t>No Billers</t>
  </si>
  <si>
    <t>BPI CHECK</t>
  </si>
  <si>
    <t>AEON CREDIT SERVICE PHIL INC. API</t>
  </si>
  <si>
    <t>AF PAYMENTS (BEEP LOADING)</t>
  </si>
  <si>
    <t>AIA PHILIPPINES</t>
  </si>
  <si>
    <t>AIR ASIA/ZEST AIR</t>
  </si>
  <si>
    <t>AIR YOU GO TRAVEL PHILS CO.</t>
  </si>
  <si>
    <t>AKLAN CABLE NETWORK, INC. - LEMERY</t>
  </si>
  <si>
    <t>ALFA- ALL FOOD ASIA, INC.</t>
  </si>
  <si>
    <t>AMBROSIA PHILS INC</t>
  </si>
  <si>
    <t>ANECO</t>
  </si>
  <si>
    <t>ANECO COLLECTIONS</t>
  </si>
  <si>
    <t>ANGELES CITY WATER DISTRICT</t>
  </si>
  <si>
    <t>LANBANK</t>
  </si>
  <si>
    <t xml:space="preserve">Free Charge </t>
  </si>
  <si>
    <t>BDO ONLINE</t>
  </si>
  <si>
    <t>AQUA CENTRO MWPV CORP.</t>
  </si>
  <si>
    <t>CusPart</t>
  </si>
  <si>
    <t>ASIALINK FINANCE CORPORATION</t>
  </si>
  <si>
    <t>Partner M.</t>
  </si>
  <si>
    <t>ASIAN COLLEGE OF SCIENCE AND TECHNOLOGY FDN. INC.</t>
  </si>
  <si>
    <t>ASIAN COLLEGE OF TECHNOLOGY (ACT)</t>
  </si>
  <si>
    <t>ASIAN INTERNATIONAL SCHOOL OF AERONAUTICS AND TECHNOLOGY (AISAT) CORP.</t>
  </si>
  <si>
    <t>ASTROKIDD TRAVEL AND TOURS</t>
  </si>
  <si>
    <t>ATENEO DE DAVAO UNIVERSITY</t>
  </si>
  <si>
    <t>PNB</t>
  </si>
  <si>
    <t>ATENEO DE ZAMBOANGA UNIVERSITY</t>
  </si>
  <si>
    <t>ATLAS CEBU CORN MILL CORP</t>
  </si>
  <si>
    <t>BAKERS BEST MARKETING CORPORATION</t>
  </si>
  <si>
    <t>BALAMBAN ENERZONE</t>
  </si>
  <si>
    <t>BALAMBAN WATER DISTRICT</t>
  </si>
  <si>
    <t>BASIC WATER ENTERPRISES INC.</t>
  </si>
  <si>
    <t>BATANGAS CATV, INC. - BATANGAS</t>
  </si>
  <si>
    <t>BATANGAS CATV, INC. - BAUAN</t>
  </si>
  <si>
    <t>BAYAD CENTER - NBI</t>
  </si>
  <si>
    <t>BAYAN TELECOMMUNICATIONS INC</t>
  </si>
  <si>
    <t>BBBROTHERS DV GEN. MDSE INC</t>
  </si>
  <si>
    <t>BBBROTHERS LAGUNA INC 001</t>
  </si>
  <si>
    <t>BBBROTHERS LAGUNA INC 002</t>
  </si>
  <si>
    <t>BBBROTHERS MASBATE GEN. MDSE INC</t>
  </si>
  <si>
    <t>BBBROTHERS MINDANAO INC 001</t>
  </si>
  <si>
    <t>BBBROTHERS MINDANAO INC 002</t>
  </si>
  <si>
    <t>BBBROTHERS PHIL-BDO</t>
  </si>
  <si>
    <t>BBBROTHERS PHIL-BPI</t>
  </si>
  <si>
    <t>BBBROTHERS PHIL-DV/PNB</t>
  </si>
  <si>
    <t>BBBROTHERS PHILIPPINES INC 001</t>
  </si>
  <si>
    <t>BBBROTHERS PHILLIPINES INC 002</t>
  </si>
  <si>
    <t>BBBROTHERS PHIL-MBTC</t>
  </si>
  <si>
    <t>BBBROTHERS PHIL-PNB</t>
  </si>
  <si>
    <t>BBBROTHERS VISAYAS INC 001</t>
  </si>
  <si>
    <t>BBBROTHERS VISAYAS INC 002</t>
  </si>
  <si>
    <t>BDMPC-JAGNA</t>
  </si>
  <si>
    <t>metrobank</t>
  </si>
  <si>
    <t>BDMPC-MAIN OFFICE</t>
  </si>
  <si>
    <t>BDMPC-PANGLAO</t>
  </si>
  <si>
    <t>BDMPC-TUBIGON</t>
  </si>
  <si>
    <t>BDMPC-UBAY</t>
  </si>
  <si>
    <t>BENEDICTO COLLEGE INC</t>
  </si>
  <si>
    <t>BICOL JL AGRI CORP</t>
  </si>
  <si>
    <t>BILIRAN TELE TV NETWORK CORP</t>
  </si>
  <si>
    <t xml:space="preserve">AUB </t>
  </si>
  <si>
    <t>partner daily</t>
  </si>
  <si>
    <t>BNSC/BOHOL NORTHERN STAR COLLEGE</t>
  </si>
  <si>
    <t>BOARDWALK BUSINESS VENTURES</t>
  </si>
  <si>
    <t>SECURITY</t>
  </si>
  <si>
    <t>BOHECO 1</t>
  </si>
  <si>
    <t>SECURITY BANK</t>
  </si>
  <si>
    <t>BOHECO 2</t>
  </si>
  <si>
    <t>BOHOL LIGHTS INC</t>
  </si>
  <si>
    <t>BOHOL NORTHERNEASTERN EDUCATION FOUNDATION INC.</t>
  </si>
  <si>
    <t>BOHOL WATER UTILITIES INC.</t>
  </si>
  <si>
    <t>BONJOUR TRAVEL AND TOURS</t>
  </si>
  <si>
    <t>bpi online</t>
  </si>
  <si>
    <t>BOSTON FINANCE INVESTMENT CORP.</t>
  </si>
  <si>
    <t>BOTICARD</t>
  </si>
  <si>
    <t>PBCOM</t>
  </si>
  <si>
    <t>BP WATERWORKS</t>
  </si>
  <si>
    <t>BREAD AND MORE INC.</t>
  </si>
  <si>
    <t>BREAD AREA INC.</t>
  </si>
  <si>
    <t>BREAD BY PATTY CORPORATION</t>
  </si>
  <si>
    <t>BREADPOINT</t>
  </si>
  <si>
    <t>BROADBAND EVERYWHERE</t>
  </si>
  <si>
    <t>UCPB</t>
  </si>
  <si>
    <t>BUENAVISTA CATV INC</t>
  </si>
  <si>
    <t>BULACAN MWPV DEVELOPMENT CORP</t>
  </si>
  <si>
    <t>BULAKAN WATER COMPANY INC.</t>
  </si>
  <si>
    <t>UNION BANK OF THE PHILIPPINES</t>
  </si>
  <si>
    <t>CALASIAO WATER COMPANY INC.</t>
  </si>
  <si>
    <t>CALBAYOG WATER COMPANY INC.</t>
  </si>
  <si>
    <t>CAPITOL UNIVERSITY INC.</t>
  </si>
  <si>
    <t>CARCAR WATER DISTRICT</t>
  </si>
  <si>
    <t>CARD MRI</t>
  </si>
  <si>
    <t>CARD PIONEER MICROINSURANCE INC.</t>
  </si>
  <si>
    <t>CARITAS FINANCIAL PLANS INC.</t>
  </si>
  <si>
    <t>CARMONA WATER DISTRICT</t>
  </si>
  <si>
    <t>CASURECO 3</t>
  </si>
  <si>
    <t>CASURECO 4</t>
  </si>
  <si>
    <t>CATTLEYA GARDENS AND MEMORIAL PARK</t>
  </si>
  <si>
    <t>CEBU CABLE TV MANAGEMENT CORP (CEBU/CARCAR/ARGAO/SIBONGA/MINGLA)</t>
  </si>
  <si>
    <t>CEBU CABLE TV NORTH MANAGEMENT (BOGO/DAANBANTAYAN)</t>
  </si>
  <si>
    <t>CEBU CFI COOP PAYMENTS FOR HEALTH INSURANCE, LOANS, AND SAVINGS/TIME DEPOSITS</t>
  </si>
  <si>
    <t>CEBU DOCTORS UNIVERSITY</t>
  </si>
  <si>
    <t>CEBU GEMS INNOVATION AND CAREER DEVELOPMENT CENTER, INC.</t>
  </si>
  <si>
    <t>CEBU INSTITUTE OF TECHNOLOGY</t>
  </si>
  <si>
    <t>CEBU LANDMASTERS INC.</t>
  </si>
  <si>
    <t>CEBU OVEN MAGIC CORP.</t>
  </si>
  <si>
    <t>CEBU PEOPLE'S MULTI-PURPOSE COOPERATIVE</t>
  </si>
  <si>
    <t>CELESTIAL MEADOWS - CMDC1</t>
  </si>
  <si>
    <t>CELESTIAL MEADOWS - CMDC3</t>
  </si>
  <si>
    <t>pnb</t>
  </si>
  <si>
    <t>BDO CHECK</t>
  </si>
  <si>
    <t>CENTRO ESCOLAR UNIVERSITY-MAKATI</t>
  </si>
  <si>
    <t>CENTRO ESCOLAR UNIVERSITY-MALOLOS</t>
  </si>
  <si>
    <t>CENTRO ESCOLAR UNIVERSITY-MANILA</t>
  </si>
  <si>
    <t>CHARISSA'S FOOD ENTERPRISE</t>
  </si>
  <si>
    <t>eastwest</t>
  </si>
  <si>
    <t>CHARLES CATV SYSTEMS, INC.</t>
  </si>
  <si>
    <t>CHARLES PEAK</t>
  </si>
  <si>
    <t>CHOOKS TO GO</t>
  </si>
  <si>
    <t>CHOOKS TO GO PILIPINAS</t>
  </si>
  <si>
    <t>CIS BAYAD CENTER INC.</t>
  </si>
  <si>
    <t>CITY SAVINGS BANK</t>
  </si>
  <si>
    <t>UNION BANK</t>
  </si>
  <si>
    <t>CLAVER TV AND INTERNET SERVICES</t>
  </si>
  <si>
    <t>COLEGIO DE DAGUPAN</t>
  </si>
  <si>
    <t>COLEGIO SAN AGUSTIN - BACOLOD</t>
  </si>
  <si>
    <t>COLLEGE OF TECHNOLOGICAL SCIENCES CEBU INC.</t>
  </si>
  <si>
    <t>COLUMBAN MISSIONARY FOUNDATION INC.</t>
  </si>
  <si>
    <t>EASTWEST BANK</t>
  </si>
  <si>
    <t>COMMUNITY ECONOMIC VENTURES INC.</t>
  </si>
  <si>
    <t>COMPASIA TECHNOLOGY PHILIPPINES INC.</t>
  </si>
  <si>
    <t>COOPERATIVE BANK OF CEBU (COOPBANK)</t>
  </si>
  <si>
    <t>BANK OF COMMERCE</t>
  </si>
  <si>
    <t>COR JESU COLLEGE.</t>
  </si>
  <si>
    <t>COTABATO ELECTRIC COOPERATIVE, INC. (COTELCO)-MATALAM</t>
  </si>
  <si>
    <t>COTABATO LIGHTS</t>
  </si>
  <si>
    <t>COVERBEST DISTRIBUTIONS CORPORATION</t>
  </si>
  <si>
    <t>CSW - ILOILO INC.</t>
  </si>
  <si>
    <t>CTGI PILIPINAS</t>
  </si>
  <si>
    <t>DAVAO LIGHTS</t>
  </si>
  <si>
    <t>DU EK SAM, INC</t>
  </si>
  <si>
    <t>DE LA SALLE JOHN BOSCO COLLEGE</t>
  </si>
  <si>
    <t>DES APPLIANCE PLAZA INC</t>
  </si>
  <si>
    <t>DES STRONG MOTOR INC. CUSTOMER PAYMENT</t>
  </si>
  <si>
    <t>DES STRONG MOTORS INC. COLLECTION SALES</t>
  </si>
  <si>
    <t>DIPOLOG CITY WATER DISTRICT</t>
  </si>
  <si>
    <t>DMC COLLEGE FOUNDATION INC.</t>
  </si>
  <si>
    <t>DONA PILAR LEARNING CENTER FOUNDATION INC.</t>
  </si>
  <si>
    <t>DRAGON PAY CORPORATION - API</t>
  </si>
  <si>
    <t>ECONOSTAR CORPORATION</t>
  </si>
  <si>
    <t>ECOWATER MWPV CORP.</t>
  </si>
  <si>
    <t>ECOWATER SOLUTIONS INC-CEBU</t>
  </si>
  <si>
    <t>ECOWATER SOLUTIONS- TALISAY</t>
  </si>
  <si>
    <t>EIGHTCHAMP DISTRIBUTION - BUKIDNON</t>
  </si>
  <si>
    <t>EIGHTCHAMP DISTRIBUTION - BUTUAN</t>
  </si>
  <si>
    <t>EIGHTCHAMP DISTRIBUTION - SURIGAO</t>
  </si>
  <si>
    <t>EL MAR RESORT</t>
  </si>
  <si>
    <t>ELN ONLINE STORE</t>
  </si>
  <si>
    <t>ELVIRS BLUESKY TELECOM - CDO/MIS OR./CAMIGUIN &amp; BUKIDNON</t>
  </si>
  <si>
    <t>ELVIRS BLUESKY TELECOM - NORTH COTABATO</t>
  </si>
  <si>
    <t>EPAY - ALIPAY PHILS. INC.</t>
  </si>
  <si>
    <t>bdo</t>
  </si>
  <si>
    <t>EPAY - ALTPAYNET CORP.</t>
  </si>
  <si>
    <t>unionbank</t>
  </si>
  <si>
    <t>EPAY - BABYMAMA INC.</t>
  </si>
  <si>
    <t>bpi</t>
  </si>
  <si>
    <t>EPAY - BETUR INC.</t>
  </si>
  <si>
    <t>EPAY - CITI APPLIANCE MC CORP.</t>
  </si>
  <si>
    <t>EPAY - E.L.N ONLINE STORE</t>
  </si>
  <si>
    <t>EPAY - FASTNET COMMU INC.</t>
  </si>
  <si>
    <t>EPAY - UNIFIEDWEB INC.</t>
  </si>
  <si>
    <t>EPAY - VISMIN GV HOTEL</t>
  </si>
  <si>
    <t>EPAY - VISMIN GV HOTEL INC. - TRAVEL AGENCIES</t>
  </si>
  <si>
    <t>EPAY -BIGFISH MANILA INC.</t>
  </si>
  <si>
    <t>EPAY -GLENCE PRINTSHOP</t>
  </si>
  <si>
    <t>EPAY -GS LOGISTICS, INC.</t>
  </si>
  <si>
    <t>EPAY -HELLO PH! TOURISM INC.</t>
  </si>
  <si>
    <t>EPAY -LADOUCE PHILIPPINE BRANCH</t>
  </si>
  <si>
    <t>EPAY -MANDAUE FOAM INDUSTRIES INC.</t>
  </si>
  <si>
    <t>EPAY -QUIRKS MARKETING PHILS.</t>
  </si>
  <si>
    <t>EPAY- SMARTLINK TECHNOLOGIES &amp; BUSINESS SOLUTIONS CO.</t>
  </si>
  <si>
    <t>EPAY- SUGBUTEL BED &amp; AMP; SHOWER</t>
  </si>
  <si>
    <t>EPAY -YOSHII SOFTWARE SOLUTION PHILS.</t>
  </si>
  <si>
    <t>ESAMELCO</t>
  </si>
  <si>
    <t>EVER CONSUMER SALES INC.</t>
  </si>
  <si>
    <t>EXCEL FIRST REVIEW AND TRAINING CENTER</t>
  </si>
  <si>
    <t>EXCEL RICE REVIEW SPECIALIST INC.</t>
  </si>
  <si>
    <t>EXCELITE CATV BATANGAS, INC.</t>
  </si>
  <si>
    <t>EXPRESS CALL DISTRIBUTION AND SERVICES CORPORATION</t>
  </si>
  <si>
    <t>EZ SHOP CONSUMER'S DESIRE TRADING CORP.</t>
  </si>
  <si>
    <t>FAIRBANK</t>
  </si>
  <si>
    <t>FAST DISTRIBUTION CORPORATION (MINDANAO)</t>
  </si>
  <si>
    <t xml:space="preserve">FAST DIS CORP. - VISAYAS ROXAS </t>
  </si>
  <si>
    <t>FAST DISTRIBUTION CORPORATION (VISAYAS)</t>
  </si>
  <si>
    <t>FAST DISTRIBUTION CORPORATION-GMA (QUEZON CITY AND CAMANAVA)</t>
  </si>
  <si>
    <t>FAST UNIMERCHANTS INC.</t>
  </si>
  <si>
    <t>FAST UNIMERCHANT-TACLOBAN</t>
  </si>
  <si>
    <t>FELL'S POINT FOOD CORP.</t>
  </si>
  <si>
    <t>FIL PRODUCTS CABLE CORPORATION-DUMAGUETE</t>
  </si>
  <si>
    <t>FIL PRODUCTS INC.</t>
  </si>
  <si>
    <t>FILBAKE FOOD CORPORATION</t>
  </si>
  <si>
    <t>FINASWIDE</t>
  </si>
  <si>
    <t>FIRST INDUSTRIAL SCIENCE&amp;TECHNOLOGY SCHOOL</t>
  </si>
  <si>
    <t>FIRST STANDARD FINANCE CORP BACOLOD</t>
  </si>
  <si>
    <t>FIRST STANDARD FINANCE CORP ILOILO</t>
  </si>
  <si>
    <t>FIRST STANDARD FINANCE CORP ROXAS</t>
  </si>
  <si>
    <t>FLEXI FINANCE ASIA INC.</t>
  </si>
  <si>
    <t>FORTUNE ENTERPRISES</t>
  </si>
  <si>
    <t>FOUNDATION FOR VALUES TRAINING INC.</t>
  </si>
  <si>
    <t>FOUNDATION UNIVERSITY</t>
  </si>
  <si>
    <t>GANNETWORKS INC. - BREAD AND MORE INC.</t>
  </si>
  <si>
    <t>GANNETWORKS INC. - CEBU OVEN MAGIC CORP.</t>
  </si>
  <si>
    <t>GANNETWORKS INC. - ECONOSTAR CORPORATION</t>
  </si>
  <si>
    <t>GANNETWORKS INC. - KOOL KITCHEN MANAGEMENT CORP.</t>
  </si>
  <si>
    <t>GANNETWORKS INC. - RMG MANAGEMENT CORP.</t>
  </si>
  <si>
    <t>GENERAL LUNA WATER SYSTEM INC.(SIARGAO)</t>
  </si>
  <si>
    <t>DBP</t>
  </si>
  <si>
    <t>GENERAL SANTOS WATER DISTRICT</t>
  </si>
  <si>
    <t>GENTRADE INTERNATIONAL PHILS. INC.</t>
  </si>
  <si>
    <t>GLOBAL DOMINION FINANCING</t>
  </si>
  <si>
    <t>GLOBAL KING MOTORS CORPORATION</t>
  </si>
  <si>
    <t>GLOBE</t>
  </si>
  <si>
    <t>GLOBEWEST FINANCE CORP.</t>
  </si>
  <si>
    <t>GO PHIL CONSUMER GOOD TRADING</t>
  </si>
  <si>
    <t>GOLDEN BRIA HOLDINGS INC</t>
  </si>
  <si>
    <t>GOLDENFUTURE LIFE PLANS, INC.</t>
  </si>
  <si>
    <t>GOLDROSE MILLING CORP.</t>
  </si>
  <si>
    <t>GOODHANDS WATER SPECIALIST</t>
  </si>
  <si>
    <t>GOVERNMENT SERVICE INSURANCE SYSTEM - GSIS</t>
  </si>
  <si>
    <t>landbank</t>
  </si>
  <si>
    <t>GUIMARAS ELECTRIC COOPERATIVE</t>
  </si>
  <si>
    <t>GULLAS COLLEGE OF MEDICINE INC</t>
  </si>
  <si>
    <t>BPI FAMILY</t>
  </si>
  <si>
    <t>HAPPY WELL MANAGEMENT AND COLLECTION SERVICES INC.</t>
  </si>
  <si>
    <t>HAVEN OF PEACE MEMORIAL GARDEN</t>
  </si>
  <si>
    <t>HELEN'S NATIVE LECHON</t>
  </si>
  <si>
    <t>HELPMATE INC. - CARMEN</t>
  </si>
  <si>
    <t>HELPMATE INC. - COMPOSTELA</t>
  </si>
  <si>
    <t>HELPMATE INC. - CORDOVA</t>
  </si>
  <si>
    <t>HELPMATE INC. - DAVAO</t>
  </si>
  <si>
    <t>HELPMATE INC. - LILOAN</t>
  </si>
  <si>
    <t>HELPMATE INC. - MANDAUE</t>
  </si>
  <si>
    <t>HELPMATE INC. - MINGLANILLA</t>
  </si>
  <si>
    <t>HELPMATE INC. - NAGA</t>
  </si>
  <si>
    <t>HELPMATE INC. - PIT-OS</t>
  </si>
  <si>
    <t>HELPMATE INC. - QUIOT</t>
  </si>
  <si>
    <t>HELPMATE INC. - SAN FERNANDO</t>
  </si>
  <si>
    <t>HELPMATE INC. - SAPANGDAKU</t>
  </si>
  <si>
    <t>HELPMATE INC. - TALISAY</t>
  </si>
  <si>
    <t>HI-FASHIONISTA GALORE, INC.</t>
  </si>
  <si>
    <t>HILLSIDE MEMORIAL GARDEN INC.</t>
  </si>
  <si>
    <t>HI-PRECISION DIAGNOSTIC-LABCORE INC</t>
  </si>
  <si>
    <t>HMW LENDING INVESTORS, INC</t>
  </si>
  <si>
    <t>HOLLY FARM MEAT MARKET</t>
  </si>
  <si>
    <t>HOLY ANGEL UNIVERSITY</t>
  </si>
  <si>
    <t>HOLY NAME UNIVERSITY INC</t>
  </si>
  <si>
    <t>HOLY ROSARY OF PARDO</t>
  </si>
  <si>
    <t>HOLY TRINITY COLLEGE OF GENERAL SANTOS CITY</t>
  </si>
  <si>
    <t>HOME CREDIT API</t>
  </si>
  <si>
    <t>HONDA DES INC.</t>
  </si>
  <si>
    <t>HONDA MOTOR WORLD, INC.</t>
  </si>
  <si>
    <t>ICCT COLLEGES - TAYTAY</t>
  </si>
  <si>
    <t>ICCT COLLEGES-ANTIPOLO</t>
  </si>
  <si>
    <t>ICCT COLLEGES-CAINTA</t>
  </si>
  <si>
    <t>ICCT COLLEGES-SAN MATEO</t>
  </si>
  <si>
    <t>ILECO 3</t>
  </si>
  <si>
    <t>IMPERIAL APPLIANCE PLAZA</t>
  </si>
  <si>
    <t>IMPERIAL APPLIANCE PLAZA-COLLECTIONS</t>
  </si>
  <si>
    <t>bdo check</t>
  </si>
  <si>
    <t>INDIANA AEROSPACE UNIVERSITY</t>
  </si>
  <si>
    <t>INNOVE</t>
  </si>
  <si>
    <t>IPI - BACOLOD</t>
  </si>
  <si>
    <t>IPI - CAGAYAN DE ORO</t>
  </si>
  <si>
    <t>IPI - CEBU</t>
  </si>
  <si>
    <t>IPI - DAVAO</t>
  </si>
  <si>
    <t>IPI - ILOILO</t>
  </si>
  <si>
    <t>IPI - LAS PINAS</t>
  </si>
  <si>
    <t>IPI - NAGA</t>
  </si>
  <si>
    <t>IPI - ORMOC</t>
  </si>
  <si>
    <t>IPI - PAMPANGA</t>
  </si>
  <si>
    <t>IPI - VILLASIS</t>
  </si>
  <si>
    <t>IPI- ZAMBOANGA</t>
  </si>
  <si>
    <t>ISABEL WATER DISTRICT</t>
  </si>
  <si>
    <t>J MARKETING CORP - COLLECTIONS</t>
  </si>
  <si>
    <t>J STORE INNOVATION WORLDWIDE CORPORATION</t>
  </si>
  <si>
    <t>J MARKETING CORPORATION</t>
  </si>
  <si>
    <t>JM CABLE NRTWORK, INC.-PADRE GARCIA</t>
  </si>
  <si>
    <t>BPI check</t>
  </si>
  <si>
    <t>JMCT REALTY CORPORATION</t>
  </si>
  <si>
    <t>JOHN B. LACSON COLLEGE - BACOLOD</t>
  </si>
  <si>
    <t>JOHN B. LACSON FOUNDATION MARITIME UNIVERSITY-AREVALO(API)</t>
  </si>
  <si>
    <t>JOHN B. LACSON FOUNDATION UNIVERSITY-MOLO</t>
  </si>
  <si>
    <t>JOSE MARIA COLLEGE DAVAO</t>
  </si>
  <si>
    <t>JOSHCHAM DISTRIBUTION-BUKIDNON</t>
  </si>
  <si>
    <t>JOSHCHAM DISTRIBUTION-BUTUAN</t>
  </si>
  <si>
    <t>JOSHCHAM DISTRIBUTION-CAGAYAN DE ORO</t>
  </si>
  <si>
    <t>JOSHCHAM DISTRIBUTION-ILIGAN</t>
  </si>
  <si>
    <t>JOSHCHAM DISTRIBUTION-PAGADIAN</t>
  </si>
  <si>
    <t>JOSHCHAM DISTRIBUTION-SURIGAO</t>
  </si>
  <si>
    <t>JT INTERNATIONAL PHILIPPINES INC.</t>
  </si>
  <si>
    <t>STANDARD CHARTERED BANK</t>
  </si>
  <si>
    <t>partner weekly</t>
  </si>
  <si>
    <t>KALUNASAN OPERATORS &amp; DRIVERS TRANSPORT COOPERATIVE</t>
  </si>
  <si>
    <t>chinabank</t>
  </si>
  <si>
    <t>KABACAN WATER DISTRICT(KWD)</t>
  </si>
  <si>
    <t>KABANKALAN CITY WATER DISTRICT</t>
  </si>
  <si>
    <t xml:space="preserve"> Customer</t>
  </si>
  <si>
    <t>KCAT (KABANKALAN COMMUNITY ANTENNA TELEVISION SYSTEM INC.</t>
  </si>
  <si>
    <t>KOOL KITCHEN MANAGEMENT CORP.</t>
  </si>
  <si>
    <t>KRN MARKETING</t>
  </si>
  <si>
    <t>LA SALLE UNIVERSITY-OZAMIS</t>
  </si>
  <si>
    <t>LA TRINIDAD WATER DISTRICT</t>
  </si>
  <si>
    <t>LAGUNA WATER CORPORATION</t>
  </si>
  <si>
    <t>LANECO(LANAO DEL NORTE ELECTRIC COOP)</t>
  </si>
  <si>
    <t>LAZADA PH</t>
  </si>
  <si>
    <t>LEGACY PLAINS DEVELOPERS - LPDC2</t>
  </si>
  <si>
    <t>LEGACY PLAINS DEVELOPERS - LPDC3</t>
  </si>
  <si>
    <t>LIPIEMCO  LIPI EMPLOYEES MULTIPURPPOSE COOPERATIVE</t>
  </si>
  <si>
    <t>LOAN STAR LENDING GROUP CORP.</t>
  </si>
  <si>
    <t>LORMA COLLEGES INC.</t>
  </si>
  <si>
    <t>LOURDES COLLEGE INC.</t>
  </si>
  <si>
    <t>LPU-CAVITE</t>
  </si>
  <si>
    <t>LPU-MANILA</t>
  </si>
  <si>
    <t>PBB</t>
  </si>
  <si>
    <t>M.LHUILLIER ICE PLANT &amp; STORAGE HOUSE</t>
  </si>
  <si>
    <t>BPI C</t>
  </si>
  <si>
    <t>M.LHUILLIER TAXI</t>
  </si>
  <si>
    <t>MA. CORAZON JULIE'S BAKESHOP</t>
  </si>
  <si>
    <t>MAGELCO-COLLECTIONS</t>
  </si>
  <si>
    <t>LANDBANK</t>
  </si>
  <si>
    <t>MACONDRAY FINANCE CORPORATION</t>
  </si>
  <si>
    <t>MACRO DISTRIBUTORS BACOLOD</t>
  </si>
  <si>
    <t>MACRO DISTRIBUTORS DUMAGUETE</t>
  </si>
  <si>
    <t>MACRO DISTRIBUTORS SIQUIJOR</t>
  </si>
  <si>
    <t>MAGUINDANAO DISTRIBUTION SYSTEM INC.</t>
  </si>
  <si>
    <t>MAGUINDANAO ELECTRIC COOPERATIVE, INC (MAGELCO)</t>
  </si>
  <si>
    <t>MAKATI FINANCE CORPORATION - COLLECTOR</t>
  </si>
  <si>
    <t>MAKATI FINANCE CORPORATION - CUSTOMER ACCOUNT</t>
  </si>
  <si>
    <t>MALAYAN COLLEGES LAGUNA</t>
  </si>
  <si>
    <t>MALAYAN COLLEGES MINDANAO (A MAPUA SCHOOL) INC</t>
  </si>
  <si>
    <t>RCBC</t>
  </si>
  <si>
    <t>MANDALAGAN COMMODITIES INC.</t>
  </si>
  <si>
    <t>MANILA WATER COMPANY INC.</t>
  </si>
  <si>
    <t>Partner M.W</t>
  </si>
  <si>
    <t>MANILA WATER PHILIPPINE VENTURES INC</t>
  </si>
  <si>
    <t>MANOK NG BAYAN</t>
  </si>
  <si>
    <t>MAPI LENDING INVESTORS, INC</t>
  </si>
  <si>
    <t>MAPUA MALAYAN DIGITAL COLLEGE</t>
  </si>
  <si>
    <t>MARYLAND DISTRIBUTORS, INC.</t>
  </si>
  <si>
    <t>MEDICAL COLLEGES OF NORTHERN PHILIPPINES</t>
  </si>
  <si>
    <t>METRO COTABATO WATER DISTRICT</t>
  </si>
  <si>
    <t>METRO ILOILO WATER DISTRICT/METRO PACIFIC ILOILO WATER</t>
  </si>
  <si>
    <t>METRO PACIFIC DUMAGUETE WATER SERVICES INC.</t>
  </si>
  <si>
    <t>METRO QUICASH LENDING CORP.</t>
  </si>
  <si>
    <t>Partner M</t>
  </si>
  <si>
    <t>METROPOLITAN CEBU WATER DISTRICT</t>
  </si>
  <si>
    <t>MICROVENTURES PHILS. FINANCING COMPANY</t>
  </si>
  <si>
    <t>MIGHTY CORPORATION</t>
  </si>
  <si>
    <t>MILLENNIUM DISTRIBUTION SYSTEM INC.</t>
  </si>
  <si>
    <t>MIRANDE BEVERAGE TRADING</t>
  </si>
  <si>
    <t>MISAMIS CABLE MANAGEMENT AND DEV'T CORP (OZAMIS CITY)</t>
  </si>
  <si>
    <t>MISAMIS CABLE NETWORK MANAGEMENT CORP (OROQUIETA CITY)</t>
  </si>
  <si>
    <t>MISAMIS INSTITUTE OF TECHNOLOGY</t>
  </si>
  <si>
    <t>MISAMIS OCCIDENTAL ELECTRIC COOPERATIVE 1 (MOELCI-1)</t>
  </si>
  <si>
    <t>MISAMIS ORIENTAL II ELECTRIC SERVICES COOPERATIVE INC. (MORESCO II)</t>
  </si>
  <si>
    <t>MITSUKOSHI MOTORS PHILS. INC.</t>
  </si>
  <si>
    <t>ML CARES FOUNDATION INC.</t>
  </si>
  <si>
    <t>ML FUND</t>
  </si>
  <si>
    <t>ML FUND- VISMIN</t>
  </si>
  <si>
    <t>ML PENSIONER'S LOAN</t>
  </si>
  <si>
    <t xml:space="preserve">ML SAKO </t>
  </si>
  <si>
    <t>ML SMALL BUSINESS LOAN</t>
  </si>
  <si>
    <t>MONIELEND CORPORATION</t>
  </si>
  <si>
    <t>MOTOR ACE PHILIPPINES, INC</t>
  </si>
  <si>
    <t>MS PANAY DISTRIBUTION ILOILO</t>
  </si>
  <si>
    <t>MS PANAY DISTRIBUTION KALIBO</t>
  </si>
  <si>
    <t>MS PANAY DISTRIBUTION ROXAS</t>
  </si>
  <si>
    <t>MURCIA WATER DISTRICT</t>
  </si>
  <si>
    <t>MY SUPER PAY</t>
  </si>
  <si>
    <t>NAGA CITY WATER SYSTEM INC - CEBU</t>
  </si>
  <si>
    <t>NAVICARE MARITIME SEEVICES</t>
  </si>
  <si>
    <t>NECA CATV CORP</t>
  </si>
  <si>
    <t>NEST REALTY DEVELOPMENT CORP.</t>
  </si>
  <si>
    <t>NETBANK</t>
  </si>
  <si>
    <t>NEW GRANT DISTRIBUTION CORP.</t>
  </si>
  <si>
    <t>NFINIT CREDIT CORP</t>
  </si>
  <si>
    <t>NITO'S AUTOSUPPLY INC.</t>
  </si>
  <si>
    <t>NK BUILDERS &amp; CONSTRUCTION INC.</t>
  </si>
  <si>
    <t>Patner M.</t>
  </si>
  <si>
    <t>NORECO 1 - CONSUMERS</t>
  </si>
  <si>
    <t>NORECO 1- ESTRAO</t>
  </si>
  <si>
    <t>NORECO 1- JACULBE</t>
  </si>
  <si>
    <t>NORECO 1(COLLECTORS)</t>
  </si>
  <si>
    <t>NORKIS LUZON/NCR</t>
  </si>
  <si>
    <t>NORKIS/VISMIN</t>
  </si>
  <si>
    <t>NORSAMELCO</t>
  </si>
  <si>
    <t>NORTE OF DAME OF MIDSAYAP COLLEGE, INC.</t>
  </si>
  <si>
    <t>NORTH CENTRAL MINDANAO COLLEGE</t>
  </si>
  <si>
    <t>NORTH VALLEY COLLEGE FOUNDATION INC</t>
  </si>
  <si>
    <t>NOTRE DAME OF KIDAPAWAN COLLEGE</t>
  </si>
  <si>
    <t>NOTREDAME OF MARBEL UNIVERSITY</t>
  </si>
  <si>
    <t>NUEVA ECIJA II AREA 1 ELECTRIC COOPERATIVE INC.</t>
  </si>
  <si>
    <t>OBANDO WATER COMPANY INC.</t>
  </si>
  <si>
    <t>OK DEPARTMENT STORE, INC</t>
  </si>
  <si>
    <t>OLONGAPO ELECTRICITY DISTRIBUTION COMPANY (OEDC)</t>
  </si>
  <si>
    <t>ORIENT CABLE AND TELECOMMUNICATIONS INC - DIPOLOG</t>
  </si>
  <si>
    <t xml:space="preserve">BDO CHECK </t>
  </si>
  <si>
    <t>OROQUIETA CITY WATER DISTRICT</t>
  </si>
  <si>
    <t>OUR LADY OF TRIUMPH INSTITUTE OF TECHNOLOGY OZAMIS</t>
  </si>
  <si>
    <t>OUR LADY OF TRIUMPH INSTITUTE OF TECHNOLOGY PAGADIAN</t>
  </si>
  <si>
    <t>PACIFIC ACE SAVINGS BANK</t>
  </si>
  <si>
    <t>PAG-IBIG FUND (PAG-IBIG FUND (MEMBER CONTRI/VOL SAVINGS/HOUSING LOAN)</t>
  </si>
  <si>
    <t>PALECO</t>
  </si>
  <si>
    <t>PAL-PHILIPPINE AIRLINES</t>
  </si>
  <si>
    <t>PANELCO 1</t>
  </si>
  <si>
    <t>PANGLAO WATER SERVICES INC.</t>
  </si>
  <si>
    <t>PAPH TRAVEL AND TOURS</t>
  </si>
  <si>
    <t>PAPS ENTERPRISES</t>
  </si>
  <si>
    <t>PARAMOUNT LIFE AND GENERAL INSURANCE CORP.</t>
  </si>
  <si>
    <t>PARK N GO</t>
  </si>
  <si>
    <t>PAYEXPRESS/PAYNAMICS</t>
  </si>
  <si>
    <t>PAYPANDA/CLOUD PANDA PH INC.</t>
  </si>
  <si>
    <t>BDO C</t>
  </si>
  <si>
    <t>PCSO - ML</t>
  </si>
  <si>
    <t>PCSO - ML LUZON</t>
  </si>
  <si>
    <t>PCSO - ML MINDANAO</t>
  </si>
  <si>
    <t>PERPETUAL HELP MULTI PURPOSE COOP. TACLOBAN</t>
  </si>
  <si>
    <t>PESOLOAN - MASAGANANG BUHAY FINANCE PHILS CORP.</t>
  </si>
  <si>
    <t>PHIL. REACHWELL DISTRIBUTION CORP. IPIL</t>
  </si>
  <si>
    <t>PHIL. REACHWELL DISTRIBUTION CORP. ZAMBOANGA</t>
  </si>
  <si>
    <t>PHILCARE INC.</t>
  </si>
  <si>
    <t>PHILIPPINE PRUDENTIAL LIFE PARTNER</t>
  </si>
  <si>
    <t>PHILTECH INC</t>
  </si>
  <si>
    <t>PIONEER INSURANCEE &amp; SURETY CORPORATION</t>
  </si>
  <si>
    <t>PIONEER INTERCONTINENTAL INSURANCE CORPORATION</t>
  </si>
  <si>
    <t>PIONEER LIFE INC.</t>
  </si>
  <si>
    <t>PIZZERIA MICHELANGELO</t>
  </si>
  <si>
    <t>PJH LENDING CORPORATION</t>
  </si>
  <si>
    <t>PLDT (PHILIPPINE LONG DISTANCE TELEPHONE COMPANY)</t>
  </si>
  <si>
    <t>POWERCYCLE INC.</t>
  </si>
  <si>
    <t>PRIME BREAD AND BUTTER BAKESHOP CORPORATION</t>
  </si>
  <si>
    <t>PRIMUS VENTURES</t>
  </si>
  <si>
    <t>PROGRESSIVE BANK INC.</t>
  </si>
  <si>
    <t>PROVINCE OF CEBU -CPIWS</t>
  </si>
  <si>
    <t>PUERTO PRINCESA CITY WATER DISTRICT</t>
  </si>
  <si>
    <t>PUTING MANOK CORPORATION POULTRY FARM</t>
  </si>
  <si>
    <t>QUEZON 1 ELECTRIC COOPERATIVE INC</t>
  </si>
  <si>
    <t>QUEZON CATV INC</t>
  </si>
  <si>
    <t>RAFI MICROFINANCE INC. - COLLECTION FACILITY</t>
  </si>
  <si>
    <t>Partner S-M.</t>
  </si>
  <si>
    <t xml:space="preserve">RALAV CORPORATION </t>
  </si>
  <si>
    <t>RAMON MAGSAYSAY MEMORIAL COLLEGES- GENSAN</t>
  </si>
  <si>
    <t>RAMON MAGSAYSAY MEMORIAL COLLEGES-MARBEL INC</t>
  </si>
  <si>
    <t>RCBC- EASTERN VISAYAS LAND REALTY INC.</t>
  </si>
  <si>
    <t>Partner semi-M</t>
  </si>
  <si>
    <t>RCBC-CONSUMER LOANS</t>
  </si>
  <si>
    <t>RELEVANTTECH CORPORATION 5 - DIRECT SALES PERSONNEL</t>
  </si>
  <si>
    <t>RELEVANTTECH CORPORATION 5 - PROJECT</t>
  </si>
  <si>
    <t>RELEVANTTECH CORPORATION 5 - SUB DEALER</t>
  </si>
  <si>
    <t>RELEVANTTECH CORPORATION 6 - DIRECT SALES PERSONNEL</t>
  </si>
  <si>
    <t>RELEVANTTECH CORPORATION 6 - PROJECT</t>
  </si>
  <si>
    <t>RELEVANTTECH CORPORATION 6 - SUB DEALER</t>
  </si>
  <si>
    <t>RELEVANTTECH CORPORATION QUEZON - DIRECT SALES PERSONNEL</t>
  </si>
  <si>
    <t>RHEAN MOTOR CENTER</t>
  </si>
  <si>
    <t>RICHLI WATER CORP</t>
  </si>
  <si>
    <t>RIMANSI MUTUAL SOLUTIONS INSURANCE AGENCY INC.</t>
  </si>
  <si>
    <t>RIVER VALLEY DISTRIBUTION - TACLOBAN</t>
  </si>
  <si>
    <t>RIVER VALLEY DISTRIBUTION INC - CEBU</t>
  </si>
  <si>
    <t>RIVERSIDE COLLEGE INC.</t>
  </si>
  <si>
    <t>RMG MANAGEMENT CORPORATION</t>
  </si>
  <si>
    <t>RODAMA AGRIVET</t>
  </si>
  <si>
    <t>RCBC- CITIBANK FAO INTERNATIONAL CENTER FOR AIDS CARE &amp; TREATMENT PROGRAMS (PHILS.) INC.</t>
  </si>
  <si>
    <t>RYKOM FINANCING CORPORATION</t>
  </si>
  <si>
    <t>SAINT MARY'S ACADEMY OF SAN NICOLAS INC.</t>
  </si>
  <si>
    <t>SAMELCO 1</t>
  </si>
  <si>
    <t>SAMELCO 2</t>
  </si>
  <si>
    <t>SAN AGUSTIN INSTITUTE OF TECHNOLOGY INC.</t>
  </si>
  <si>
    <t>SAN ANTONIO DE PADUA BAKESHOP</t>
  </si>
  <si>
    <t>SANTA MONICA HOMES</t>
  </si>
  <si>
    <t>SANTAPHARMA CEBU INC</t>
  </si>
  <si>
    <t>SEMIGIRE CORPORATION-ORIENTAL</t>
  </si>
  <si>
    <t>SENDAI MOTOR SALES INC.</t>
  </si>
  <si>
    <t>SEÑIOR JOSE PANADERIA INC.</t>
  </si>
  <si>
    <t xml:space="preserve">SERVIAMUS FOUNDATION INCORPORATED </t>
  </si>
  <si>
    <t>SETTLEMENT ACCOUNT FOR ML EMPLOYEES</t>
  </si>
  <si>
    <t>SETTLEMENT ACCOUNT FOR ML EXPRESS AGENT</t>
  </si>
  <si>
    <t>SETTLEMENT ACCOUNT FOR ML LENDING AUTOLOAN</t>
  </si>
  <si>
    <t>SILLIMAN UNIVERSITY</t>
  </si>
  <si>
    <t>SKYGO MARKETING INC.</t>
  </si>
  <si>
    <t>SKYPAY API</t>
  </si>
  <si>
    <t xml:space="preserve">Patner </t>
  </si>
  <si>
    <t>SKYPAY KPX</t>
  </si>
  <si>
    <t>SLRC - CEBU REVIEW CENTER</t>
  </si>
  <si>
    <t>SMART/SMARTBRO/SUNCELL/SUNBROADBAND</t>
  </si>
  <si>
    <t>SOFTOUCH PROPERTY DEVELOPMENT CORP</t>
  </si>
  <si>
    <t>SHOPEE - LSD</t>
  </si>
  <si>
    <t>SOUTH ASIALINK CREDIT CORP/SOUTH ASIALINK FINANCE CORP</t>
  </si>
  <si>
    <t>SOUTH COTABATO II ELECTRIC COOPERATIVE INC (SOCOTECO II)</t>
  </si>
  <si>
    <t>SOUTH LUZON WATER CORP</t>
  </si>
  <si>
    <t>UNIONBANK</t>
  </si>
  <si>
    <t>SOUTHCENTRAL HARDWARE - UNIONBANK</t>
  </si>
  <si>
    <t>ST. ALEXIUS COLLEGE INC.</t>
  </si>
  <si>
    <t>ST. JOSEPH SCHOOL - LA SALLE (BACOLOD), INC.</t>
  </si>
  <si>
    <t>rcbc</t>
  </si>
  <si>
    <t>ST. MARYS COLLEGE OF TAGUM INC.</t>
  </si>
  <si>
    <t>ST. PAUL UNIVERSITY DUMAGUETE INC.</t>
  </si>
  <si>
    <t>ST. THOMAS MORE SCHOOL OF LAW AND BUSINESS INC.</t>
  </si>
  <si>
    <t>STATEFIELDS SCHOOL INC</t>
  </si>
  <si>
    <t>STI ALUMNI ASSOCIATION</t>
  </si>
  <si>
    <t>STI BAGUIO</t>
  </si>
  <si>
    <t>STI BATANGAS</t>
  </si>
  <si>
    <t>STI CALAMBA</t>
  </si>
  <si>
    <t>STI CALOOCAN</t>
  </si>
  <si>
    <t>STI CDO</t>
  </si>
  <si>
    <t>STI CEBU</t>
  </si>
  <si>
    <t>STI CUBAO</t>
  </si>
  <si>
    <t>STI DAGUPAN</t>
  </si>
  <si>
    <t>STI DAVAO</t>
  </si>
  <si>
    <t>STI EDUCATION SERVICES GROUP, INC.</t>
  </si>
  <si>
    <t>STI FAIRVIEW</t>
  </si>
  <si>
    <t>STI GLOBAL</t>
  </si>
  <si>
    <t>STI ILIGAN</t>
  </si>
  <si>
    <t>STI ILOILO</t>
  </si>
  <si>
    <t>STI KALIBO</t>
  </si>
  <si>
    <t>STI LAOAG</t>
  </si>
  <si>
    <t>STI LAS PINAS</t>
  </si>
  <si>
    <t>STI LEGAZPI</t>
  </si>
  <si>
    <t>STI LIPA</t>
  </si>
  <si>
    <t>STI LUCENA</t>
  </si>
  <si>
    <t>STI MAKATI</t>
  </si>
  <si>
    <t>STI MALAYBALAY</t>
  </si>
  <si>
    <t>STI MEYCAUAYAN</t>
  </si>
  <si>
    <t>STI NAGA</t>
  </si>
  <si>
    <t>STI NOVALICHES</t>
  </si>
  <si>
    <t>STI ORCA</t>
  </si>
  <si>
    <t>STI PUERTO PRINCESA</t>
  </si>
  <si>
    <t>STI SAN JOSE DEL MONTE</t>
  </si>
  <si>
    <t>STI SAN PABLO</t>
  </si>
  <si>
    <t>STI SHAW</t>
  </si>
  <si>
    <t>STI SOUTHWOODS</t>
  </si>
  <si>
    <t>STI STA CRUZ</t>
  </si>
  <si>
    <t>STI STA. MESA</t>
  </si>
  <si>
    <t>STI TAFT</t>
  </si>
  <si>
    <t>STI TAGUM</t>
  </si>
  <si>
    <t>STI TANAUAN</t>
  </si>
  <si>
    <t>STI TANAY</t>
  </si>
  <si>
    <t>STI VALENCIA</t>
  </si>
  <si>
    <t>STI WEST NEGROS UNIVERSITY INC.</t>
  </si>
  <si>
    <t>STO.NINO DE CEBU FINANCE CORPORATION</t>
  </si>
  <si>
    <t>STRONG MOTO CENTRUM, INC.</t>
  </si>
  <si>
    <t>SUBIC ENERZONE</t>
  </si>
  <si>
    <t>SUBIC WATER  AND SEWERAGE CO.INC.</t>
  </si>
  <si>
    <t>SUGAR GRAINS BAKESHOP</t>
  </si>
  <si>
    <t>SUL CORPORATION - COTABATO</t>
  </si>
  <si>
    <t>SUL CORPORATION- KIDAPAWAN</t>
  </si>
  <si>
    <t>SUL CORPORATION- MIDSAYAP</t>
  </si>
  <si>
    <t>SUL CORPORATION- OZAMIS</t>
  </si>
  <si>
    <t>SUL CORPORATION- ZAMBOANGA</t>
  </si>
  <si>
    <t>SULTAN KUDARAT ELECTRIC COOP.-SUKELCO</t>
  </si>
  <si>
    <t>SUPRA FEEDS ENTERPRISES</t>
  </si>
  <si>
    <t>SURIGAO DEL NORTE ELECTRIC COOPERATIVE (SURNECO)</t>
  </si>
  <si>
    <t>SURIGAO ELECTRIC COOPERATIVE (SURSECO 1)</t>
  </si>
  <si>
    <t>TAGUM CITY WATER DISTRICT</t>
  </si>
  <si>
    <t>TAGUM COOPERATIVE</t>
  </si>
  <si>
    <t>TERESA (RIZAL) WATER DISTRICT</t>
  </si>
  <si>
    <t>THE COLLEGE OF MAASIN</t>
  </si>
  <si>
    <t>THE GENERICS PHARMACY</t>
  </si>
  <si>
    <t>THE LEWIS COLLEGE INC.</t>
  </si>
  <si>
    <t>TOPGROW ENTERPRISES</t>
  </si>
  <si>
    <t>TRANS ASIATIC FINANCE INCORPORATED</t>
  </si>
  <si>
    <t>TRES ALAZ DIPOLOG</t>
  </si>
  <si>
    <t>TRES ALAZ ILIGAN CITY</t>
  </si>
  <si>
    <t>TRES ALAZ IPIL</t>
  </si>
  <si>
    <t>TRES ALAZ OZAMIZ CITY</t>
  </si>
  <si>
    <t>TRES ALAZ PAGADIAN</t>
  </si>
  <si>
    <t>TRES ALAZ ZAMBOANGA</t>
  </si>
  <si>
    <t>TRIPLE FIVE GLOBAL DISTRIBUTION INC-GUIMARAS</t>
  </si>
  <si>
    <t>TRIPLE FIVE GLOBAL DISTRIBUTION INC-ILOILO</t>
  </si>
  <si>
    <t>TANDAG CITY WATER DISTRICT</t>
  </si>
  <si>
    <t>UFII (UNICAPITAL FINANCE AND INVESTMENTS INC)</t>
  </si>
  <si>
    <t xml:space="preserve">Partner </t>
  </si>
  <si>
    <t>ULTIMATE VISA CORPORATION</t>
  </si>
  <si>
    <t>UM-DAVAO</t>
  </si>
  <si>
    <t>UM-DIGOS</t>
  </si>
  <si>
    <t>UM-PANABO</t>
  </si>
  <si>
    <t>UM-TAGUM</t>
  </si>
  <si>
    <t>UNISAFE MKTG AND DEVT INC DBA UNDER ZAMBOANGA SAFETY</t>
  </si>
  <si>
    <t>UNISTAR CREDIT AND FINANCE CORP.</t>
  </si>
  <si>
    <t>UNISTAR CUSTOMERS ACCOUNT</t>
  </si>
  <si>
    <t>UNIVERSIDAD DE ZAMBOANGA</t>
  </si>
  <si>
    <t>UNIVERSITY OF BOHOL</t>
  </si>
  <si>
    <t>UNIVERSITY OF CAGAYAN VALLEY, INC</t>
  </si>
  <si>
    <t>UNIVERSITY OF CEBU - BANILAD</t>
  </si>
  <si>
    <t>UNIVERSITY OF CEBU - LAPULAPU AND MANDAUE</t>
  </si>
  <si>
    <t>UNIVERSITY OF CEBU - MAIN</t>
  </si>
  <si>
    <t>UNIVERSITY OF CEBU - MAMBALING</t>
  </si>
  <si>
    <t>UNIVERSITY OF CEBU COLLEGE OF MEDICINE FOUNDATION, INC</t>
  </si>
  <si>
    <t>UNIVERSITY OF CEBU-PARDO</t>
  </si>
  <si>
    <t>UNIVERSITY OF IMMACULATE CONCEPCION</t>
  </si>
  <si>
    <t>UNIVERSITY OF SAN AGUSTIN INC.</t>
  </si>
  <si>
    <t>UNIVERSITY OF SAN JOSE RECOLETOS</t>
  </si>
  <si>
    <t>UNIVERSITY OF SOUTHERN PHILIPPINES FOUNDATION (CEBU)</t>
  </si>
  <si>
    <t>UNIVERSITY OF ST. LASALLE BACOLOD</t>
  </si>
  <si>
    <t>UNIVERSITY OF THE ASSUMPTION</t>
  </si>
  <si>
    <t>UNIVERSITY OF THE VISAYAS - MAIN</t>
  </si>
  <si>
    <t>UNIVERSITY OF THE VISAYAS - TOLEDO</t>
  </si>
  <si>
    <t>UTRADE/UNICAPITAL-TOPUP/RENEWAL</t>
  </si>
  <si>
    <t>V.E YAP CELLPHONE &amp; ACCESSORIES</t>
  </si>
  <si>
    <t>VALENCIA CITY (BUKIDNON) WATER DISTRICT</t>
  </si>
  <si>
    <t>VAST AGRO SOLUTION CORP.</t>
  </si>
  <si>
    <t>UNIVERSITY OF THE VISAYAS - MANDAUE</t>
  </si>
  <si>
    <t>VECO</t>
  </si>
  <si>
    <t>VMA GLOBAL COLLEGE AND TRAINING CENTERS, INC.</t>
  </si>
  <si>
    <t>WATERS PHILIPPINES</t>
  </si>
  <si>
    <t>WESKY CABLE</t>
  </si>
  <si>
    <t>WISEFUND FINANCE CORPORATION</t>
  </si>
  <si>
    <t>UTRADE/UNICAPITAL- LODGEMENT FEE</t>
  </si>
  <si>
    <t>XANDA TRADERS/THUNDERLEI CORPORATION</t>
  </si>
  <si>
    <t>XANDA TRADERS-BDO</t>
  </si>
  <si>
    <t>XANDA TRADERS-UNIONBANK</t>
  </si>
  <si>
    <t>XCEED GLOBAL DISTRIBUTION INC-KALIBO</t>
  </si>
  <si>
    <t>XCEED GLOBAL DISTRIBUTION INC-ROXAS</t>
  </si>
  <si>
    <t>ZAMBOANGA CITY WATER DISTRICT</t>
  </si>
  <si>
    <t>ZAMBOANGA NORTE ELECTRIC COOPERTIVE (ZANECO)</t>
  </si>
  <si>
    <t>ZAMJA MARKETING CORPORATION</t>
  </si>
  <si>
    <t>ZAMSURECO 11 (ZAMBOANGA DEL SUR 11 ELECTRIC COO.)</t>
  </si>
  <si>
    <t>ZAZU LENDING INVESTOR CORP.</t>
  </si>
  <si>
    <t>ZENAR TELECOMS INC</t>
  </si>
  <si>
    <t>CBN ASIA / 700 CLUB</t>
  </si>
  <si>
    <t>LDS-ONLINE STORE</t>
  </si>
  <si>
    <t>LDS-PEF LOAN</t>
  </si>
  <si>
    <t>LDS-REMITTANCE</t>
  </si>
  <si>
    <t>LDS - SAR (SPECIAL ACCOUNT RECEIVABLE)</t>
  </si>
  <si>
    <t>Partner  W.</t>
  </si>
  <si>
    <t>LOYOLA PLANS CONSOLIDATED INC.</t>
  </si>
  <si>
    <t>A.L.L SALES</t>
  </si>
  <si>
    <t>APPLICATION FOR SUN/SMART/PLDT LINES</t>
  </si>
  <si>
    <t>BDO POS BILLS PAYMENT</t>
  </si>
  <si>
    <t>BPI - RTA</t>
  </si>
  <si>
    <t>CARD 2</t>
  </si>
  <si>
    <t>CEBU CFI LOAN APPLICATION FEE</t>
  </si>
  <si>
    <t>CHINABANK RTA</t>
  </si>
  <si>
    <t>DOLE REGION 9-RWA</t>
  </si>
  <si>
    <t>DOLE REGION XII - (RWA) REGISTRATION OF WORKERS ASSOCIATION</t>
  </si>
  <si>
    <t>METROBANK BELTEX TRADING</t>
  </si>
  <si>
    <t>METROBANK Bills payment</t>
  </si>
  <si>
    <t>METROBANK BILLS PAYMENT 1</t>
  </si>
  <si>
    <t>METROBANK BILLS PAYMENT 2</t>
  </si>
  <si>
    <t>METROBANK CENTRAL PHILIPPINE UNIVERSITY</t>
  </si>
  <si>
    <t>METROBANK COLLECTION</t>
  </si>
  <si>
    <t>METROBANK COLLECTION 1</t>
  </si>
  <si>
    <t>METROBANK COLLECTION 2</t>
  </si>
  <si>
    <t>METROBANK EVE CONSUMER</t>
  </si>
  <si>
    <t>METROBANK FORTUNE ENTERPRISES</t>
  </si>
  <si>
    <t>METROBANK JUDPHILAN FOODS CORP</t>
  </si>
  <si>
    <t>METROBANK MDR MICROWARE SALES</t>
  </si>
  <si>
    <t>METROBANK REMIT TO ACCOUNT</t>
  </si>
  <si>
    <t>METROBANK USPF</t>
  </si>
  <si>
    <t>METROBANK VISAYAN KHARIS</t>
  </si>
  <si>
    <t>ML VEHICLE LOANS AND FINANCING</t>
  </si>
  <si>
    <t>PSSLAI LOAN APPLICATION</t>
  </si>
  <si>
    <t>PUBLIC SAFETY SAVINGS AND LOAN ASSOCIATION INC.</t>
  </si>
  <si>
    <t>SECURITY BANK - LAZADA</t>
  </si>
  <si>
    <t>SECURITY BANK RTA</t>
  </si>
  <si>
    <t>SETTLEMENT ACCOUNT FOR CORPORATE PARTNER</t>
  </si>
  <si>
    <t>TOTAL</t>
  </si>
  <si>
    <t>Running Balance</t>
  </si>
  <si>
    <t>Paid Service Charge</t>
  </si>
  <si>
    <t>Accounts Payable to Partner</t>
  </si>
  <si>
    <t>Service Charge</t>
  </si>
  <si>
    <t>BPW undeducted</t>
  </si>
  <si>
    <t>BPX undeducted</t>
  </si>
  <si>
    <t>Audit findings</t>
  </si>
  <si>
    <t>Others</t>
  </si>
  <si>
    <t>Accounts Receivable from Partner</t>
  </si>
  <si>
    <t>BILLS PAYMENT SERVICE CHARGE RECEIVABLES</t>
  </si>
  <si>
    <t>AGING</t>
  </si>
  <si>
    <t>PARTNER</t>
  </si>
  <si>
    <t>AMOUNT</t>
  </si>
  <si>
    <t>REMARKS</t>
  </si>
  <si>
    <t>CURRENT</t>
  </si>
  <si>
    <t>1-30 DAYS</t>
  </si>
  <si>
    <t>31-60 DAYS</t>
  </si>
  <si>
    <t>61-90 DAYS</t>
  </si>
  <si>
    <t>90 DAYS</t>
  </si>
  <si>
    <t>OVER 90 DAYS</t>
  </si>
  <si>
    <t>PLDT</t>
  </si>
  <si>
    <t>NORECO</t>
  </si>
  <si>
    <t>HAPPY WELL</t>
  </si>
  <si>
    <t>RELEVANTTECH 5-DSP</t>
  </si>
  <si>
    <t>RELEVANTTECH 6-DSP</t>
  </si>
  <si>
    <t>RELEVANTTECH 6-PROJECT</t>
  </si>
  <si>
    <t>RELEVANTTECH 5-PROJECT</t>
  </si>
  <si>
    <t>RELEVANTTECH 5-SUB DEALER</t>
  </si>
  <si>
    <t>RELEVANTTECH 6-SUB DEALER</t>
  </si>
  <si>
    <t>MANILA WATER VENTURE</t>
  </si>
  <si>
    <t>OBANDO WATER</t>
  </si>
  <si>
    <t>LAGUNA WATER CORP</t>
  </si>
  <si>
    <t>PAL</t>
  </si>
  <si>
    <t>RYKOM</t>
  </si>
  <si>
    <t>WATER PHILS</t>
  </si>
  <si>
    <t>CITY SAVINGS</t>
  </si>
  <si>
    <t>CEBU GEMS</t>
  </si>
  <si>
    <t>ASIALINK</t>
  </si>
  <si>
    <t>DAVAO LIGHT</t>
  </si>
  <si>
    <t>COTABATO LIGHT</t>
  </si>
  <si>
    <t>ANECO - COLLECTION</t>
  </si>
  <si>
    <t>GENTRADE</t>
  </si>
  <si>
    <t>POWERCYCLE</t>
  </si>
  <si>
    <t>UNISTAR-FINANCE</t>
  </si>
  <si>
    <t>UNISTAR-CUSTOMER</t>
  </si>
  <si>
    <t>MILLENIUM</t>
  </si>
  <si>
    <t>MAKATI-CUSTOMER</t>
  </si>
  <si>
    <t>MAKATI-FINANCE</t>
  </si>
  <si>
    <t>MICROVENTURES</t>
  </si>
  <si>
    <t>DRAGONPAY</t>
  </si>
  <si>
    <t>CIS BAYAD CENTER</t>
  </si>
  <si>
    <t>RAFI MICROFINANCE</t>
  </si>
  <si>
    <t>RCBC-DWIGHT STEEL</t>
  </si>
  <si>
    <t>RCBC-EASTERN VISAYAS</t>
  </si>
  <si>
    <t>LDS - ONLINE STORE</t>
  </si>
  <si>
    <t>LDS - PEF LOAN</t>
  </si>
  <si>
    <t>LDS - REMITTANCE</t>
  </si>
  <si>
    <t>LDS - SAR</t>
  </si>
  <si>
    <t>JTIP</t>
  </si>
  <si>
    <t>SERVIAMUS</t>
  </si>
  <si>
    <t>DATE OF TRANSACTION</t>
  </si>
  <si>
    <t>REFERENCE</t>
  </si>
  <si>
    <t>ACCOUNT NAME</t>
  </si>
  <si>
    <t>ACCOUNT NO.</t>
  </si>
  <si>
    <t>BP PARTNER</t>
  </si>
  <si>
    <t>TOTAL PER BP</t>
  </si>
  <si>
    <t>ROEL SILVANO SAYSON</t>
  </si>
  <si>
    <t>DRAGON PAY CORPORATION</t>
  </si>
  <si>
    <t>not allowed for reversal, successfully posted to their partner</t>
  </si>
  <si>
    <t>BPW00111914906605</t>
  </si>
  <si>
    <t>TERESA CENIZA PALCIS</t>
  </si>
  <si>
    <t>2020-02-14 15:39:41 PM</t>
  </si>
  <si>
    <t>PARTNER NOT ALLOWED FOR MANUAL ADJUSTMENT</t>
  </si>
  <si>
    <t>2020-06-01 11:39:02 AM</t>
  </si>
  <si>
    <t>2020-06-26 21:02:18 PM</t>
  </si>
  <si>
    <t>Lending refused to cancel due to customer have reloan again </t>
  </si>
  <si>
    <t>SUMMARY:</t>
  </si>
  <si>
    <t>BPX UNDEDUCTED</t>
  </si>
  <si>
    <t>DATE</t>
  </si>
  <si>
    <t>TOTAL AMOUNT PER BP</t>
  </si>
  <si>
    <t>REASON</t>
  </si>
  <si>
    <t>2021-05-01 09:50:44</t>
  </si>
  <si>
    <t>BPX00110162242105</t>
  </si>
  <si>
    <t>LEVINIA COLEGA SEGUIN</t>
  </si>
  <si>
    <t>unposted and undeductec on agent wallet balance</t>
  </si>
  <si>
    <t>emailed 05/08/2021</t>
  </si>
  <si>
    <t>2021-06-02 15:29:37</t>
  </si>
  <si>
    <t>BPX00110220819606</t>
  </si>
  <si>
    <t>NCDIMARUCUT2851</t>
  </si>
  <si>
    <t>unposted and undeducted on agent wallet balance</t>
  </si>
  <si>
    <t>waiting for partner's approval</t>
  </si>
  <si>
    <t>2021-06-02 16:00:14</t>
  </si>
  <si>
    <t>BPX00110271350306</t>
  </si>
  <si>
    <t>2021-02-26 10:45:12 AM</t>
  </si>
  <si>
    <t>BPX00112625562102</t>
  </si>
  <si>
    <t>danertagadan38</t>
  </si>
  <si>
    <t>still no transaction yet; for adjustment</t>
  </si>
  <si>
    <t>2021-05-03 11:43:23</t>
  </si>
  <si>
    <t>BPX00110369639605</t>
  </si>
  <si>
    <t>ARGY GUMANGAN CAASI</t>
  </si>
  <si>
    <t>emailed partner for approval, last ff. 4/20/22</t>
  </si>
  <si>
    <t>2020-10-20 09:50:20 AM</t>
  </si>
  <si>
    <t>BPX00112043226410</t>
  </si>
  <si>
    <t>CATHERINE IMPRON COSEP</t>
  </si>
  <si>
    <t>SKYPAY</t>
  </si>
  <si>
    <t>not allowed for reversal</t>
  </si>
  <si>
    <t>2020-10-20 09:54:39 AM</t>
  </si>
  <si>
    <t>BPX00112045653210</t>
  </si>
  <si>
    <t>2020-10-20 11:03:35 AM</t>
  </si>
  <si>
    <t>BPX00112068500310</t>
  </si>
  <si>
    <t>EPHRAINE NICOLE GO REDONA</t>
  </si>
  <si>
    <t>2020-10-20 10:57:43 AM</t>
  </si>
  <si>
    <t>BPX00112073845610</t>
  </si>
  <si>
    <t>2020-10-21 10:46:04 AM</t>
  </si>
  <si>
    <t>BPX00112160978010</t>
  </si>
  <si>
    <t>MARY GRACE LUMBANG LAREZA</t>
  </si>
  <si>
    <t>Lending not approved</t>
  </si>
  <si>
    <t>2020-10-20 01:13:12 PM</t>
  </si>
  <si>
    <t>BPX00112020551910</t>
  </si>
  <si>
    <t>RAISA HARMONY CHOMAPOY LALO</t>
  </si>
  <si>
    <t>2020-10-21 10:45:46 AM</t>
  </si>
  <si>
    <t>BPX00112168377610</t>
  </si>
  <si>
    <t>RODEL CARANZO BENITEZ</t>
  </si>
  <si>
    <t>2021-01-03 10:28:03 AM</t>
  </si>
  <si>
    <t>BPX00110369653401</t>
  </si>
  <si>
    <t>ASUGAO, BENJIE PEPITO</t>
  </si>
  <si>
    <t>posted on your web report but unposted and undeducted to our transaction history report</t>
  </si>
  <si>
    <t>2021-01-11 09:55:00 AM</t>
  </si>
  <si>
    <t>BPX00111136906601</t>
  </si>
  <si>
    <t>MENIANO, LORELIE REYES</t>
  </si>
  <si>
    <t>2019-12-28 03:34:30 PM</t>
  </si>
  <si>
    <t>BPX00112831443712</t>
  </si>
  <si>
    <t>ERIC SAWATI CATTE</t>
  </si>
  <si>
    <t>2019-12-28 03:36:31 PM</t>
  </si>
  <si>
    <t>BPX00112841790612</t>
  </si>
  <si>
    <t>2020-01-08 04:14:23 PM</t>
  </si>
  <si>
    <t>BPX00110812123701</t>
  </si>
  <si>
    <t>CATHERINE DEMAOSA ENDOMA</t>
  </si>
  <si>
    <t>With receipt but reference not match</t>
  </si>
  <si>
    <t>lending not approved</t>
  </si>
  <si>
    <t>2020-01-07 02:07:25 PM</t>
  </si>
  <si>
    <t>BPX00110728689001</t>
  </si>
  <si>
    <t>Lending not approved due to customer have repeat loan</t>
  </si>
  <si>
    <t>2020-01-07 10:58:53 AM</t>
  </si>
  <si>
    <t>BPX00110731901801</t>
  </si>
  <si>
    <t>NOT APPROVED TO CANCEL due to customer account already settled in lending’s end</t>
  </si>
  <si>
    <t>2020-01-07 04:47:10 PM</t>
  </si>
  <si>
    <t>BPX00110736885101</t>
  </si>
  <si>
    <t>JOCELYN CIRUELA SAKAY</t>
  </si>
  <si>
    <t>2020-01-07 04:49:08 PM</t>
  </si>
  <si>
    <t>BPX00110767047801</t>
  </si>
  <si>
    <t>2020-01-08 01:28:39 PM</t>
  </si>
  <si>
    <t>BPX00110866032201</t>
  </si>
  <si>
    <t>EILYN ABROGENA DIZON</t>
  </si>
  <si>
    <t>2020-01-07 06:13:42 PM</t>
  </si>
  <si>
    <t>BPX00110756498901</t>
  </si>
  <si>
    <t>FRANCISCO JR DILIM AGBAYANI</t>
  </si>
  <si>
    <t>As per Agent no Transaction Found</t>
  </si>
  <si>
    <t>2020-01-07 06:25:44 PM</t>
  </si>
  <si>
    <t>BPX00110792610001</t>
  </si>
  <si>
    <t>GAYLE GARCIA BENITO</t>
  </si>
  <si>
    <t>2020-01-08 04:14:11 PM</t>
  </si>
  <si>
    <t>BPX00110828458101</t>
  </si>
  <si>
    <t>MARY GRACE TALLONGON ASWIT</t>
  </si>
  <si>
    <t>No receipt- unreflected on agent's transaction history</t>
  </si>
  <si>
    <t>2020-01-07 05:28:37 PM</t>
  </si>
  <si>
    <t>BPX00110795931701</t>
  </si>
  <si>
    <t>RICRAI444</t>
  </si>
  <si>
    <t>With receipt</t>
  </si>
  <si>
    <t>2020-02-10 01:18:21 PM</t>
  </si>
  <si>
    <t>BPX00111091107602</t>
  </si>
  <si>
    <t>RONALD CABBAB VILORIA</t>
  </si>
  <si>
    <t>2020-03-04 08:38:24 AM</t>
  </si>
  <si>
    <t>BPX00110464917103</t>
  </si>
  <si>
    <t>ALIENA EQUIZA BALBABOCO</t>
  </si>
  <si>
    <t>2020-09-23 13:29:15</t>
  </si>
  <si>
    <t>BPX00112351848709</t>
  </si>
  <si>
    <t xml:space="preserve">BALBABOCO, ALIENA EQUIZA </t>
  </si>
  <si>
    <t>undeducted</t>
  </si>
  <si>
    <t>2020-10-20 09:59:52</t>
  </si>
  <si>
    <t>BPX00112046761910</t>
  </si>
  <si>
    <t xml:space="preserve">COSEP, CATHERINE IMPRON </t>
  </si>
  <si>
    <t>11/26/2020</t>
  </si>
  <si>
    <t>BPX00112620499611</t>
  </si>
  <si>
    <t>Raisasmile25</t>
  </si>
  <si>
    <t>2021-03-27 13:49:07</t>
  </si>
  <si>
    <t>BPX00112724854603</t>
  </si>
  <si>
    <t>MLWkimpav13</t>
  </si>
  <si>
    <t>2021-05-11 09:24:54</t>
  </si>
  <si>
    <t>BPX00111182130705</t>
  </si>
  <si>
    <t>CERVANTES, MARICEL TOLENTINO</t>
  </si>
  <si>
    <t>emailed partner for approval, last ff. 6/07/22</t>
  </si>
  <si>
    <t>2020-09-30 10:59:10</t>
  </si>
  <si>
    <t>BPX00113081738409</t>
  </si>
  <si>
    <t xml:space="preserve">ERRO, RUSSELL BALUNSAT </t>
  </si>
  <si>
    <t>NOT ALLOWED FOR REVERSAL</t>
  </si>
  <si>
    <t>BPX00110147613603</t>
  </si>
  <si>
    <t>PLDT/miseal dio caliso/3800282288</t>
  </si>
  <si>
    <t>WRONG BILLER</t>
  </si>
  <si>
    <t>BPX00110318213610</t>
  </si>
  <si>
    <t>PLDT/ANGEL BAES/719582915</t>
  </si>
  <si>
    <t>BPX00110360392505</t>
  </si>
  <si>
    <t>EMELYN S DE DIOS/316891950</t>
  </si>
  <si>
    <t>BPX00110441663511</t>
  </si>
  <si>
    <t>PLDT/Amor Solo/246042489</t>
  </si>
  <si>
    <t>VOID TRANSACTION(Agent request to cancel since no payment received from customer but deducted from agent's account)</t>
  </si>
  <si>
    <t>BPX00110485143504</t>
  </si>
  <si>
    <t>PLDT/HERNAN  TABAN/0323001200</t>
  </si>
  <si>
    <t>unposted and undeducted to agent wallet balance</t>
  </si>
  <si>
    <t>BPX00110563170607</t>
  </si>
  <si>
    <t>randolph de sagun huertas/0272478430</t>
  </si>
  <si>
    <t>Undeducted/No Payment Received</t>
  </si>
  <si>
    <t>BPX00110651885506</t>
  </si>
  <si>
    <t>RODRIGO  TENORIO/0290977045</t>
  </si>
  <si>
    <t>BPX00110670784806</t>
  </si>
  <si>
    <t>mitchelle  utrillo/0303434356</t>
  </si>
  <si>
    <t>BPX00110676465206</t>
  </si>
  <si>
    <t>JOEY  MANIBUG/0326268151</t>
  </si>
  <si>
    <t>BPX00110682696606</t>
  </si>
  <si>
    <t>BPX00110682872606</t>
  </si>
  <si>
    <t>BPX00110698117406</t>
  </si>
  <si>
    <t>BPX00112581607004</t>
  </si>
  <si>
    <t>BACAY, ROSEMARIE G/338203953</t>
  </si>
  <si>
    <t>Payment returned to customer due to system error</t>
  </si>
  <si>
    <t>BPX00112869747103</t>
  </si>
  <si>
    <t>PLDT/FADZMINA TIMPAHAN SAPPAL/0301308639</t>
  </si>
  <si>
    <t>BPX00112949349603</t>
  </si>
  <si>
    <t>PLDT/joan  mendoza/0252770402</t>
  </si>
  <si>
    <t>BPX00112967437403</t>
  </si>
  <si>
    <t>BPX00110634707206</t>
  </si>
  <si>
    <t>VALLE, PEDRO/UP</t>
  </si>
  <si>
    <t>MCWD</t>
  </si>
  <si>
    <t>waiting for refund</t>
  </si>
  <si>
    <t>FOR REFUND (RECEIVABLE)</t>
  </si>
  <si>
    <t>PERIOD</t>
  </si>
  <si>
    <t>PARTNERS</t>
  </si>
  <si>
    <t>TXN DATE</t>
  </si>
  <si>
    <t>REFERENCE NUMBER</t>
  </si>
  <si>
    <t>AUGUST 2019</t>
  </si>
  <si>
    <t>AIR YOU GO TRAVELS PHILS. CO.</t>
  </si>
  <si>
    <t>8/29/2019</t>
  </si>
  <si>
    <t>CV#293380;BDO001091</t>
  </si>
  <si>
    <t>SEPTEMBER 2018</t>
  </si>
  <si>
    <t>9/16/2018</t>
  </si>
  <si>
    <t>CV#253793;BPI00820</t>
  </si>
  <si>
    <t>1000.00 unadjusted</t>
  </si>
  <si>
    <t>SEPTEMBER 2019</t>
  </si>
  <si>
    <t>9/28-29/2019</t>
  </si>
  <si>
    <t>BPP58612432337407</t>
  </si>
  <si>
    <t>Cotabato Light &amp; Power Company</t>
  </si>
  <si>
    <t>Sept. 1 &amp; 28</t>
  </si>
  <si>
    <t>APRIL 2021</t>
  </si>
  <si>
    <t>DAVAO LIGHTS &amp; POWER CO., INC.</t>
  </si>
  <si>
    <t>BDO001499</t>
  </si>
  <si>
    <t>JANUARY 2018</t>
  </si>
  <si>
    <t>01/16/2018</t>
  </si>
  <si>
    <t>BPP98111829462712</t>
  </si>
  <si>
    <t>NOVEMBER 2017</t>
  </si>
  <si>
    <t>BPP54112713830110</t>
  </si>
  <si>
    <t>NOVEMBER 2018</t>
  </si>
  <si>
    <t>JCASS TOURS AND TRAVEL</t>
  </si>
  <si>
    <t>11/20/2018</t>
  </si>
  <si>
    <t>268070;CV#261275;JCASS00031</t>
  </si>
  <si>
    <t>JULY 2019</t>
  </si>
  <si>
    <t>NEGROS ORIENTAL ELECTRIC COOP. (JACULBE)</t>
  </si>
  <si>
    <t>7/18/2019</t>
  </si>
  <si>
    <t>BPW00110611869404</t>
  </si>
  <si>
    <t>AUGUST 2017</t>
  </si>
  <si>
    <t>PAYSAVED PAYMENT SOLUTIONS</t>
  </si>
  <si>
    <t>08/20/2017</t>
  </si>
  <si>
    <t>CV#210073;PAYSAVED0013</t>
  </si>
  <si>
    <t>JULY 2017</t>
  </si>
  <si>
    <t>07/25/2017</t>
  </si>
  <si>
    <t>CV#206416;PAYSAVED0006</t>
  </si>
  <si>
    <t>MAY 2017</t>
  </si>
  <si>
    <t>05/27/2017</t>
  </si>
  <si>
    <t>CV#198054;PAYSAVED0003</t>
  </si>
  <si>
    <t>DECEMBER 2019</t>
  </si>
  <si>
    <t>12/26/2019</t>
  </si>
  <si>
    <t>BPP83622421569012</t>
  </si>
  <si>
    <t>JANUARY 2021</t>
  </si>
  <si>
    <t>RST TELECOMS</t>
  </si>
  <si>
    <t>BDOCHECK0858</t>
  </si>
  <si>
    <t>SHOP4FUN INC.</t>
  </si>
  <si>
    <t>CV#294407;BDO0010697</t>
  </si>
  <si>
    <t>FEBRUARY 2019</t>
  </si>
  <si>
    <t>SKYBRIDGE PAYMENT INC.</t>
  </si>
  <si>
    <t>2/22/2019</t>
  </si>
  <si>
    <t>BPP50312050499702</t>
  </si>
  <si>
    <t>JANUARY 2020</t>
  </si>
  <si>
    <t>Variance in CSO service charge</t>
  </si>
  <si>
    <t>MARCH 2020</t>
  </si>
  <si>
    <t>3/6-8/2020</t>
  </si>
  <si>
    <t>CV#318984;METRO01231</t>
  </si>
  <si>
    <t>TELEPRENEUR CORP.</t>
  </si>
  <si>
    <t>BPP81320633256203</t>
  </si>
  <si>
    <t>BPP08860713778303</t>
  </si>
  <si>
    <t>BPP20020844610903</t>
  </si>
  <si>
    <t>BPP07853097876701</t>
  </si>
  <si>
    <t>BPP54851278818803</t>
  </si>
  <si>
    <t>BPP22521536261303</t>
  </si>
  <si>
    <t>BPP74962178135303</t>
  </si>
  <si>
    <t>BPP07362777210103</t>
  </si>
  <si>
    <t>TELEPRENEURS CORP.</t>
  </si>
  <si>
    <t>12/17/2019</t>
  </si>
  <si>
    <t>BPP88821673971612</t>
  </si>
  <si>
    <t>TRAVELONLINE PHILIPPINES INC.</t>
  </si>
  <si>
    <t>CV#218772;BDO00051</t>
  </si>
  <si>
    <t>COTABATO LIGHT &amp; POWER COMPANY</t>
  </si>
  <si>
    <t>TOTAL:</t>
  </si>
  <si>
    <t>DOUBLE POSTING</t>
  </si>
  <si>
    <t>BPI-RTA</t>
  </si>
  <si>
    <t>CHINABANK-RTA</t>
  </si>
  <si>
    <t>BENEFICIARY NAME</t>
  </si>
  <si>
    <t>BENEFICIARY DETAILS</t>
  </si>
  <si>
    <t>OPERATOR</t>
  </si>
  <si>
    <t>REASONS</t>
  </si>
  <si>
    <t>CAD REMARKS</t>
  </si>
  <si>
    <t> AMOUNT </t>
  </si>
  <si>
    <t>CHINABANK REMARKS</t>
  </si>
  <si>
    <t>04/20/21</t>
  </si>
  <si>
    <t>BPP45212043371604</t>
  </si>
  <si>
    <r>
      <rPr>
        <sz val="8"/>
        <color indexed="8"/>
        <rFont val="Cambria"/>
        <family val="1"/>
        <scheme val="major"/>
      </rPr>
      <t>SANCHEZ, GINA C</t>
    </r>
  </si>
  <si>
    <t>ML SINDANGAN</t>
  </si>
  <si>
    <t>Emailed 05.12.21</t>
  </si>
  <si>
    <t>Partner was able to contact the client last Friday and as per conversation, she can'y pat it one time.</t>
  </si>
  <si>
    <t xml:space="preserve">QUERY NUMBER 
(Partner tracking reference number) </t>
  </si>
  <si>
    <t>LOCAL REFERENCE NO.</t>
  </si>
  <si>
    <t>TRACE NO.</t>
  </si>
  <si>
    <t>TARGET ACCOUNT</t>
  </si>
  <si>
    <t xml:space="preserve">TRANSACTION DATE </t>
  </si>
  <si>
    <t>TRANSACTION TIME</t>
  </si>
  <si>
    <t xml:space="preserve"> TRANSACTION AMOUNT </t>
  </si>
  <si>
    <t xml:space="preserve"> DISPUTED AMOUNT FOR REVERSAL </t>
  </si>
  <si>
    <t xml:space="preserve"> REASON FOR REVERSAL</t>
  </si>
  <si>
    <t>DETAILS</t>
  </si>
  <si>
    <t>REPROCESSED TRANSACTION?</t>
  </si>
  <si>
    <t>SUPPORTING DOCUMENTS</t>
  </si>
  <si>
    <t>DATE SENT (Suppporting Documents)</t>
  </si>
  <si>
    <t>BRANCHES</t>
  </si>
  <si>
    <t>WRONG ACCOUNT NUMBER</t>
  </si>
  <si>
    <t>Correct Account Number '0061000128053</t>
  </si>
  <si>
    <t>NO</t>
  </si>
  <si>
    <t>YES, IR and Customer's form</t>
  </si>
  <si>
    <t>LAZADA INC INC</t>
  </si>
  <si>
    <t>YES</t>
  </si>
  <si>
    <t>ML LAOAC</t>
  </si>
  <si>
    <t xml:space="preserve">BN-120922-56874 </t>
  </si>
  <si>
    <t>BPP06910925267112</t>
  </si>
  <si>
    <t>SECURITY BANK LAZADA</t>
  </si>
  <si>
    <t xml:space="preserve">'061000128053 </t>
  </si>
  <si>
    <t>ML LAPU-LAPU 5</t>
  </si>
  <si>
    <t xml:space="preserve">BN-122822-58883 </t>
  </si>
  <si>
    <t>BPP88722860340912</t>
  </si>
  <si>
    <t xml:space="preserve">INC LAZADA </t>
  </si>
  <si>
    <t xml:space="preserve">'00061000128053 </t>
  </si>
  <si>
    <t>Correct Account Number '0061000128053 &amp; Correct Transaction BN-122822-58889 / BPP88722866616912</t>
  </si>
  <si>
    <t>ML IBAYO SILANGAN 2</t>
  </si>
  <si>
    <t xml:space="preserve">LAZADA INC LAZADA INC </t>
  </si>
  <si>
    <t xml:space="preserve">'0061000128053 </t>
  </si>
  <si>
    <t>YES, IR and Validated Receipt</t>
  </si>
  <si>
    <t xml:space="preserve">BN-123022-56524 </t>
  </si>
  <si>
    <t>BPP05423080379712</t>
  </si>
  <si>
    <t xml:space="preserve">SECURITY LAZADA </t>
  </si>
  <si>
    <t xml:space="preserve">'61000128053 </t>
  </si>
  <si>
    <t>ML SUSANO ROAD</t>
  </si>
  <si>
    <t>ML MADAPDAP</t>
  </si>
  <si>
    <t xml:space="preserve">BN-121622-57032 </t>
  </si>
  <si>
    <t>BPP57121698693812</t>
  </si>
  <si>
    <t xml:space="preserve">INC  LAZADA  </t>
  </si>
  <si>
    <t>ML NAIC CAVITE</t>
  </si>
  <si>
    <t xml:space="preserve">BN-122222-56790 </t>
  </si>
  <si>
    <t>BPP97822261481012</t>
  </si>
  <si>
    <t xml:space="preserve">RANNIE CASANOVA </t>
  </si>
  <si>
    <t>OVERSTATED AMOUNT  PHP 4,935.00 INSTEAD OF PHP 435.00 WITH THE DIFFERENCE OF PHP 4,500.00.</t>
  </si>
  <si>
    <t>Correct Amount should only be PHP 435.00</t>
  </si>
  <si>
    <t>ML BALLEZER</t>
  </si>
  <si>
    <t xml:space="preserve">BN-122722-55426 </t>
  </si>
  <si>
    <t>BPP97822790582112</t>
  </si>
  <si>
    <t xml:space="preserve">JESSICA GARCIA </t>
  </si>
  <si>
    <t>OVERSTATED AMOUNT  PHP 10,897.00 INSTEAD OF PHP 5,897.00 WITH THE DIFFERENCE OF PHP 5,000.00.</t>
  </si>
  <si>
    <t>Correct Amount should only be PHP 5,897.00</t>
  </si>
  <si>
    <t>ML BINANGONAN</t>
  </si>
  <si>
    <t xml:space="preserve">BN-123022-57182 </t>
  </si>
  <si>
    <t>BPP09923074057212</t>
  </si>
  <si>
    <t xml:space="preserve">SECURITY BANK SECURITY BANK </t>
  </si>
  <si>
    <t>NO PAYMENT RECEIVED DUE TO FLA RETURNED THE PAYMENT TO CUSTOMER</t>
  </si>
  <si>
    <t>Branch operator returned the payment due to error on our end.</t>
  </si>
  <si>
    <t>ML REAL, CALAMBA</t>
  </si>
  <si>
    <t>ML PASIG 2</t>
  </si>
  <si>
    <t xml:space="preserve">BN-122422-53121 </t>
  </si>
  <si>
    <t>BPP42722472681512</t>
  </si>
  <si>
    <t>ML AGUILAR, PANGASINAN</t>
  </si>
  <si>
    <t xml:space="preserve">BN-010423-57062 </t>
  </si>
  <si>
    <t>BPP57120432420201</t>
  </si>
  <si>
    <t xml:space="preserve">BN-010623-57790 </t>
  </si>
  <si>
    <t>BPP58170659638701</t>
  </si>
  <si>
    <t xml:space="preserve">LAZADA INC </t>
  </si>
  <si>
    <t>Correct Account Number '0061000128053 &amp; Correct Transaction BN-020823-55468 / BPP58170864854202</t>
  </si>
  <si>
    <t>ML SAPANG MAISAC</t>
  </si>
  <si>
    <t xml:space="preserve">BN-120722-55923 </t>
  </si>
  <si>
    <t>BPP24020779981912</t>
  </si>
  <si>
    <t>Correct Account Number '0061000128053 &amp; Correct Transaction BN-120722-55932 / BPP24020793297812</t>
  </si>
  <si>
    <t>ML DIVISORIA</t>
  </si>
  <si>
    <t xml:space="preserve">BN-010923-54966 </t>
  </si>
  <si>
    <t>BPP04380970857201</t>
  </si>
  <si>
    <t xml:space="preserve">LAZADA LAZADA </t>
  </si>
  <si>
    <t>ML BAGUMBAYAN TAGUIG</t>
  </si>
  <si>
    <t>ML ARAYAT CUBAO QUEZON CITY</t>
  </si>
  <si>
    <t xml:space="preserve">BN-011723-55696 </t>
  </si>
  <si>
    <t>BPP23571714878201</t>
  </si>
  <si>
    <t>ML SAN LUIS BATANGAS</t>
  </si>
  <si>
    <t xml:space="preserve">BN-012023-58864 </t>
  </si>
  <si>
    <t>BPP16722080407501</t>
  </si>
  <si>
    <t>ML BAY  LAGUNA</t>
  </si>
  <si>
    <t xml:space="preserve">BN-012023-59699 </t>
  </si>
  <si>
    <t>BPP66422055419601</t>
  </si>
  <si>
    <t>OVERSTATED AMOUNT  PHP 9,346.38 INSTEAD OF PHP 7,611.76 WITH THE DIFFERENCE OF PHP 1,734.62.</t>
  </si>
  <si>
    <t>Correct Amount should only be PHP 7,611.76</t>
  </si>
  <si>
    <t>ML PADRE GARCIA</t>
  </si>
  <si>
    <t>ML ANGONO</t>
  </si>
  <si>
    <t xml:space="preserve">BN-013123-58141 </t>
  </si>
  <si>
    <t>BPP57223114167301</t>
  </si>
  <si>
    <t>OVERSTATED AMOUNT  PHP 8,177.48 INSTEAD OF PHP 3,177.48 WITH THE DIFFERENCE OF PHP 5,000.00.</t>
  </si>
  <si>
    <t>Correct Amount should only be PHP 3,117.48</t>
  </si>
  <si>
    <t>ML NOVELETA</t>
  </si>
  <si>
    <t xml:space="preserve">BANK SECURITY  </t>
  </si>
  <si>
    <t xml:space="preserve">LAZADA SECURITY BANK </t>
  </si>
  <si>
    <t>ML ANGONO 2</t>
  </si>
  <si>
    <t xml:space="preserve">BN-020423-57110 </t>
  </si>
  <si>
    <t>BPP51770417069202</t>
  </si>
  <si>
    <t>OVERSTATED AMOUNT  PHP 11,801.10 INSTEAD OF PHP 1.801.10 WITH THE DIFFERENCE OF PHP 10,000.00.</t>
  </si>
  <si>
    <t>Correct Amount should only be PHP 1,801.10</t>
  </si>
  <si>
    <t>ML MASAPANG VICTORIA LAGUNA</t>
  </si>
  <si>
    <t xml:space="preserve">BANK SECURITY </t>
  </si>
  <si>
    <t xml:space="preserve">INC LAZADA INC </t>
  </si>
  <si>
    <t>ML CROSSING N.E.</t>
  </si>
  <si>
    <t>ML ZARAGOSA, TONDO</t>
  </si>
  <si>
    <t xml:space="preserve">BN-021023-56391 </t>
  </si>
  <si>
    <t>BPP04721085809702</t>
  </si>
  <si>
    <t xml:space="preserve">BN-021123-54277 </t>
  </si>
  <si>
    <t>BPP33621168768902</t>
  </si>
  <si>
    <t>OVERSTATED AMOUNT  PHP 6,783.19 INSTEAD OF PHP 6,483.19 WITH THE DIFFERENCE OF PHP 300.00.</t>
  </si>
  <si>
    <t>Correct Amount should only be PHP 6,483.19</t>
  </si>
  <si>
    <t>ML SUAL</t>
  </si>
  <si>
    <t xml:space="preserve">BN-021023-55318 </t>
  </si>
  <si>
    <t>BPP50371063845602</t>
  </si>
  <si>
    <t>ML PURA TARLAC</t>
  </si>
  <si>
    <t xml:space="preserve">BN-021023-55435 </t>
  </si>
  <si>
    <t>BPP78321063072602</t>
  </si>
  <si>
    <t>ML VILLASIS</t>
  </si>
  <si>
    <t>TRIPLE POSTING</t>
  </si>
  <si>
    <t xml:space="preserve">BN-021223-50048 </t>
  </si>
  <si>
    <t>BPP10881224448302</t>
  </si>
  <si>
    <t>ML T.S. CRUZ ALMANZA DOS</t>
  </si>
  <si>
    <t xml:space="preserve">BN-021223-50058 </t>
  </si>
  <si>
    <t>BPP18421215481602</t>
  </si>
  <si>
    <t>ML DR. A. SANTOS AVENUE</t>
  </si>
  <si>
    <t xml:space="preserve">BN-022023-62412 </t>
  </si>
  <si>
    <t>BPP45272095247702</t>
  </si>
  <si>
    <t xml:space="preserve">BN-022623-51851 </t>
  </si>
  <si>
    <t>BPP54122667414402</t>
  </si>
  <si>
    <t xml:space="preserve">LAZDA PH LAZADA PH </t>
  </si>
  <si>
    <t xml:space="preserve">BN-022523-51471 </t>
  </si>
  <si>
    <t>BPP45672594041002</t>
  </si>
  <si>
    <t>ML AMAYA</t>
  </si>
  <si>
    <t xml:space="preserve">BN-121022-54972 </t>
  </si>
  <si>
    <t>BPP06151018334512</t>
  </si>
  <si>
    <t>REJECTED - POSTED TRANSACTION</t>
  </si>
  <si>
    <t xml:space="preserve"> </t>
  </si>
  <si>
    <t>ML MANDAUE 5</t>
  </si>
  <si>
    <t xml:space="preserve">BN-022723-54584 </t>
  </si>
  <si>
    <t>BPP93922782809702</t>
  </si>
  <si>
    <t xml:space="preserve">LAZADA INC  </t>
  </si>
  <si>
    <t>OVERSTATED AMOUNT  PHP 2,455.04 INSTEAD OF PHP 2,445.04 WITH THE DIFFERENCE OF PHP 10.00.</t>
  </si>
  <si>
    <t>Correct Amount should only be PHP 2,445.04</t>
  </si>
  <si>
    <t xml:space="preserve">BN-022323-50652 </t>
  </si>
  <si>
    <t>BPP85722393514602</t>
  </si>
  <si>
    <t xml:space="preserve">LAZADA INC ALZADA INC </t>
  </si>
  <si>
    <t xml:space="preserve">BN-030923-57795 </t>
  </si>
  <si>
    <t>BPP26020926509703</t>
  </si>
  <si>
    <t xml:space="preserve">BN-030923-57586 </t>
  </si>
  <si>
    <t>BPP45220920295903</t>
  </si>
  <si>
    <t>ML BALUT, TONDO</t>
  </si>
  <si>
    <t xml:space="preserve">BN-031023-57646 </t>
  </si>
  <si>
    <t>BPP17621041292603</t>
  </si>
  <si>
    <t>OVERSTATED AMOUNT  PHP 29,244.26 INSTEAD OF PHP 29,244.16 WITH THE DIFFERENCE OF PHP 0.10.</t>
  </si>
  <si>
    <t>Correct Amount should only be PHP 29,244.16</t>
  </si>
  <si>
    <t>ML PAMPLONA TRES - STAR MALL LAS PIÑAS</t>
  </si>
  <si>
    <t xml:space="preserve">BN-031223-51937 </t>
  </si>
  <si>
    <t>BPP93421274818203</t>
  </si>
  <si>
    <t>ML MAHARLIKA</t>
  </si>
  <si>
    <t xml:space="preserve">BN-031323-58043 </t>
  </si>
  <si>
    <t>BPP85721386916003</t>
  </si>
  <si>
    <t xml:space="preserve">LAZADA INC  LAZADA INC  </t>
  </si>
  <si>
    <t xml:space="preserve">BN-031423-59313 </t>
  </si>
  <si>
    <t>BPP08111436191703</t>
  </si>
  <si>
    <t>ML CONSOLACION 2</t>
  </si>
  <si>
    <t xml:space="preserve">BN-031623-57681 </t>
  </si>
  <si>
    <t>BPP05471639376003</t>
  </si>
  <si>
    <t>ML SAN JUAN, LA UNION</t>
  </si>
  <si>
    <t xml:space="preserve">BN-031723-57598 </t>
  </si>
  <si>
    <t>BPP52221784456503</t>
  </si>
  <si>
    <t>ML TONDO 1</t>
  </si>
  <si>
    <t xml:space="preserve">BN-032123-55168 </t>
  </si>
  <si>
    <t>BPP17972146439203</t>
  </si>
  <si>
    <t>OVERSTATED AMOUNT  PHP 26,739.96 INSTEAD OF PHP 2,673.96 WITH THE DIFFERENCE OF PHP 24,066.00</t>
  </si>
  <si>
    <t>Correct Amount should only be PHP 2,673.96</t>
  </si>
  <si>
    <t>ML MAAHAS LOS BANOS LAGUNA</t>
  </si>
  <si>
    <t xml:space="preserve">BN-032123-55816 </t>
  </si>
  <si>
    <t>BPP56022168045403</t>
  </si>
  <si>
    <t>OVERSTATED AMOUNT  PHP 26,589.15 INSTEAD OF PHP 10,610.01 WITH THE DIFFERENCE OF PHP 15,979.14</t>
  </si>
  <si>
    <t>Correct Amount should only be PHP 10,610.01</t>
  </si>
  <si>
    <t>ML AGONCILLO</t>
  </si>
  <si>
    <t xml:space="preserve">BN-032323-57531 </t>
  </si>
  <si>
    <t>BPP45222332690003</t>
  </si>
  <si>
    <t xml:space="preserve">BN-032123-55561 </t>
  </si>
  <si>
    <t>BPP25662157456003</t>
  </si>
  <si>
    <t xml:space="preserve">SECURITY BANK CORP-LAZADA SECURITY BANK CORP-LAZADA </t>
  </si>
  <si>
    <t>ML AGUSAN</t>
  </si>
  <si>
    <t xml:space="preserve">BN-020523-51833 </t>
  </si>
  <si>
    <t>BPP66420538932902</t>
  </si>
  <si>
    <t>ML PANDACAQUI 2, MEXICO BRANCH</t>
  </si>
  <si>
    <t>ML TAYUMAN, MANILA</t>
  </si>
  <si>
    <t xml:space="preserve">BN-040423-56659 </t>
  </si>
  <si>
    <t>BPP53920470382604</t>
  </si>
  <si>
    <t xml:space="preserve">BN-040623-51942 </t>
  </si>
  <si>
    <t>BPP50670624519104</t>
  </si>
  <si>
    <t>OVERSTATED AMOUNT  PHP 2,956.56 INSTEAD OF PHP 2,596.56 WITH THE DIFFERENCE OF PHP 360</t>
  </si>
  <si>
    <t>Correct Amount should only be PHP 2,596.56</t>
  </si>
  <si>
    <t>ML TIMBAO</t>
  </si>
  <si>
    <t xml:space="preserve">BN-040423-57971 </t>
  </si>
  <si>
    <t>BPP85820480798804</t>
  </si>
  <si>
    <t xml:space="preserve">INC LAZADA  </t>
  </si>
  <si>
    <t>OVERSTATED AMOUNT  PHP 7,824.67 INSTEAD OF PHP 1,824.67 WITH THE DIFFERENCE OF PHP 6,000.00</t>
  </si>
  <si>
    <t>Correct Amount should only be PHP 1,824.67</t>
  </si>
  <si>
    <t>ML CAMALIG, MEYCAUAYAN</t>
  </si>
  <si>
    <t xml:space="preserve">BN-041223-56260 </t>
  </si>
  <si>
    <t>BPP23571259239304</t>
  </si>
  <si>
    <t>OVERSTATED AMOUNT  PHP 3,903.50 INSTEAD OF PHP 3,093.50 WITH THE DIFFERENCE OF PHP 810.00</t>
  </si>
  <si>
    <t>Correct Amount should only be PHP 3,093.50</t>
  </si>
  <si>
    <t xml:space="preserve">BN-041223-56237 </t>
  </si>
  <si>
    <t>BPP39821253175604</t>
  </si>
  <si>
    <t>ML MALVAR, BATANGAS</t>
  </si>
  <si>
    <t xml:space="preserve">BN-021723-55148 </t>
  </si>
  <si>
    <t>BPP78321762610402</t>
  </si>
  <si>
    <t xml:space="preserve">BN-030323-55718 </t>
  </si>
  <si>
    <t>BPP40450375622803</t>
  </si>
  <si>
    <t>ML BAKILID MANDAUE</t>
  </si>
  <si>
    <t xml:space="preserve">BN-041423-58110 </t>
  </si>
  <si>
    <t>BPP52721495600404</t>
  </si>
  <si>
    <t xml:space="preserve">BN-042023-58012 </t>
  </si>
  <si>
    <t>BPP18422024675704</t>
  </si>
  <si>
    <t xml:space="preserve">BN-041123-59318 </t>
  </si>
  <si>
    <t>BPP24021146752404</t>
  </si>
  <si>
    <t>OVERSTATED AMOUNT  PHP 12,801.48 INSTEAD OF PHP 4,753.52 WITH THE DIFFERENCE OF PHP 8,047.96</t>
  </si>
  <si>
    <t>Correct Amount should only be PHP 4,753.52</t>
  </si>
  <si>
    <t xml:space="preserve">BN-042223-56994 </t>
  </si>
  <si>
    <t>BPP52722210958204</t>
  </si>
  <si>
    <t>OVERSTATED AMOUNT  PHP 1,444.67 INSTEAD OF PHP 144.67 WITH THE DIFFERENCE OF PHP 1,300.00</t>
  </si>
  <si>
    <t>Correct Amount should only be PHP 144.67</t>
  </si>
  <si>
    <t xml:space="preserve">BN-042223-55874 </t>
  </si>
  <si>
    <t>BPP07222229127104</t>
  </si>
  <si>
    <t>ML BANLAT</t>
  </si>
  <si>
    <t xml:space="preserve">BN-042423-54228 </t>
  </si>
  <si>
    <t>BPP19272443040604</t>
  </si>
  <si>
    <t>ML LANDMASS</t>
  </si>
  <si>
    <t xml:space="preserve">SECURITY LAZADA INC </t>
  </si>
  <si>
    <t xml:space="preserve">BN-011623-59634 </t>
  </si>
  <si>
    <t>BPP06811691942901</t>
  </si>
  <si>
    <t>ML LAPU-LAPU 3</t>
  </si>
  <si>
    <t xml:space="preserve">BN-042823-61638 </t>
  </si>
  <si>
    <t>BPP17672862618304</t>
  </si>
  <si>
    <t>ML MATAIN, SUBIC</t>
  </si>
  <si>
    <t xml:space="preserve">BN-050123-55690 </t>
  </si>
  <si>
    <t>BPP83120151160005</t>
  </si>
  <si>
    <t>OVERSTATED AMOUNT  PHP 11,605.30 INSTEAD OF PHP 11,065.30 WITH THE DIFFERENCE OF PHP 540.00</t>
  </si>
  <si>
    <t>Correct Amount should only be PHP 11,065.30</t>
  </si>
  <si>
    <t xml:space="preserve">BN-042923-55873 </t>
  </si>
  <si>
    <t>BPP17622963691904</t>
  </si>
  <si>
    <t>OVERSTATED AMOUNT  PHP 23,939.41 INSTEAD OF PHP 22,939.41 WITH THE DIFFERENCE OF PHP 1,000.00</t>
  </si>
  <si>
    <t>Correct Amount should only be PHP 22,939.41</t>
  </si>
  <si>
    <t xml:space="preserve">BN-050523-58621 </t>
  </si>
  <si>
    <t>BPP05570583880105</t>
  </si>
  <si>
    <t>OVERSTATED AMOUNT  PHP 21,295.93 INSTEAD OF PHP 2,295.93 WITH THE DIFFERENCE OF PHP 19,000.00</t>
  </si>
  <si>
    <t>Correct Amount should only be PHP 2,295.93</t>
  </si>
  <si>
    <t>ML CAYPOMBO BULACAN</t>
  </si>
  <si>
    <t>ML IBAYO, SILANGAN</t>
  </si>
  <si>
    <t xml:space="preserve">BN-050723-53644 </t>
  </si>
  <si>
    <t>BPP85720719270705</t>
  </si>
  <si>
    <t xml:space="preserve">BANK  SECURITY </t>
  </si>
  <si>
    <t>OVERSTATED AMOUNT  PHP 27,798.68 INSTEAD OF PHP 25,798.68 WITH THE DIFFERENCE OF PHP 2,000.00</t>
  </si>
  <si>
    <t>Correct Amount should only be PHP 25,798.68</t>
  </si>
  <si>
    <t>ML TUNGKONG MANGGA 2</t>
  </si>
  <si>
    <t xml:space="preserve">BN-051623-59493 </t>
  </si>
  <si>
    <t>BPP56821615545205</t>
  </si>
  <si>
    <t>OVERSTATED AMOUNT  PHP 19,784.87 INSTEAD OF PHP 17,003.78.WITH THE DIFFERENCE OF PHP 2,781.09</t>
  </si>
  <si>
    <t>Correct Amount should only be PHP 17,003.78</t>
  </si>
  <si>
    <t xml:space="preserve">LAZADA LAZADA INC </t>
  </si>
  <si>
    <t>ML BACOOR</t>
  </si>
  <si>
    <t xml:space="preserve">BN-052023-58739 </t>
  </si>
  <si>
    <t>BPP61722019111905</t>
  </si>
  <si>
    <t xml:space="preserve">061000128053 </t>
  </si>
  <si>
    <t>ML INDANG CAVITE</t>
  </si>
  <si>
    <t xml:space="preserve">BN-052423-60176 </t>
  </si>
  <si>
    <t>BPP49572460989205</t>
  </si>
  <si>
    <t>NO PAYMENT RECEIVED FROM THE CUSTOMER DUE TO FLA RETURNED THE PAYMENT</t>
  </si>
  <si>
    <t>ML LUCBAN 2</t>
  </si>
  <si>
    <t>ML SAN ILDEFONSO</t>
  </si>
  <si>
    <t>ML STO. DOMINGO ANGELES CITY</t>
  </si>
  <si>
    <t xml:space="preserve">BN-060623-57399 </t>
  </si>
  <si>
    <t>BPP17620664164806</t>
  </si>
  <si>
    <t>Correct Amount should only be PHP 730.79</t>
  </si>
  <si>
    <t xml:space="preserve">BN-061123-50150 </t>
  </si>
  <si>
    <t>BPP85721153023606</t>
  </si>
  <si>
    <t>Correct Amount should only be PHP 3,796.26</t>
  </si>
  <si>
    <t xml:space="preserve">BN-061423-62400 </t>
  </si>
  <si>
    <t>BPP03021442913606</t>
  </si>
  <si>
    <t>Correct Amount should only be PHP 322.35</t>
  </si>
  <si>
    <t>ML MAKATI AVENUE</t>
  </si>
  <si>
    <t xml:space="preserve">BN-061323-59323 </t>
  </si>
  <si>
    <t>BPP46121369934506</t>
  </si>
  <si>
    <t>Correct Amount should only be PHP 3,412.44</t>
  </si>
  <si>
    <t>ML CALASIAO</t>
  </si>
  <si>
    <t xml:space="preserve">BN-061323-61598 </t>
  </si>
  <si>
    <t>BPP85821389659306</t>
  </si>
  <si>
    <t>YES, IR and No Printed receipt due to error</t>
  </si>
  <si>
    <t xml:space="preserve">BN-061923-60189 </t>
  </si>
  <si>
    <t>BPP51771984376206</t>
  </si>
  <si>
    <t>Correct Amount should only be PHP 26,495.97</t>
  </si>
  <si>
    <t xml:space="preserve">BN-061923-61907 </t>
  </si>
  <si>
    <t>BPP22321959865106</t>
  </si>
  <si>
    <t>ML GOLDEN CITY</t>
  </si>
  <si>
    <t xml:space="preserve">BN-061923-61911 </t>
  </si>
  <si>
    <t>BPP36971920613706</t>
  </si>
  <si>
    <t>ML SAN ANTONIO QUEZON</t>
  </si>
  <si>
    <t>ML CORDOVA</t>
  </si>
  <si>
    <t>ML ROSALES</t>
  </si>
  <si>
    <t xml:space="preserve">BN-062723-57658 </t>
  </si>
  <si>
    <t>BPP11422717007106</t>
  </si>
  <si>
    <t>ML ORION, BATAAN</t>
  </si>
  <si>
    <t>ML OLONGAPO 3</t>
  </si>
  <si>
    <t xml:space="preserve">BN-071423-60999 </t>
  </si>
  <si>
    <t>BPP88721431416307</t>
  </si>
  <si>
    <t>Correct Amount should only be PHP 12,579.86</t>
  </si>
  <si>
    <t xml:space="preserve">BN-071423-60513 </t>
  </si>
  <si>
    <t>BPP57121477131407</t>
  </si>
  <si>
    <t>WRONG BILLER - INTENDED FOR MICROVENTURES PHILS. FINANCING COMPANY</t>
  </si>
  <si>
    <t>Correct Biller should MICROVENTURES INC PHIL. FINANCING COMPANY due to FLA wrongly input the biller.</t>
  </si>
  <si>
    <t>ML SAN MIGUEL TAGUIG</t>
  </si>
  <si>
    <t xml:space="preserve">BN-071423-57196 </t>
  </si>
  <si>
    <t>BPP16321427202507</t>
  </si>
  <si>
    <t>ML BROOKSIDE LANE, CAVITE</t>
  </si>
  <si>
    <t xml:space="preserve">SECURITY  LAZADA INC  </t>
  </si>
  <si>
    <t xml:space="preserve">BN-071923-52106 </t>
  </si>
  <si>
    <t>BPP40621934618707</t>
  </si>
  <si>
    <t>ML BIGTE</t>
  </si>
  <si>
    <t xml:space="preserve">BN-073023-54517 </t>
  </si>
  <si>
    <t>BPP10883047400307</t>
  </si>
  <si>
    <t>Correct Amount should only be PHP 14,195.48</t>
  </si>
  <si>
    <t xml:space="preserve">BN-072623-55516 </t>
  </si>
  <si>
    <t>BPP04382654044107</t>
  </si>
  <si>
    <t>YES, IR and Reprocessed Receipt</t>
  </si>
  <si>
    <t xml:space="preserve">BN-080123-58984 </t>
  </si>
  <si>
    <t>BPP52220147058508</t>
  </si>
  <si>
    <t>Correct Amount should only be PHP 3,451.94</t>
  </si>
  <si>
    <t xml:space="preserve">BN-072923-58394 </t>
  </si>
  <si>
    <t>BPP85822933393507</t>
  </si>
  <si>
    <t>'202308080300006247</t>
  </si>
  <si>
    <t>BPP35120811003508</t>
  </si>
  <si>
    <t>LAZADA INC LAZADA INC</t>
  </si>
  <si>
    <t>'0061000128053</t>
  </si>
  <si>
    <t>'August 08</t>
  </si>
  <si>
    <t xml:space="preserve"> 2023 15:56:29</t>
  </si>
  <si>
    <t>Correct Amount should only be PHP 6,731.52</t>
  </si>
  <si>
    <t>ML CASTILLEJOS 2</t>
  </si>
  <si>
    <t>'202308060300001618</t>
  </si>
  <si>
    <t>BPP57820677327808</t>
  </si>
  <si>
    <t>August 06</t>
  </si>
  <si>
    <t xml:space="preserve"> 2023 14:58:13</t>
  </si>
  <si>
    <t>Correct Transaction 202308060300001659 / BPP57820630945708</t>
  </si>
  <si>
    <t xml:space="preserve">BN-080323-60720 </t>
  </si>
  <si>
    <t>BPP22820399469108</t>
  </si>
  <si>
    <t>Correct Amount should only be PHP 4,474.22</t>
  </si>
  <si>
    <t>ML OLONGAPO 4</t>
  </si>
  <si>
    <t>'202308110300005395</t>
  </si>
  <si>
    <t>BPP01961111782608</t>
  </si>
  <si>
    <t>SECURITY BANK - LAZADA SECURITY BANK - LAZADA SECURITY BANK - LAZADA</t>
  </si>
  <si>
    <t>'August 11</t>
  </si>
  <si>
    <t xml:space="preserve"> 2023 15:47:57</t>
  </si>
  <si>
    <t>Correct Amount should only be PHP 10,545.38</t>
  </si>
  <si>
    <t>ML ALAE</t>
  </si>
  <si>
    <t>'202308090300002212</t>
  </si>
  <si>
    <t>BPP94420917551108</t>
  </si>
  <si>
    <t>JOSEPH CHRISTIAN L CUYUGAN</t>
  </si>
  <si>
    <t>'August 09</t>
  </si>
  <si>
    <t xml:space="preserve"> 2023 09:40:11</t>
  </si>
  <si>
    <t>WRONG BILLER - INTENDED FOR PAYNAMICS EXPRESS</t>
  </si>
  <si>
    <t>Correct Biller should be PAYNAMICS EXPRESS due to FLA wrongly input the biller.</t>
  </si>
  <si>
    <t>ML DOWNTOWN, PAMPANGA</t>
  </si>
  <si>
    <t>LAZADA INC LAZADA INC LAZADA INC</t>
  </si>
  <si>
    <t>ML SAN QUINTIN</t>
  </si>
  <si>
    <t>'202308110300005098</t>
  </si>
  <si>
    <t>BPP19271173452408</t>
  </si>
  <si>
    <t xml:space="preserve"> 2023 14:39:53</t>
  </si>
  <si>
    <t>NO PAYMENT RECEIVED FROM THE CUSTOMER</t>
  </si>
  <si>
    <t>INC INC LAZADA</t>
  </si>
  <si>
    <t>ML HARMONY HILLS MUZON</t>
  </si>
  <si>
    <t>'202308110300005306</t>
  </si>
  <si>
    <t>BPP16721124798608</t>
  </si>
  <si>
    <t>LAZADA LAZADA LAZADA</t>
  </si>
  <si>
    <t xml:space="preserve"> 2023 15:28:51</t>
  </si>
  <si>
    <t>'202308110300006142</t>
  </si>
  <si>
    <t>BPP86171111157408</t>
  </si>
  <si>
    <t xml:space="preserve"> 2023 17:13:08</t>
  </si>
  <si>
    <t>MULTIPLE POSTING</t>
  </si>
  <si>
    <t>'202308110300006362</t>
  </si>
  <si>
    <t>BPP86171118445308</t>
  </si>
  <si>
    <t xml:space="preserve"> 2023 17:18:11</t>
  </si>
  <si>
    <t>'202308110300006416</t>
  </si>
  <si>
    <t>BPP86171145006008</t>
  </si>
  <si>
    <t xml:space="preserve"> 2023 17:22:01</t>
  </si>
  <si>
    <t>'202308110300006040</t>
  </si>
  <si>
    <t>BPP86171162197008</t>
  </si>
  <si>
    <t xml:space="preserve"> 2023 17:05:42</t>
  </si>
  <si>
    <t>'202308110300006341</t>
  </si>
  <si>
    <t>BPP86171177666408</t>
  </si>
  <si>
    <t xml:space="preserve"> 2023 17:16:53</t>
  </si>
  <si>
    <t>'202308110300005829</t>
  </si>
  <si>
    <t>BPP86171192487408</t>
  </si>
  <si>
    <t xml:space="preserve"> 2023 16:48:48</t>
  </si>
  <si>
    <t>'202308110300006799</t>
  </si>
  <si>
    <t>BPP86451189721408</t>
  </si>
  <si>
    <t>LAZADAINC LAZADA INC LAZADA INC</t>
  </si>
  <si>
    <t xml:space="preserve"> 2023 17:59:49</t>
  </si>
  <si>
    <t>'202308190300011411</t>
  </si>
  <si>
    <t>BPX00111936492608</t>
  </si>
  <si>
    <t>SECURITY  BANK LAZADA</t>
  </si>
  <si>
    <t>'August 19</t>
  </si>
  <si>
    <t xml:space="preserve"> 2023 17:18:52</t>
  </si>
  <si>
    <t>Correct Amount should only be PHP 2,581.55</t>
  </si>
  <si>
    <t>CEBU HEAD OFFICE</t>
  </si>
  <si>
    <t>'202308110300006515</t>
  </si>
  <si>
    <t>BPP40421186294708</t>
  </si>
  <si>
    <t>LAZADA INC LAZADA IN LAZADA INC</t>
  </si>
  <si>
    <t xml:space="preserve"> 2023 17:29:42</t>
  </si>
  <si>
    <t>ML EVAGELISTA MAKATI</t>
  </si>
  <si>
    <t>'202308110300005131</t>
  </si>
  <si>
    <t>BPP45271159851808</t>
  </si>
  <si>
    <t xml:space="preserve"> 2023 14:45:35</t>
  </si>
  <si>
    <t>ML JENRA GRAND MALL, ANGELES CITY</t>
  </si>
  <si>
    <t>'August 14</t>
  </si>
  <si>
    <t>'August 22</t>
  </si>
  <si>
    <t>'202308220300008801</t>
  </si>
  <si>
    <t>BPP03022240279908</t>
  </si>
  <si>
    <t xml:space="preserve"> 2023 21:46:33</t>
  </si>
  <si>
    <t>Correct Amount should only be PHP 4,325.80</t>
  </si>
  <si>
    <t>'202308110300006547</t>
  </si>
  <si>
    <t>BPP17371185020808</t>
  </si>
  <si>
    <t xml:space="preserve"> 2023 17:33:12</t>
  </si>
  <si>
    <t>ML MAMATID</t>
  </si>
  <si>
    <t>'202308110300006471</t>
  </si>
  <si>
    <t>BPP17371122352808</t>
  </si>
  <si>
    <t xml:space="preserve"> 2023 17:26:25</t>
  </si>
  <si>
    <t>ML SAN MIGUEL 2</t>
  </si>
  <si>
    <t>'202308110300005334</t>
  </si>
  <si>
    <t>BPP11081158022808</t>
  </si>
  <si>
    <t>LAZADA INC   LAZADA INC   LAZADA INC</t>
  </si>
  <si>
    <t xml:space="preserve"> 2023 15:33:50</t>
  </si>
  <si>
    <t>ML TIKLING 2 RIZAL</t>
  </si>
  <si>
    <t>'202308140300003140</t>
  </si>
  <si>
    <t>BPP03771491904708</t>
  </si>
  <si>
    <t>JOEMAR MACASPAC LORENZO</t>
  </si>
  <si>
    <t xml:space="preserve"> 2023 12:56:49</t>
  </si>
  <si>
    <t>'202308110300005270</t>
  </si>
  <si>
    <t>BPP20171144147708</t>
  </si>
  <si>
    <t xml:space="preserve"> 2023 15:20:24</t>
  </si>
  <si>
    <t>ML SAGUIN</t>
  </si>
  <si>
    <t>ML SAN MANUEL, PANGASINAN</t>
  </si>
  <si>
    <t>ML SHORTHORN</t>
  </si>
  <si>
    <t>'202308110300006525</t>
  </si>
  <si>
    <t>BPP24421119340308</t>
  </si>
  <si>
    <t xml:space="preserve"> 2023 17:29:48</t>
  </si>
  <si>
    <t>ML MALHACAN</t>
  </si>
  <si>
    <t>'202308110300006177</t>
  </si>
  <si>
    <t>BPP15721199271308</t>
  </si>
  <si>
    <t>LAZADA INC SECURITY BANK</t>
  </si>
  <si>
    <t xml:space="preserve"> 2023 17:14:03</t>
  </si>
  <si>
    <t xml:space="preserve">'202308260300008385 </t>
  </si>
  <si>
    <t>Correct Amount should only be PHP 18,373.70</t>
  </si>
  <si>
    <t>ML ALAMINOS, PANGASINAN</t>
  </si>
  <si>
    <t>ML CATALUNAN GRANDE</t>
  </si>
  <si>
    <t xml:space="preserve">'202309010300007736 </t>
  </si>
  <si>
    <t>Correct Amount should only be PHP 90.00</t>
  </si>
  <si>
    <t>'202308160300007695</t>
  </si>
  <si>
    <t>BPP80121627105608</t>
  </si>
  <si>
    <t>JOANNE ROWENA A CORNEJO</t>
  </si>
  <si>
    <t>'August 16</t>
  </si>
  <si>
    <t xml:space="preserve"> 2023 16:04:01</t>
  </si>
  <si>
    <t>WRONG BILLER - INTENDED FOR LAZADA TOP UP</t>
  </si>
  <si>
    <t>Correct Billler - Lazada Top Up</t>
  </si>
  <si>
    <t>ML SAN JOSE CITY</t>
  </si>
  <si>
    <t xml:space="preserve">'202309130300007992 </t>
  </si>
  <si>
    <t>Correct Amount should only be PHP 4,593.70</t>
  </si>
  <si>
    <t>ML URDANETA 2</t>
  </si>
  <si>
    <t xml:space="preserve">'202309130300006127 </t>
  </si>
  <si>
    <t xml:space="preserve">KARL DOMINIC BAJO </t>
  </si>
  <si>
    <t>ML BOULEVARD</t>
  </si>
  <si>
    <t xml:space="preserve">'202309130300006457 </t>
  </si>
  <si>
    <t>ML LIBERTAD PASAY</t>
  </si>
  <si>
    <t xml:space="preserve">'202309200300009367 </t>
  </si>
  <si>
    <t xml:space="preserve">'202309200300013062 </t>
  </si>
  <si>
    <t>Correct Amount should only be PHP 104.12</t>
  </si>
  <si>
    <t>'202308130300002951</t>
  </si>
  <si>
    <t>BPP91021330161908</t>
  </si>
  <si>
    <t>'August 13</t>
  </si>
  <si>
    <t xml:space="preserve"> 2023 16:01:36</t>
  </si>
  <si>
    <t>Correct Amount should only be PHP 1,419.02</t>
  </si>
  <si>
    <t>ML STA. ANA, PAMPANGA</t>
  </si>
  <si>
    <t xml:space="preserve">'202309130300005034 </t>
  </si>
  <si>
    <t>ML SAN MIGUEL</t>
  </si>
  <si>
    <t xml:space="preserve">'202309220300007229 </t>
  </si>
  <si>
    <t>Correct Amount should only be PHP 9,205.14</t>
  </si>
  <si>
    <t>ML PANDACAQUI</t>
  </si>
  <si>
    <t xml:space="preserve">'202309230300005609 </t>
  </si>
  <si>
    <t>Correct Amount should only be PHP 5,933.33</t>
  </si>
  <si>
    <t>ML SAN LUIS PAMPANGA</t>
  </si>
  <si>
    <t xml:space="preserve">'202309230300005870 </t>
  </si>
  <si>
    <t>Correct Amount should only be PHP 2,694.03</t>
  </si>
  <si>
    <t xml:space="preserve">'202309270300010782 </t>
  </si>
  <si>
    <t>Correct Amount should only be PHP 10,447.49</t>
  </si>
  <si>
    <t xml:space="preserve">'202309280300006132 </t>
  </si>
  <si>
    <t>Correct Amount should only be PHP 36.41</t>
  </si>
  <si>
    <t xml:space="preserve">'202310210300010723 </t>
  </si>
  <si>
    <t>BPP97822110948610</t>
  </si>
  <si>
    <t>Correct Amount should only be PHP 2,565.95</t>
  </si>
  <si>
    <t xml:space="preserve">'202310110300011098 </t>
  </si>
  <si>
    <t>BPP57121114900310</t>
  </si>
  <si>
    <t>Correct Amount should only be PHP 1,225.71</t>
  </si>
  <si>
    <t>ML PLAZA NANING</t>
  </si>
  <si>
    <t xml:space="preserve">'202310270300010281 </t>
  </si>
  <si>
    <t>BPP47722778737510</t>
  </si>
  <si>
    <t>Correct Amount should only be PHP 12,687.57</t>
  </si>
  <si>
    <t xml:space="preserve">'202311150300009657 </t>
  </si>
  <si>
    <t xml:space="preserve">LAZADA  INC  </t>
  </si>
  <si>
    <t xml:space="preserve">Correct Transaction '202311150300009967 / BPP00521563765611 </t>
  </si>
  <si>
    <t xml:space="preserve">'202311070300009786 </t>
  </si>
  <si>
    <t>ML BASAK TOWN CENTER</t>
  </si>
  <si>
    <t xml:space="preserve">'202311210300006458 </t>
  </si>
  <si>
    <t xml:space="preserve">Correct Transaction '202311210300006884 / BPP08682141892511 </t>
  </si>
  <si>
    <t xml:space="preserve">'202311210300012344 </t>
  </si>
  <si>
    <t>Correct Amount should only be PHP 259.70</t>
  </si>
  <si>
    <t>YES, IR, Customer's form and Receipt</t>
  </si>
  <si>
    <t xml:space="preserve">'202311280300007810 </t>
  </si>
  <si>
    <t xml:space="preserve">INCI LAZADA </t>
  </si>
  <si>
    <t>Correct Amount should only be PHP 23,028.91</t>
  </si>
  <si>
    <t xml:space="preserve">'202311170300008423 </t>
  </si>
  <si>
    <t>ML PENARANDA</t>
  </si>
  <si>
    <t xml:space="preserve">'202311240300008552 </t>
  </si>
  <si>
    <t>Correct Transaction '202311240300008634 / BPP98322471131711</t>
  </si>
  <si>
    <t>ML TUY</t>
  </si>
  <si>
    <t xml:space="preserve">'202311290300013133 </t>
  </si>
  <si>
    <t>Correct Transaction '202311290300013222 / BPP58222997760011</t>
  </si>
  <si>
    <t>ML LAS PINAS - (REAL)</t>
  </si>
  <si>
    <t xml:space="preserve">'202311180300005795 </t>
  </si>
  <si>
    <t>Correct Transaction '202311180300005714 / BPP72521899444911</t>
  </si>
  <si>
    <t xml:space="preserve">'202311300300016184 </t>
  </si>
  <si>
    <t>Correct Amount should only be PHP 24,370.97</t>
  </si>
  <si>
    <t>ML JUAN LUNA 1</t>
  </si>
  <si>
    <t>SECURITY BANK - RTA</t>
  </si>
  <si>
    <t xml:space="preserve">BN-101422-55098 </t>
  </si>
  <si>
    <t>BPP10111421528910</t>
  </si>
  <si>
    <t xml:space="preserve">TERENCE CHIU </t>
  </si>
  <si>
    <t xml:space="preserve">'000770100929 </t>
  </si>
  <si>
    <t>ML OSLOB</t>
  </si>
  <si>
    <t xml:space="preserve">BN-101422-55021 </t>
  </si>
  <si>
    <t>BPP10111410577010</t>
  </si>
  <si>
    <t xml:space="preserve">'202308250300011362 </t>
  </si>
  <si>
    <t xml:space="preserve">BPP05722531242108 </t>
  </si>
  <si>
    <t xml:space="preserve">LANZ NORIDHEL CAPA </t>
  </si>
  <si>
    <t xml:space="preserve">'011030096129 </t>
  </si>
  <si>
    <t>ML KABUGAO</t>
  </si>
  <si>
    <t>METROBANK-RTA &amp; COLLECTIONS</t>
  </si>
  <si>
    <t>METROBANK COLLECTION &amp; REMIT TO ACCOUNT( RTA)</t>
  </si>
  <si>
    <t>METROBANK COLLECTION BILLERS</t>
  </si>
  <si>
    <t>2015-2016</t>
  </si>
  <si>
    <t>2017</t>
  </si>
  <si>
    <t>2018</t>
  </si>
  <si>
    <t>2019</t>
  </si>
  <si>
    <t>2020</t>
  </si>
  <si>
    <t>2021</t>
  </si>
  <si>
    <t>2023</t>
  </si>
  <si>
    <t xml:space="preserve">SOPHIAS BREADS &amp; PASTRIES </t>
  </si>
  <si>
    <t>PHILIPPINE SEVEN ELEVEN CORP.</t>
  </si>
  <si>
    <t>RUBEL MOTOR PARTS</t>
  </si>
  <si>
    <t>FOOD CORP  MAY ABOHAN</t>
  </si>
  <si>
    <t>KINGROLL FOODS INC.</t>
  </si>
  <si>
    <t>SUMISHO MOTOR FINANCE CORP</t>
  </si>
  <si>
    <t>GOOD HEART MARKETING</t>
  </si>
  <si>
    <t>IREGALO</t>
  </si>
  <si>
    <t>GROLIERS INTERNATIONAL</t>
  </si>
  <si>
    <t>ALTOMED PHARMACEUTICALS</t>
  </si>
  <si>
    <t>UNKNOWN BILLER</t>
  </si>
  <si>
    <t>ROLDAN,RAYMUND AND JANETH,</t>
  </si>
  <si>
    <t>METROBANK-RTA</t>
  </si>
  <si>
    <t>TRANS. DATE/TIME</t>
  </si>
  <si>
    <t>REF. NO.</t>
  </si>
  <si>
    <t>BILLER NAME</t>
  </si>
  <si>
    <t>NAME</t>
  </si>
  <si>
    <t>PAYMENT BRANCH</t>
  </si>
  <si>
    <t>BPP14310745147004</t>
  </si>
  <si>
    <t>RONALDO  DUQUE</t>
  </si>
  <si>
    <t>5997599001600</t>
  </si>
  <si>
    <t>ML UBAY BOHOL</t>
  </si>
  <si>
    <t>WRONG BILLER - INTENDED FOR RUBEL MOTOR PARTS</t>
  </si>
  <si>
    <t>BPP14311369452805</t>
  </si>
  <si>
    <t>BPP14312013088905</t>
  </si>
  <si>
    <t>RONALDO M DUQUE</t>
  </si>
  <si>
    <t>BPP70812338600912</t>
  </si>
  <si>
    <t>7123712500264</t>
  </si>
  <si>
    <t>ML ANDA</t>
  </si>
  <si>
    <t>BPP98210182575207</t>
  </si>
  <si>
    <t>TURBZ VARIETY,STORE,</t>
  </si>
  <si>
    <t>6237623033569</t>
  </si>
  <si>
    <t>AL JOSEPH  BACAYO</t>
  </si>
  <si>
    <t>ML ALORAN</t>
  </si>
  <si>
    <t>BPP10822525509708</t>
  </si>
  <si>
    <t>ALBINO D GOOPIO JR</t>
  </si>
  <si>
    <t>3693369807189</t>
  </si>
  <si>
    <t>ML CAWAYAN, MASBATE</t>
  </si>
  <si>
    <t>BPP45912745706011</t>
  </si>
  <si>
    <t>ESCALICAS,DEBBIE,</t>
  </si>
  <si>
    <t>4897489909355</t>
  </si>
  <si>
    <t>DEBBIE  ESCALICAS</t>
  </si>
  <si>
    <t>ML KABASALAN</t>
  </si>
  <si>
    <t>UNREFLECTED TRXN TO ML REPORT</t>
  </si>
  <si>
    <t>BPP07912072829712</t>
  </si>
  <si>
    <t>SANCHEZ,AGUSTIN,</t>
  </si>
  <si>
    <t>1617161514132</t>
  </si>
  <si>
    <t>AGUSTIN  SANCHEZ</t>
  </si>
  <si>
    <t>ML CULASI ANTIQUE</t>
  </si>
  <si>
    <t>BPP07912770219512</t>
  </si>
  <si>
    <t>BPP45452723991112</t>
  </si>
  <si>
    <t>JAMINAL,ESTERLITA,C</t>
  </si>
  <si>
    <t>7077707002596</t>
  </si>
  <si>
    <t>JOHN MICHAEL H LLEMIT</t>
  </si>
  <si>
    <t>ML MALINAO GARCIA HERNANDEZ BOHOL</t>
  </si>
  <si>
    <t>BPP45452746785312</t>
  </si>
  <si>
    <t>BPP59610362823601</t>
  </si>
  <si>
    <t>NORO?A,MICHELLE,A</t>
  </si>
  <si>
    <t>3907390009930</t>
  </si>
  <si>
    <t>RACHEL N MOSCOSA</t>
  </si>
  <si>
    <t>ML ORAS E SAMAR</t>
  </si>
  <si>
    <t>BPP07910491328505</t>
  </si>
  <si>
    <t>AGUSTIN C SANCHEZ</t>
  </si>
  <si>
    <t>VILMA  CALAWOD</t>
  </si>
  <si>
    <t>CULASI ANTIQUE</t>
  </si>
  <si>
    <t>BPP41722872606505</t>
  </si>
  <si>
    <t>JOEMIL B BAJAR</t>
  </si>
  <si>
    <t>6247624025411</t>
  </si>
  <si>
    <t>MARKETING  MMT</t>
  </si>
  <si>
    <t>ML GAISANO MASBATE</t>
  </si>
  <si>
    <t>BPP95111431392606</t>
  </si>
  <si>
    <t>LU,GRACE,</t>
  </si>
  <si>
    <t>2527252511861</t>
  </si>
  <si>
    <t>RUFINO  PACALDO</t>
  </si>
  <si>
    <t>ML SAGBAYAN BOHOL</t>
  </si>
  <si>
    <t>UNREFLECTED TXN TO ML REPORT</t>
  </si>
  <si>
    <t>BPP07912037742609</t>
  </si>
  <si>
    <t>ML CULASI</t>
  </si>
  <si>
    <t>BPP13512060231009</t>
  </si>
  <si>
    <t>FEDERICO  ACUNA</t>
  </si>
  <si>
    <t>7077707003886</t>
  </si>
  <si>
    <t>ML SIERRA BULLONES</t>
  </si>
  <si>
    <t>BPP49422668515010</t>
  </si>
  <si>
    <t>PALMA,MAYCEL,</t>
  </si>
  <si>
    <t>4923492167291</t>
  </si>
  <si>
    <t>MELANIE  ABAD</t>
  </si>
  <si>
    <t>ML POZORRUBIO PANGASINAN</t>
  </si>
  <si>
    <t>BPP25710670369711</t>
  </si>
  <si>
    <t>JOSH 8TH CONSTRUCTION SUPPLY,JOSH 8TH CONSTRUCTION SUPPLY,</t>
  </si>
  <si>
    <t>7077707000771</t>
  </si>
  <si>
    <t>PABLITO  EVANGELISTA JR</t>
  </si>
  <si>
    <t>ML JARO 2, ILOILO</t>
  </si>
  <si>
    <t>BPP51310519903208</t>
  </si>
  <si>
    <t>LPN HARDWARE</t>
  </si>
  <si>
    <t>2997299512327</t>
  </si>
  <si>
    <t>ALVIN  COLLADO</t>
  </si>
  <si>
    <t>BPP70810521420208</t>
  </si>
  <si>
    <t>CU?ADO,HERMILA,</t>
  </si>
  <si>
    <t>1233123593856</t>
  </si>
  <si>
    <t>HERMILA  CU?ADO</t>
  </si>
  <si>
    <t>BPP70810534491208</t>
  </si>
  <si>
    <t>BPP94810517470308</t>
  </si>
  <si>
    <t>LASCONA ,ANALIZA ,MAHINAY</t>
  </si>
  <si>
    <t>2933293679305</t>
  </si>
  <si>
    <t>NORAISA   GALO</t>
  </si>
  <si>
    <t>ML MAIGO</t>
  </si>
  <si>
    <t>BPP96910557045508</t>
  </si>
  <si>
    <t>VILLEGAS,DIARY MAE PEARL,L</t>
  </si>
  <si>
    <t>3903390247800</t>
  </si>
  <si>
    <t>DIARY MAE PEARL L VILLEGAS</t>
  </si>
  <si>
    <t>ML CAN-AVID</t>
  </si>
  <si>
    <t>BPP13510551825708</t>
  </si>
  <si>
    <t>ACUNA,FEDERICO,</t>
  </si>
  <si>
    <t>BPP63810573092508</t>
  </si>
  <si>
    <t>ELIES AGRIVET SUPPLY,ELIES AGRIVET SUPPLY,</t>
  </si>
  <si>
    <t>7077707004254</t>
  </si>
  <si>
    <t>ELIES AGRIVET SUPPLY  ELIES AGRIVET SUPPLY</t>
  </si>
  <si>
    <t>ML CANDIJAY</t>
  </si>
  <si>
    <t>BPP87110521089908</t>
  </si>
  <si>
    <t>ELIES AGRIVET,SUPPLY,</t>
  </si>
  <si>
    <t>SUPPLY  ELIES AGRIVET</t>
  </si>
  <si>
    <t>ML GUINDULMAN</t>
  </si>
  <si>
    <t>BPP76321944147612</t>
  </si>
  <si>
    <t>4287428007570</t>
  </si>
  <si>
    <t>TORRALBA,PURISIMA</t>
  </si>
  <si>
    <t>ML BADOC</t>
  </si>
  <si>
    <t>BPP76122731709312</t>
  </si>
  <si>
    <t>5047504514486</t>
  </si>
  <si>
    <t>SATURNINO JR A VILLA</t>
  </si>
  <si>
    <t>ML Gonzaga</t>
  </si>
  <si>
    <t>BPP15160961627708</t>
  </si>
  <si>
    <t>CATALUNA,JAPRIL,DIAZ</t>
  </si>
  <si>
    <t>5577557005842</t>
  </si>
  <si>
    <t>JAPRIL DIAZ CATALUNA</t>
  </si>
  <si>
    <t>ML MANABAY</t>
  </si>
  <si>
    <t>BPP36910599371908</t>
  </si>
  <si>
    <t>PALER,RUTH,</t>
  </si>
  <si>
    <t>7077707002944</t>
  </si>
  <si>
    <t>RUTH  PALER</t>
  </si>
  <si>
    <t>ML JAGNA PAGINA</t>
  </si>
  <si>
    <t>BPP16311764383601</t>
  </si>
  <si>
    <t>2517251520913</t>
  </si>
  <si>
    <t>DENNIS  DIENTE</t>
  </si>
  <si>
    <t>ML ARANETA</t>
  </si>
  <si>
    <t>BPP05711759226001</t>
  </si>
  <si>
    <t>1613161377997</t>
  </si>
  <si>
    <t>ADELINA  ARMIZA</t>
  </si>
  <si>
    <t>ML PANDAN ANTIQUE</t>
  </si>
  <si>
    <t>BPP16312840017401</t>
  </si>
  <si>
    <t>6537653031064</t>
  </si>
  <si>
    <t>SHEEN MAE  ABAYGAR</t>
  </si>
  <si>
    <t>BPP16312899748001</t>
  </si>
  <si>
    <t>BPP46611615471906</t>
  </si>
  <si>
    <t>NORIZA G BODOTA</t>
  </si>
  <si>
    <t>6237623034123</t>
  </si>
  <si>
    <t>ML OROQUIETA 1</t>
  </si>
  <si>
    <t>BPP46611653668106</t>
  </si>
  <si>
    <t>BPP46611659979906</t>
  </si>
  <si>
    <t>BPP46611662454406</t>
  </si>
  <si>
    <t>BPP96720973724907</t>
  </si>
  <si>
    <t>ANGEL MAE  FELICIANO</t>
  </si>
  <si>
    <t>5423542235668</t>
  </si>
  <si>
    <t>IBARDALOZA,PERCIVERANDA,</t>
  </si>
  <si>
    <t>ML PLACER</t>
  </si>
  <si>
    <t>BPP96720939067007</t>
  </si>
  <si>
    <t>BPP38452547225708</t>
  </si>
  <si>
    <t>NOLI  MONTON</t>
  </si>
  <si>
    <t>1793179269130</t>
  </si>
  <si>
    <t>MABUTE,MYLENE,</t>
  </si>
  <si>
    <t>ML MAGDIWANG</t>
  </si>
  <si>
    <t>BPP30322560619408</t>
  </si>
  <si>
    <t>RAFFY  REGUINDIN</t>
  </si>
  <si>
    <t>1123112327011</t>
  </si>
  <si>
    <t>ML MAGSAYSAY</t>
  </si>
  <si>
    <t>BPP38452531594108</t>
  </si>
  <si>
    <t>BPP99012529171808</t>
  </si>
  <si>
    <t>ALVIN C ABAYAN</t>
  </si>
  <si>
    <t>8813799880785</t>
  </si>
  <si>
    <t>ML LARAY</t>
  </si>
  <si>
    <t>BPP21712580266308</t>
  </si>
  <si>
    <t>JESCEL G KATO</t>
  </si>
  <si>
    <t>1543154524267</t>
  </si>
  <si>
    <t>KATO,JESCEL,G</t>
  </si>
  <si>
    <t>ML TABANGO</t>
  </si>
  <si>
    <t>BPP07820196677809</t>
  </si>
  <si>
    <t>WALTER DALISAY DELMO</t>
  </si>
  <si>
    <t>4693469166873</t>
  </si>
  <si>
    <t>DELMO,MUTYA,DALISAY</t>
  </si>
  <si>
    <t>ML SOCORRO</t>
  </si>
  <si>
    <t>BPP52510186455309</t>
  </si>
  <si>
    <t>RAQUEL TY BALMES</t>
  </si>
  <si>
    <t>3907390012434</t>
  </si>
  <si>
    <t>RAQ CONSTRUCTION</t>
  </si>
  <si>
    <t>ML TAFT, SAMAR</t>
  </si>
  <si>
    <t>BPP52510139014809</t>
  </si>
  <si>
    <t>BPP43710130365609</t>
  </si>
  <si>
    <t>SANDRA  LAU</t>
  </si>
  <si>
    <t>1057105522165</t>
  </si>
  <si>
    <t>LAU,SANDRA,</t>
  </si>
  <si>
    <t>ML SAN JOSE CARAGA</t>
  </si>
  <si>
    <t>BPP37752584439808</t>
  </si>
  <si>
    <t>VERONICA  CAI</t>
  </si>
  <si>
    <t>1303130363440</t>
  </si>
  <si>
    <t>SAN VICENTE</t>
  </si>
  <si>
    <t>BPP37752550260108</t>
  </si>
  <si>
    <t>BPP44811634082812</t>
  </si>
  <si>
    <t>LOVELLA GRACE - OYAO</t>
  </si>
  <si>
    <t>0943804626752</t>
  </si>
  <si>
    <t>ML DIPOLOG 3</t>
  </si>
  <si>
    <t>BPP21412154986302</t>
  </si>
  <si>
    <t>BRYAN SANTOS CO</t>
  </si>
  <si>
    <t>0947094522478</t>
  </si>
  <si>
    <t>CO,BRYAN,SANTOS</t>
  </si>
  <si>
    <t>ML ORMOC 2</t>
  </si>
  <si>
    <t>BPP81312034336309</t>
  </si>
  <si>
    <t>BAROY,REZA,C</t>
  </si>
  <si>
    <t>9977997001334</t>
  </si>
  <si>
    <t>RUDY M BAROY</t>
  </si>
  <si>
    <t>SAN JUAN SIQUIJOR</t>
  </si>
  <si>
    <t>BPP84850934861211</t>
  </si>
  <si>
    <t>JACQUELINE  LAPA</t>
  </si>
  <si>
    <t>ML FUENTE CIRCLE</t>
  </si>
  <si>
    <t> NO PAYMENT RECEIVED FROM THE CUSTOMER </t>
  </si>
  <si>
    <t>BPP84850959945511</t>
  </si>
  <si>
    <t>2021-08-03 10:35:35 AM</t>
  </si>
  <si>
    <t>BPP22520334721508</t>
  </si>
  <si>
    <t>SAINT MARYS UNIVERSITY  SAINT MARYS UNIVERSITY</t>
  </si>
  <si>
    <t>1253033802986</t>
  </si>
  <si>
    <t>ML JONES, ISABELA</t>
  </si>
  <si>
    <t>BPP97210592357208</t>
  </si>
  <si>
    <t>SEE,MERCEDITHA,YAP</t>
  </si>
  <si>
    <t>4437443011311</t>
  </si>
  <si>
    <t>MERCEDITHA YAP SEE</t>
  </si>
  <si>
    <t>ML DUMAGUETE 7</t>
  </si>
  <si>
    <t>METROBANK-COLLECTIONS</t>
  </si>
  <si>
    <t>Transaction Date</t>
  </si>
  <si>
    <t>Branch</t>
  </si>
  <si>
    <t>Region</t>
  </si>
  <si>
    <t>BPP Reference Number</t>
  </si>
  <si>
    <t>Biller/Accnt Name/Accnt Number/Amount</t>
  </si>
  <si>
    <t>Correct Biller Company</t>
  </si>
  <si>
    <t>IR Number</t>
  </si>
  <si>
    <t xml:space="preserve">Correct Amount </t>
  </si>
  <si>
    <t>PARTNERS NAME</t>
  </si>
  <si>
    <t>Amount for Refund</t>
  </si>
  <si>
    <t>Total /BP</t>
  </si>
  <si>
    <t>Reason for Cancellation</t>
  </si>
  <si>
    <t>ML Totolan</t>
  </si>
  <si>
    <t>BOHOL</t>
  </si>
  <si>
    <t>BPP48953084679406</t>
  </si>
  <si>
    <t>PLDT/LISA GOMI/792743161</t>
  </si>
  <si>
    <t>GLOBE INNOVE</t>
  </si>
  <si>
    <t>99-489-2007-0028</t>
  </si>
  <si>
    <t>MARI</t>
  </si>
  <si>
    <t>ML Caloocan 3 Libis</t>
  </si>
  <si>
    <t>NCR North</t>
  </si>
  <si>
    <t>bpp51721953336609</t>
  </si>
  <si>
    <t>PLDT/, JOHN RUCKER L ZETA/0287449607</t>
  </si>
  <si>
    <t>68-513-2009-0004</t>
  </si>
  <si>
    <t>their connection was already been cut before he inform the branch</t>
  </si>
  <si>
    <t>PER PARTNER- CUSTOMER STILL HAVE A BALANCE</t>
  </si>
  <si>
    <t>christine joy</t>
  </si>
  <si>
    <t>ML Tabok</t>
  </si>
  <si>
    <t>CebuNorth A</t>
  </si>
  <si>
    <t>BPP50251516799406</t>
  </si>
  <si>
    <t>PLDT/LUCIA CUBAR/656788895</t>
  </si>
  <si>
    <t>01-063-2106-0008</t>
  </si>
  <si>
    <t>WRONG BILLER/ACCOUNT #: 882893889</t>
  </si>
  <si>
    <t>JO ANN</t>
  </si>
  <si>
    <t>ML Ubay</t>
  </si>
  <si>
    <t>BPP14311799295208</t>
  </si>
  <si>
    <t>PLDT/MARIA CELSA  BOAQUIN/0384122728</t>
  </si>
  <si>
    <t>99-143-2108-0028</t>
  </si>
  <si>
    <t>WRONG ACCOUNT #/FOR REFUND CUSTOMER ALREADY PAID FOR THE CORRECT ACCOUNT #</t>
  </si>
  <si>
    <t>MAY CHIEL</t>
  </si>
  <si>
    <t>ML Palawan 4</t>
  </si>
  <si>
    <t>PALAWAN</t>
  </si>
  <si>
    <t>BPP36252334724203</t>
  </si>
  <si>
    <t>PLDT/MADRONADO, MYLENE/0324812083</t>
  </si>
  <si>
    <t>26-362-2203-0014</t>
  </si>
  <si>
    <t>DOUBLE POSTED DUE TO SYSTEM ERROR</t>
  </si>
  <si>
    <t>GERV20216442</t>
  </si>
  <si>
    <t>ML Malingao</t>
  </si>
  <si>
    <t>Lanao</t>
  </si>
  <si>
    <t>BPP78212647468303</t>
  </si>
  <si>
    <t>PLDT/BOLIVER, CRISELDA  T./0286899447</t>
  </si>
  <si>
    <t>22-782-2203-0007</t>
  </si>
  <si>
    <t>DOUBLE POSTED / SYSTEM ERROR</t>
  </si>
  <si>
    <t>JASON</t>
  </si>
  <si>
    <t>ML Jamindan</t>
  </si>
  <si>
    <t>PANAY Central</t>
  </si>
  <si>
    <t>BPP67912860159403</t>
  </si>
  <si>
    <t>PLDT/VALZADO, FRANKLIN /0246946906</t>
  </si>
  <si>
    <t>24-679-2206-0002</t>
  </si>
  <si>
    <t>DOUBLE PROCESS/SYSTEM ERROR</t>
  </si>
  <si>
    <t>JENNIFER</t>
  </si>
  <si>
    <t xml:space="preserve">ML Tumauini </t>
  </si>
  <si>
    <t>NorthernLuzon</t>
  </si>
  <si>
    <t>BPP81622881262303</t>
  </si>
  <si>
    <t>PLDT/MAXIMA CABASAG/0318642052</t>
  </si>
  <si>
    <t>56-816-2203-0033</t>
  </si>
  <si>
    <t>UNPAID TRANSACTION DUE TO SYSTEM ERROR</t>
  </si>
  <si>
    <t>MARIBEL MARAYAG</t>
  </si>
  <si>
    <t>ML Don Carlos</t>
  </si>
  <si>
    <t>CagayanDeOro</t>
  </si>
  <si>
    <t>BPP52811843228804</t>
  </si>
  <si>
    <t>PLDT/JERRY S CANOY/0264630185</t>
  </si>
  <si>
    <t>09-528-2204-0021</t>
  </si>
  <si>
    <t>MARK KARRY</t>
  </si>
  <si>
    <t>ML Lipata</t>
  </si>
  <si>
    <t>BPP83912018601805</t>
  </si>
  <si>
    <t>PLDT/OUANO, CELSO/0288484252</t>
  </si>
  <si>
    <t>03-839-2205-0021</t>
  </si>
  <si>
    <t>SHANE</t>
  </si>
  <si>
    <t>ML Mandaue 1</t>
  </si>
  <si>
    <t>BPP05812291552305</t>
  </si>
  <si>
    <t>PLDT/SOON, ROSARIO/0310306800</t>
  </si>
  <si>
    <t>02-058-2205-0043</t>
  </si>
  <si>
    <t>DOUBLE PROCESS DUE TO SYSTEM ERROR</t>
  </si>
  <si>
    <t>JADE</t>
  </si>
  <si>
    <t>ML Mahayahay Iligan</t>
  </si>
  <si>
    <t>BPP18660759456405</t>
  </si>
  <si>
    <t>PLDT/ MECHANIZED, BRIGADE/0239088945</t>
  </si>
  <si>
    <t>22-186-2205-0003</t>
  </si>
  <si>
    <t>WRONG AMOUNT: 2,204.00 (SHOULD BE 5 TRANSACTIONS WITH DIFF ACC NUMBER)</t>
  </si>
  <si>
    <t>JANISSA</t>
  </si>
  <si>
    <t>ML Boulevard</t>
  </si>
  <si>
    <t>BPP58360290327906</t>
  </si>
  <si>
    <t>PLDT/DOTILLOS, JOHN JURY S/0253785950</t>
  </si>
  <si>
    <t>08-583-2206-0001</t>
  </si>
  <si>
    <t>TRIPLE PROCESS/SYSTEM ERROR</t>
  </si>
  <si>
    <t>JOSIE</t>
  </si>
  <si>
    <t>ML San Isidro 2</t>
  </si>
  <si>
    <t>NortheasternLuzon</t>
  </si>
  <si>
    <t>BPP26920258774207</t>
  </si>
  <si>
    <t>PLDT/MARITES R LAGAT/024810764</t>
  </si>
  <si>
    <t>57-269-2207-0002</t>
  </si>
  <si>
    <t>DOUBLE POSTED FOR CANCELLATION/ REFUND</t>
  </si>
  <si>
    <t>LUZ PAJARILLO</t>
  </si>
  <si>
    <t>ML NLSA Lagao</t>
  </si>
  <si>
    <t>SARGEN</t>
  </si>
  <si>
    <t>BPP22662891864810</t>
  </si>
  <si>
    <t>GABO JR, VICTOR/0345180109</t>
  </si>
  <si>
    <t>25-226-2210-0022</t>
  </si>
  <si>
    <t>DOUBLE ENTRY</t>
  </si>
  <si>
    <t>NANCY</t>
  </si>
  <si>
    <t>ML Araneta</t>
  </si>
  <si>
    <t>Negros Occidental A</t>
  </si>
  <si>
    <t>BPP16310394056211</t>
  </si>
  <si>
    <t>SALUSADA, ARLAN/0296136689</t>
  </si>
  <si>
    <t>13-175-2301-0005</t>
  </si>
  <si>
    <t>SILV18097441</t>
  </si>
  <si>
    <t>ML Calumpang 1</t>
  </si>
  <si>
    <t>BPP64111033694711</t>
  </si>
  <si>
    <t>PARRENAS, JUVY ANN/330705035</t>
  </si>
  <si>
    <t>ML Sta. Catalina</t>
  </si>
  <si>
    <t>NEGOR/SIQ</t>
  </si>
  <si>
    <t>BPP15911467793711</t>
  </si>
  <si>
    <t>CALDERON,MIGUELA/0289491546</t>
  </si>
  <si>
    <t>17-159-2211-0013</t>
  </si>
  <si>
    <t>DOUBLE POSTED</t>
  </si>
  <si>
    <t>SUSEME</t>
  </si>
  <si>
    <t>ML Trento</t>
  </si>
  <si>
    <t>CARAGA Sur</t>
  </si>
  <si>
    <t>BPP43011586713211</t>
  </si>
  <si>
    <t>BAUTISTA, GLADYS P/0328972522</t>
  </si>
  <si>
    <t>20-430-2211-0021</t>
  </si>
  <si>
    <t>SYSTEM ERROR</t>
  </si>
  <si>
    <t>IAN JADE</t>
  </si>
  <si>
    <t>ML Gensan 3</t>
  </si>
  <si>
    <t>BPP37511849118411</t>
  </si>
  <si>
    <t>JERMIA, ANGELICA/0290023777</t>
  </si>
  <si>
    <t>25-375-2211-0028</t>
  </si>
  <si>
    <t>WRONG AMOUNT</t>
  </si>
  <si>
    <t>RANDY</t>
  </si>
  <si>
    <t>ML Cotabato 6</t>
  </si>
  <si>
    <t>Cotabato-Maguindanao</t>
  </si>
  <si>
    <t>BPP96811852493211</t>
  </si>
  <si>
    <t>TOTI, AFRAEM/0277843536</t>
  </si>
  <si>
    <t>18-968-2211-0020</t>
  </si>
  <si>
    <t>JENELLA BABES</t>
  </si>
  <si>
    <t>ML Mialim</t>
  </si>
  <si>
    <t>ZambaSulta</t>
  </si>
  <si>
    <t>BPP14762923940911</t>
  </si>
  <si>
    <t>ALVAREZ,RANDY/0344889171</t>
  </si>
  <si>
    <t>14-147-2212-0007</t>
  </si>
  <si>
    <t>FOR REFUND/CUSTOMER ALREADY PAID TO PLDT HEAD OFFICE</t>
  </si>
  <si>
    <t>ROBERT</t>
  </si>
  <si>
    <t>ML Madrid</t>
  </si>
  <si>
    <t>BPP43412713942412</t>
  </si>
  <si>
    <t>PUTONG, FLORENTINA/0348008625</t>
  </si>
  <si>
    <t>20-434-2212-0012</t>
  </si>
  <si>
    <t>DOUBLE POST DUE TO SYSTEM ERROR</t>
  </si>
  <si>
    <t>LUTCHEL</t>
  </si>
  <si>
    <t>ML MIA Road Paranaque</t>
  </si>
  <si>
    <t>NCRBatanes</t>
  </si>
  <si>
    <t>BPP01980774861201</t>
  </si>
  <si>
    <t>SALMASAN, DANTE P/0290172527</t>
  </si>
  <si>
    <t>53-019-2301-0006</t>
  </si>
  <si>
    <t>WRONG AMOUNT OVERSTATED REQUEST FOR CANCELLATION</t>
  </si>
  <si>
    <t>JEFFREY BAUL</t>
  </si>
  <si>
    <t>ML Ayala</t>
  </si>
  <si>
    <t>BPP83111692870701</t>
  </si>
  <si>
    <t>HAMJA , ALHASSAN  A/0329379825</t>
  </si>
  <si>
    <t>14-831-2301-0002</t>
  </si>
  <si>
    <t>MERLY</t>
  </si>
  <si>
    <t>ML Sarmiento Parang</t>
  </si>
  <si>
    <t>BPP08562061014101</t>
  </si>
  <si>
    <t>MENOR, EDUARDO/0325302607</t>
  </si>
  <si>
    <t>18-085-2301-0007</t>
  </si>
  <si>
    <t>MARY JOY</t>
  </si>
  <si>
    <t>ML Pasil</t>
  </si>
  <si>
    <t>CebuCentral A</t>
  </si>
  <si>
    <t>BPP04052269523701</t>
  </si>
  <si>
    <t>AGUILAR, GALILEO A/0023849569</t>
  </si>
  <si>
    <t>01-040-2301-0015</t>
  </si>
  <si>
    <t>BANT94013885</t>
  </si>
  <si>
    <t>ML Hindang</t>
  </si>
  <si>
    <t>LEYTE A</t>
  </si>
  <si>
    <t>BPP63413187301701</t>
  </si>
  <si>
    <t>FADRI ALICIA/0326331112</t>
  </si>
  <si>
    <t>04-634-2301-0022</t>
  </si>
  <si>
    <t xml:space="preserve">WRONG AMOUNT </t>
  </si>
  <si>
    <t>FLORA MAE</t>
  </si>
  <si>
    <t>ML Bankal</t>
  </si>
  <si>
    <t>BPP42550268695802</t>
  </si>
  <si>
    <t>DELOS SANTOS, LORECIL/0250819773</t>
  </si>
  <si>
    <t>02-425-2302-0002</t>
  </si>
  <si>
    <t>JOYLYN</t>
  </si>
  <si>
    <t>ML Hilongos Villaflores</t>
  </si>
  <si>
    <t>BPP46150946717002</t>
  </si>
  <si>
    <t>TRAPAL MARIVIC/657840211</t>
  </si>
  <si>
    <t>04-461-2302-0005</t>
  </si>
  <si>
    <t>FOR CANCELLATION-REFUND DUE TO WRONG AMOUNT - FLA's fault -reprocessed the correct amount - customer</t>
  </si>
  <si>
    <t>PALO3019486</t>
  </si>
  <si>
    <t>ML Panabo 1</t>
  </si>
  <si>
    <t>DaCoDa</t>
  </si>
  <si>
    <t>BPP31610668272102</t>
  </si>
  <si>
    <t>MICABANI, MICHELLE A/0309554310</t>
  </si>
  <si>
    <t>21-316-2302-0012</t>
  </si>
  <si>
    <t>JEFREY</t>
  </si>
  <si>
    <t>ML Amlan</t>
  </si>
  <si>
    <t>BPP75811331760602</t>
  </si>
  <si>
    <t>BOCANEGRA, LYNGIE T/0280328251</t>
  </si>
  <si>
    <t>17-758-2302-0005</t>
  </si>
  <si>
    <t>FOR CANCELLATION-REFUND DUE TO NO PAYMENT COLLECTED</t>
  </si>
  <si>
    <t>EMPE20228956</t>
  </si>
  <si>
    <t>ML Osmena Tagum</t>
  </si>
  <si>
    <t>BPP75262693831902</t>
  </si>
  <si>
    <t>CADELINA CRISMAR/0294711635</t>
  </si>
  <si>
    <t>21-752-2302-0018</t>
  </si>
  <si>
    <t>LESLEY</t>
  </si>
  <si>
    <t>ML Jaro 3</t>
  </si>
  <si>
    <t>PANAY South</t>
  </si>
  <si>
    <t>BPP26110181641403</t>
  </si>
  <si>
    <t>ALMEDA, JEHANS EMMANUELLE/0309691229</t>
  </si>
  <si>
    <t>07-261-2302-0002</t>
  </si>
  <si>
    <t>MERRY</t>
  </si>
  <si>
    <t>ML Bamban</t>
  </si>
  <si>
    <t>BPP42621111732304</t>
  </si>
  <si>
    <t>SOLEDAD CAPINDING/030114167</t>
  </si>
  <si>
    <t>62-426-2304-0003</t>
  </si>
  <si>
    <t>customer req. for refund due to disconnected</t>
  </si>
  <si>
    <t>ML Cabancalan</t>
  </si>
  <si>
    <t>BPP69952236842904</t>
  </si>
  <si>
    <t>TALARA, GENARO LEGASPO</t>
  </si>
  <si>
    <t>Double Posting (encountered an error)</t>
  </si>
  <si>
    <t>ML B. Aranas</t>
  </si>
  <si>
    <t>BPP01711130638405</t>
  </si>
  <si>
    <t>RAFOLS, PEPITO LIMASAC</t>
  </si>
  <si>
    <t>ML Juan Luna 1</t>
  </si>
  <si>
    <t>BPP02052721038605</t>
  </si>
  <si>
    <t>MALINAO, JOCELYN</t>
  </si>
  <si>
    <t>Incorrect Amount</t>
  </si>
  <si>
    <t>ML Dumlog</t>
  </si>
  <si>
    <t>BPP70210386497106</t>
  </si>
  <si>
    <t>RIGODON, BLESIL ANGELICA BASCON</t>
  </si>
  <si>
    <t>ML Salinas Drive</t>
  </si>
  <si>
    <t>BPP39850349872706</t>
  </si>
  <si>
    <t>PO, PETER LEE</t>
  </si>
  <si>
    <t>ML Mandaue 5</t>
  </si>
  <si>
    <t>BPP06150476601706</t>
  </si>
  <si>
    <t>DONAYRE, ENALINE BARRO</t>
  </si>
  <si>
    <t>Cebu Head Office</t>
  </si>
  <si>
    <t>ML CARRETA</t>
  </si>
  <si>
    <t>BPP10852096314906</t>
  </si>
  <si>
    <t>SECO, BERNARDITA</t>
  </si>
  <si>
    <t>Double Posting (ecountered an error)</t>
  </si>
  <si>
    <t>ML Tabunok 3</t>
  </si>
  <si>
    <t>BPP57511485071109</t>
  </si>
  <si>
    <t>MONTANEZ, SHIRLEY N</t>
  </si>
  <si>
    <t>Double Posting (encountered an error)/wrong account no</t>
  </si>
  <si>
    <t>ML NRA</t>
  </si>
  <si>
    <t>BPP05350876662812</t>
  </si>
  <si>
    <t>ROJAS,  DELILAH</t>
  </si>
  <si>
    <t>No Payment/Customer directly paid to MCWD Office</t>
  </si>
  <si>
    <t>ML PUROK 1 PITOGO</t>
  </si>
  <si>
    <t>BPP61150965575102</t>
  </si>
  <si>
    <t>LUPIGA, EMILIO ROTAMULA</t>
  </si>
  <si>
    <t>ML Sulat</t>
  </si>
  <si>
    <t>bpp01352061833801</t>
  </si>
  <si>
    <t>ROBLES, EVANGELINE</t>
  </si>
  <si>
    <t>0606010762</t>
  </si>
  <si>
    <t>ESCOBAR TRAVEL</t>
  </si>
  <si>
    <t>BPX00112610233812</t>
  </si>
  <si>
    <t>RST</t>
  </si>
  <si>
    <t>ml aringay</t>
  </si>
  <si>
    <t>tpc/ROSALINDA  MORENO</t>
  </si>
  <si>
    <t>TPC</t>
  </si>
  <si>
    <t>Parter disapproved to adjust due LOAD CREDIT were already released to members.</t>
  </si>
  <si>
    <t>ml olongapo 3</t>
  </si>
  <si>
    <t>BPP14321330452302</t>
  </si>
  <si>
    <t>tpc/SHARMAINE  TAGLUCOP</t>
  </si>
  <si>
    <t>ml pili</t>
  </si>
  <si>
    <t>BPP69221977331201</t>
  </si>
  <si>
    <t>tpc/MELISSA  LEGASPI</t>
  </si>
  <si>
    <t>2020-02-15 06:12:07 AM</t>
  </si>
  <si>
    <t>BPP97821577056302</t>
  </si>
  <si>
    <t>tpc/MERIAM ATIP</t>
  </si>
  <si>
    <t>ML MAYAPA</t>
  </si>
  <si>
    <t>BPP15320815714006</t>
  </si>
  <si>
    <t>tpc/MYRA MALLO/MYRA REBASURA MALLO</t>
  </si>
  <si>
    <t>2020-04-01 02:48:30 PM</t>
  </si>
  <si>
    <t>ML KALENTONG MANDALUYONG</t>
  </si>
  <si>
    <t>BPP33720169378604</t>
  </si>
  <si>
    <t>tpc/1808-0000-0861-90/BRYAN BURAGA GATAN</t>
  </si>
  <si>
    <t>4/24-25/2021</t>
  </si>
  <si>
    <t>ml gusa</t>
  </si>
  <si>
    <t>BPP51911511536207</t>
  </si>
  <si>
    <t>tpc/ANGELICA ABELARDO</t>
  </si>
  <si>
    <t>ml calbayog 2</t>
  </si>
  <si>
    <t>bpp23410230389809</t>
  </si>
  <si>
    <t>BERTAHAN DIST. CORP/87089060/BERTAHAN DISTR. CORP</t>
  </si>
  <si>
    <t>BERTAHAN</t>
  </si>
  <si>
    <t>DEACTIVATED IN WEB SYSTEM</t>
  </si>
  <si>
    <t>ML MABOLO</t>
  </si>
  <si>
    <t>BPP05152646131807</t>
  </si>
  <si>
    <t>TACLOBAN/BORCES, STANLEY APAWAN</t>
  </si>
  <si>
    <t>TACLOBAN</t>
  </si>
  <si>
    <t>ML Tagum 1</t>
  </si>
  <si>
    <t>BPP31913094635703</t>
  </si>
  <si>
    <t>UM-TAGUM/368960/TAGANAS MIRASOL A</t>
  </si>
  <si>
    <t>UM DAVAO</t>
  </si>
  <si>
    <t>UM TAGUM</t>
  </si>
  <si>
    <t>wrong biller</t>
  </si>
  <si>
    <t>ESCOBAR</t>
  </si>
  <si>
    <t>BERTAHAN DIST. CORp</t>
  </si>
  <si>
    <t xml:space="preserve">'202312010300002667 </t>
  </si>
  <si>
    <t xml:space="preserve">Security Bank Corporation </t>
  </si>
  <si>
    <t>ML BAGUMBAYAN SAMPALOC</t>
  </si>
  <si>
    <t>ML ASSUMPTION BRANCH</t>
  </si>
  <si>
    <t xml:space="preserve">'202312080300078704 </t>
  </si>
  <si>
    <t xml:space="preserve">'202312300300362217 </t>
  </si>
  <si>
    <t>Correct Amount should only be PHP 439</t>
  </si>
  <si>
    <t>ML SAN ANTONIO VALLEY 1</t>
  </si>
  <si>
    <t>COLLECTION MONITORING</t>
  </si>
  <si>
    <t>PAYMENT PERIOD</t>
  </si>
  <si>
    <t>CEBU SEVEN FIELDS REALTY INC</t>
  </si>
  <si>
    <t>2024</t>
  </si>
  <si>
    <t xml:space="preserve">'202401030300393364 </t>
  </si>
  <si>
    <t>ML SAN JOSE, ANGELES CITY</t>
  </si>
  <si>
    <t xml:space="preserve">'202312300300362118 </t>
  </si>
  <si>
    <t xml:space="preserve">SECURITY BANK LAZADA SECURITY BANK LAZADA </t>
  </si>
  <si>
    <t xml:space="preserve"> 1:40:24 PM</t>
  </si>
  <si>
    <t>ML ROSARIO 2</t>
  </si>
  <si>
    <t xml:space="preserve">'202401180300532327 </t>
  </si>
  <si>
    <t>Correct Amount should only be PHP 5448.04</t>
  </si>
  <si>
    <t>ML MENDEZ</t>
  </si>
  <si>
    <t xml:space="preserve">'202401230300574180 </t>
  </si>
  <si>
    <t>Correct Amount should only be PHP 10152.15</t>
  </si>
  <si>
    <t>ML NAGCARLAN, LAGUNA</t>
  </si>
  <si>
    <t xml:space="preserve">'202401230300576217 </t>
  </si>
  <si>
    <t>Correct Amount should only be PHP 4100</t>
  </si>
  <si>
    <t>ML POBLACION SAN RAFAEL</t>
  </si>
  <si>
    <t xml:space="preserve">'202401250300597924 </t>
  </si>
  <si>
    <t>Correct Amount should only be PHP 259.91</t>
  </si>
  <si>
    <t>ML SAN NICOLAS, DASMARI¤AS</t>
  </si>
  <si>
    <t xml:space="preserve">'202401270300618379 </t>
  </si>
  <si>
    <t>Correct Amount should only be PHP 923.95</t>
  </si>
  <si>
    <t>ML GENERAL TRIAS</t>
  </si>
  <si>
    <t xml:space="preserve">'202312160300188610 </t>
  </si>
  <si>
    <t xml:space="preserve">ARNIEL BERSANO </t>
  </si>
  <si>
    <t xml:space="preserve">WRONG ACCOUNT NUMBER &amp; WRONG BILLER - INTENDED FOR PAYNAMICS </t>
  </si>
  <si>
    <t>Correct Account Number PTX10086392878665</t>
  </si>
  <si>
    <t xml:space="preserve">'202401220300569059 </t>
  </si>
  <si>
    <t>Correct Amount should only be PHP 27,537.14</t>
  </si>
  <si>
    <t xml:space="preserve">'202401070300427178 </t>
  </si>
  <si>
    <t xml:space="preserve">BPP34150712801301 </t>
  </si>
  <si>
    <t xml:space="preserve">KATRINA ABARQUEZ </t>
  </si>
  <si>
    <t xml:space="preserve">'0394031095003 </t>
  </si>
  <si>
    <t>Correct Account Number '0394031095003</t>
  </si>
  <si>
    <t>YES, IR and Customer's form/Receipt</t>
  </si>
  <si>
    <t>ML STA TERESITA, DUMARAN</t>
  </si>
  <si>
    <t>ML JEWELLER'S LIVE SELLING</t>
  </si>
  <si>
    <t>PREMIUM AICILA CAFE</t>
  </si>
  <si>
    <t xml:space="preserve">'202401160300513062 </t>
  </si>
  <si>
    <t>YES, IR and Printed Receipt</t>
  </si>
  <si>
    <t>ML TABUNOK 3</t>
  </si>
  <si>
    <t xml:space="preserve">'202402070300723878 </t>
  </si>
  <si>
    <t>BPP30720765065802</t>
  </si>
  <si>
    <t>Correct Amount should only be PHP 12,905</t>
  </si>
  <si>
    <t>ML CENTRAL SIGNAL</t>
  </si>
  <si>
    <t xml:space="preserve">'202402160300795751 </t>
  </si>
  <si>
    <t>BPP22421626463802</t>
  </si>
  <si>
    <t xml:space="preserve">SECURITY BANK  LAZADA </t>
  </si>
  <si>
    <t>Correct Amount should only be PHP 11,316.30</t>
  </si>
  <si>
    <t>ML LATRINIDAD</t>
  </si>
  <si>
    <t xml:space="preserve">'202402190300819440 </t>
  </si>
  <si>
    <t>BPP22421972948202</t>
  </si>
  <si>
    <t>Correct Amount should only be PHP 16,970.43</t>
  </si>
  <si>
    <t xml:space="preserve">'202402040300694738 </t>
  </si>
  <si>
    <t>BPP52720459749202</t>
  </si>
  <si>
    <t xml:space="preserve">'202402220300848747 </t>
  </si>
  <si>
    <t>BPP62022245482902</t>
  </si>
  <si>
    <t xml:space="preserve">RODRIGO MARCELINO </t>
  </si>
  <si>
    <t>Correct Amount should only be PHP 21,154.32</t>
  </si>
  <si>
    <t>ML MUNTINLUPA</t>
  </si>
  <si>
    <t xml:space="preserve">'202402210300840778 </t>
  </si>
  <si>
    <t>BPP78422179247702</t>
  </si>
  <si>
    <t xml:space="preserve">SECURITY BANK INC </t>
  </si>
  <si>
    <t>Correct Amount should only be PHP 23,592.92</t>
  </si>
  <si>
    <t xml:space="preserve">'202402140300777314 </t>
  </si>
  <si>
    <t>BPP72821489124502</t>
  </si>
  <si>
    <t>ML STA. MARIA 1</t>
  </si>
  <si>
    <t xml:space="preserve">'202402280300893006 </t>
  </si>
  <si>
    <t>BPP05622894532502</t>
  </si>
  <si>
    <t>Correct Amount should only be PHP 16,091.15</t>
  </si>
  <si>
    <t>ML BACNOTAN, LA UNION</t>
  </si>
  <si>
    <t xml:space="preserve">'202402290300909360 </t>
  </si>
  <si>
    <t>BPP15622929224702</t>
  </si>
  <si>
    <t>Correct Amount should only be PHP 247.50</t>
  </si>
  <si>
    <t>ML CENTRAL DILIMAN</t>
  </si>
  <si>
    <t xml:space="preserve">'202402230300857410 </t>
  </si>
  <si>
    <t>BPP72312312186902</t>
  </si>
  <si>
    <t>ML BUHANGIN 2</t>
  </si>
  <si>
    <t>NORTHERN DAVAO ELECTRIC COOPERATIVE (NORDECO)</t>
  </si>
  <si>
    <t>RCBC-AMWSLAI</t>
  </si>
  <si>
    <t>RELEVANTTECH RTC6 NORTH</t>
  </si>
  <si>
    <t>LENDING COMPANY REFUSED TO REFUND/ DISAPPROVED THE REQUEST</t>
  </si>
  <si>
    <t>unposted and undeducted on our monthly report (FOR ADJUSTMENT-NO TRXN OF SUPERPAY YET)</t>
  </si>
  <si>
    <t xml:space="preserve">'202403190301086744 </t>
  </si>
  <si>
    <t>Correct Transaction '202403190301086638 / BPP42821994220403</t>
  </si>
  <si>
    <t>KALUNASAN</t>
  </si>
  <si>
    <t>RCBC- AMWSLAI</t>
  </si>
  <si>
    <t>ESSENRICH PHILIPPINES INC.</t>
  </si>
  <si>
    <t>GUINAYANGAN WATER DISTRICT</t>
  </si>
  <si>
    <t>KRN ASIA BREWERY</t>
  </si>
  <si>
    <t>KRN MULTI-LINES</t>
  </si>
  <si>
    <t>KRN ZAMBOANGA</t>
  </si>
  <si>
    <t>MACRO DISTRIBUTORS INC. - BOHOL</t>
  </si>
  <si>
    <t>MACRO DISTRIBUTORS INC. - CEBU</t>
  </si>
  <si>
    <t>RADIOWEALTH FINANCE COMPANY INC.</t>
  </si>
  <si>
    <t>SETTLEMENT ACCOUNT FOR ML LENDING HOMELOAN</t>
  </si>
  <si>
    <t>SETTLEMENT ACCOUNT FOR ML SPECIAL WALLET</t>
  </si>
  <si>
    <t>Lending not approved due to customer account already settled on their end, can't be adjust or cancel</t>
  </si>
  <si>
    <t>Lending NOT approved due to customer has loan with them</t>
  </si>
  <si>
    <t>REMITTER'S NAME</t>
  </si>
  <si>
    <t>BRANCH</t>
  </si>
  <si>
    <t>BPP82521567843701</t>
  </si>
  <si>
    <t xml:space="preserve"> LOWIE JAY . DE LA CRUZ</t>
  </si>
  <si>
    <t>ML PIDDIG, ILOCOS NORTE</t>
  </si>
  <si>
    <t>BPP43211593369701</t>
  </si>
  <si>
    <t xml:space="preserve"> NOE LLORENTE LLORICO</t>
  </si>
  <si>
    <t xml:space="preserve"> NOE L LLORICO</t>
  </si>
  <si>
    <t>ML CLAVER</t>
  </si>
  <si>
    <t>BPP78522649226708</t>
  </si>
  <si>
    <t>BPP02380142215709</t>
  </si>
  <si>
    <t>BPP17621346409209</t>
  </si>
  <si>
    <t>BPP30011361790109</t>
  </si>
  <si>
    <t>BPP45621378722609</t>
  </si>
  <si>
    <t>BPP57122028263509</t>
  </si>
  <si>
    <t>BPP26022080881909</t>
  </si>
  <si>
    <t>BPP72621399703109</t>
  </si>
  <si>
    <t>BPP47722239632209</t>
  </si>
  <si>
    <t>BPP87522313709809</t>
  </si>
  <si>
    <t>BPP57122336497609</t>
  </si>
  <si>
    <t>BPP78322781819409</t>
  </si>
  <si>
    <t>BPP52722813776209</t>
  </si>
  <si>
    <t xml:space="preserve">'202310040300008118 </t>
  </si>
  <si>
    <t>BPP78320427748410</t>
  </si>
  <si>
    <t>Correct Amount should only be PHP 5,644.08</t>
  </si>
  <si>
    <t xml:space="preserve">'202310050300008037 </t>
  </si>
  <si>
    <t>BPP11080517002710</t>
  </si>
  <si>
    <t>Correct Amount should only be PHP 1,361.98</t>
  </si>
  <si>
    <t xml:space="preserve">'202310120300012165 </t>
  </si>
  <si>
    <t>BPP73221222690810</t>
  </si>
  <si>
    <t>Correct Amount should only be PHP 6,713.78</t>
  </si>
  <si>
    <t>ML BARRETTO</t>
  </si>
  <si>
    <t xml:space="preserve">'202309130300006439 </t>
  </si>
  <si>
    <t>BPP30311316687609</t>
  </si>
  <si>
    <t>10/19.2023</t>
  </si>
  <si>
    <t>ML PANACAN 1</t>
  </si>
  <si>
    <t>BPP00521591851311</t>
  </si>
  <si>
    <t>BPP58550734133011</t>
  </si>
  <si>
    <t>BPP08682139957711</t>
  </si>
  <si>
    <t>BPP57122165490511</t>
  </si>
  <si>
    <t>BPP18422820812811</t>
  </si>
  <si>
    <t>BPP89321797272911</t>
  </si>
  <si>
    <t>BPP98322457918811</t>
  </si>
  <si>
    <t>BPP58222916707011</t>
  </si>
  <si>
    <t>BPP72521865058311</t>
  </si>
  <si>
    <t>BPP02053080001611</t>
  </si>
  <si>
    <t>BPP09680168342112</t>
  </si>
  <si>
    <t>BPP25660857050912</t>
  </si>
  <si>
    <t>BPP09983068901412</t>
  </si>
  <si>
    <t>BPP32020342433001</t>
  </si>
  <si>
    <t>BPP57523075588512</t>
  </si>
  <si>
    <t>BPP29221828695201</t>
  </si>
  <si>
    <t>BPP04322320420501</t>
  </si>
  <si>
    <t>BPP27272391914901</t>
  </si>
  <si>
    <t>BPP60822514699601</t>
  </si>
  <si>
    <t>BPP56722740308601</t>
  </si>
  <si>
    <t>BPP57411625809012</t>
  </si>
  <si>
    <t>BPX00112268180401</t>
  </si>
  <si>
    <t>BPP57511644341601</t>
  </si>
  <si>
    <t xml:space="preserve">'202403010300920511 </t>
  </si>
  <si>
    <t>BPP14320179101003</t>
  </si>
  <si>
    <t>Correct Amount should only be PHP 6,816</t>
  </si>
  <si>
    <t xml:space="preserve">'202403050300952058 </t>
  </si>
  <si>
    <t>BPP26020585163703</t>
  </si>
  <si>
    <t xml:space="preserve">'202403040300938117 </t>
  </si>
  <si>
    <t>BPP88720458196003</t>
  </si>
  <si>
    <t>Correct Amount should only be PHP 14,857.68</t>
  </si>
  <si>
    <t xml:space="preserve">'202403140301037925 </t>
  </si>
  <si>
    <t>BPP77721456210303</t>
  </si>
  <si>
    <t>Correct Amount should only be PHP 18,688.10</t>
  </si>
  <si>
    <t xml:space="preserve">'202310270300011581 </t>
  </si>
  <si>
    <t>Correct Amount should only be PHP 1,948.78</t>
  </si>
  <si>
    <t>ML SASA</t>
  </si>
  <si>
    <t xml:space="preserve">'202312180300205758 </t>
  </si>
  <si>
    <t>Correct Amount should only be PHP 34,053.47</t>
  </si>
  <si>
    <t xml:space="preserve">BANK  SECURITY  </t>
  </si>
  <si>
    <t xml:space="preserve">'202403230301134701 </t>
  </si>
  <si>
    <t>Correct Amount should only be PHP 16,429.94</t>
  </si>
  <si>
    <t>ML STA. MARIA 3</t>
  </si>
  <si>
    <t xml:space="preserve">'202403280301194046 </t>
  </si>
  <si>
    <t>OVERSTATED AMOUNT  PHP 11,496.97 INSTEAD OF PHP 3,927.73 WITH THE DIFFERENCE OF PHP 7,569.24</t>
  </si>
  <si>
    <t>Correct Amount should only be PHP 3,927.73</t>
  </si>
  <si>
    <t>ML CABUYAO 2 LAGUNA</t>
  </si>
  <si>
    <t xml:space="preserve">'202403300301203756 </t>
  </si>
  <si>
    <t xml:space="preserve">JOHN MICHAEL MABALDA </t>
  </si>
  <si>
    <t>OVERSTATED AMOUNT  PHP 9,026.00 INSTEAD OF PHP 90.26 WITH THE DIFFERENCE OF PHP 8,935.74</t>
  </si>
  <si>
    <t>Correct Amount should only be PHP 90.26</t>
  </si>
  <si>
    <t>ML MALANDAY</t>
  </si>
  <si>
    <t xml:space="preserve">'202403280301193981 </t>
  </si>
  <si>
    <t>OVERSTATED AMOUNT  PHP 15,569.20 INSTEAD OF PHP 12,569.20 WITH THE DIFFERENCE OF PHP 3,000.00</t>
  </si>
  <si>
    <t>Correct Amount should only be PHP 12,569.20</t>
  </si>
  <si>
    <t xml:space="preserve">'202309240300004014 </t>
  </si>
  <si>
    <t>ML MATINA</t>
  </si>
  <si>
    <t xml:space="preserve">'202401040300404794 </t>
  </si>
  <si>
    <t>ML SAN PEDRO</t>
  </si>
  <si>
    <t xml:space="preserve">'202311160300009284 </t>
  </si>
  <si>
    <t>ML ALA-ULI</t>
  </si>
  <si>
    <t xml:space="preserve">'202404030301254960 </t>
  </si>
  <si>
    <t>OVERSTATED AMOUNT  PHP 6,312.34 INSTEAD OF PHP 1,312.34 WITH THE DIFFERENCE OF PHP 5,000.00</t>
  </si>
  <si>
    <t>Correct Amount should only be PHP 1,312.34</t>
  </si>
  <si>
    <t xml:space="preserve">'202404040301266221 </t>
  </si>
  <si>
    <t>OVERSTATED AMOUNT  PHP 6,064.18 INSTEAD OF PHP 2,005.66 WITH THE DIFFERENCE OF PHP 4,058.52</t>
  </si>
  <si>
    <t>Correct Amount should only be PHP 2,005.66</t>
  </si>
  <si>
    <t xml:space="preserve">'202404070301298860 </t>
  </si>
  <si>
    <t>OVERSTATED AMOUNT  PHP 38,938.89 INSTEAD OF PHP 35,938.89 WITH THE DIFFERENCE OF PHP 3,000.00</t>
  </si>
  <si>
    <t>Correct Amount should only be PHP 3,000.00</t>
  </si>
  <si>
    <t xml:space="preserve">'202404050301279685 </t>
  </si>
  <si>
    <t xml:space="preserve">'202404070301300194 </t>
  </si>
  <si>
    <t>OVERSTATED AMOUNT  PHP 9,789.75 INSTEAD OF PHP 6,789.75 WITH THE DIFFERENCE OF PHP 3,000.00</t>
  </si>
  <si>
    <t>Correct Amount should only be PHP 6,789.75</t>
  </si>
  <si>
    <t xml:space="preserve">'202404110301345414 </t>
  </si>
  <si>
    <t xml:space="preserve">'202404080301307907 </t>
  </si>
  <si>
    <t>OVERSTATED AMOUNT  PHP 48,883.23 INSTEAD OF PHP 4,883.23 WITH THE DIFFERENCE OF PHP 44,000.00</t>
  </si>
  <si>
    <t>Correct Amount should only be PHP 4,883.23</t>
  </si>
  <si>
    <t xml:space="preserve">'202404170301421228 </t>
  </si>
  <si>
    <t>ML BUGO</t>
  </si>
  <si>
    <t xml:space="preserve">'202404120301363506 </t>
  </si>
  <si>
    <t>Correct Transaction '202404170301420012 / BPP04721781257304</t>
  </si>
  <si>
    <t xml:space="preserve">'202404160301411308 </t>
  </si>
  <si>
    <t xml:space="preserve">MARCELINO BOHOL </t>
  </si>
  <si>
    <t>Correct Transaction '202404180301434620 / BPP61921847372704</t>
  </si>
  <si>
    <t>ML AMADEO, CAVITE</t>
  </si>
  <si>
    <t>ML SAN JUAN 1</t>
  </si>
  <si>
    <t xml:space="preserve">'202404130301371950 </t>
  </si>
  <si>
    <t>OVERSTATED AMOUNT  PHP 34,481.08 INSTEAD OF PHP 10,939.04 WITH THE DIFFERENCE OF PHP 23,542.04</t>
  </si>
  <si>
    <t>Correct Amount should only be PHP 10,939.04</t>
  </si>
  <si>
    <t xml:space="preserve">'202405020301567522 </t>
  </si>
  <si>
    <t>Correct Transaction '202405030301569579 / BPP97820357435305</t>
  </si>
  <si>
    <t xml:space="preserve">'202405040301582318 </t>
  </si>
  <si>
    <t>OVERSTATED AMOUNT  PHP 6,415.40 INSTEAD OF PHP 6,145.40 WITH THE DIFFERENCE OF PHP 270.00</t>
  </si>
  <si>
    <t>Correct Amount should only be PHP 6,145.40</t>
  </si>
  <si>
    <t xml:space="preserve">'202405010301551857 </t>
  </si>
  <si>
    <t>OVERSTATED AMOUNT  PHP 9,476.41 INSTEAD OF PHP 4,976.41 WITH THE DIFFERENCE OF PHP 4,500.00</t>
  </si>
  <si>
    <t>Correct Amount should only be PHP 4,976.41</t>
  </si>
  <si>
    <t xml:space="preserve">'202405030301577514 </t>
  </si>
  <si>
    <t>OVERSTATED AMOUNT  PHP 13,894.91 INSTEAD OF PHP 12,894.91 WITH THE DIFFERENCE OF PHP 1,000.00</t>
  </si>
  <si>
    <t>Correct Amount should only be PHP 12,894.91</t>
  </si>
  <si>
    <t xml:space="preserve">'202405060301596667 </t>
  </si>
  <si>
    <t>OVERSTATED AMOUNT  PHP 6,850.00 INSTEAD OF PHP 68.50 WITH THE DIFFERENCE OF PHP 6,781.50</t>
  </si>
  <si>
    <t>Correct Amount should only be PHP 68.50</t>
  </si>
  <si>
    <t>ML TALISAY LUZON</t>
  </si>
  <si>
    <t xml:space="preserve">'202404230301475426 </t>
  </si>
  <si>
    <t>OVERSTATED AMOUNT  PHP 3,142.68.00 INSTEAD OF PHP 2,142.68 WITH THE DIFFERENCE OF PHP 1,000.00</t>
  </si>
  <si>
    <t>Correct Amount should only be PHP 2,142.68</t>
  </si>
  <si>
    <t xml:space="preserve">'202405130301664143 </t>
  </si>
  <si>
    <t>Correct Transaction '202405130301664097 / BPP77921339435805</t>
  </si>
  <si>
    <t>ML DAGUPAN 1</t>
  </si>
  <si>
    <t xml:space="preserve">'202405130301664458 </t>
  </si>
  <si>
    <t>OVERSTATED AMOUNT  PHP 7,379.00 INSTEAD OF PHP 1,379.00 WITH THE DIFFERENCE OF PHP 6,000.00</t>
  </si>
  <si>
    <t>Correct Amount should only be PHP 1,379.00</t>
  </si>
  <si>
    <t xml:space="preserve">'202405160301696265 </t>
  </si>
  <si>
    <t>OVERSTATED AMOUNT  PHP 20,743.98 INSTEAD OF PHP 20,473.98 WITH THE DIFFERENCE OF PHP 270.00</t>
  </si>
  <si>
    <t>Correct Amount should only be PHP 270.00</t>
  </si>
  <si>
    <t>ML MALASIQUI 2</t>
  </si>
  <si>
    <t xml:space="preserve">'202405150301681763 </t>
  </si>
  <si>
    <t>OVERSTATED AMOUNT  PHP 12,851.00 INSTEAD OF PHP 846.56 WITH THE DIFFERENCE OF PHP 12,004.44</t>
  </si>
  <si>
    <t>Correct Amount should only be PHP 846.56</t>
  </si>
  <si>
    <t>ML BUCAL</t>
  </si>
  <si>
    <t>Correct Transaction BN-101422-54710 / BPP10111462596310</t>
  </si>
  <si>
    <t>Correct Transaction BN-101422-54814 / BPP10111462698710</t>
  </si>
  <si>
    <t xml:space="preserve">'202402040300693833 </t>
  </si>
  <si>
    <t xml:space="preserve">BPP73110419034002 </t>
  </si>
  <si>
    <t xml:space="preserve">MARY ANN MANGUIAT </t>
  </si>
  <si>
    <t xml:space="preserve">'248170001827 </t>
  </si>
  <si>
    <t>Correct Transaction '202402040300693919 / BPP73110423297302</t>
  </si>
  <si>
    <t>ML SAN AGUSTIN, CAAR</t>
  </si>
  <si>
    <t xml:space="preserve">'202311300300010640 </t>
  </si>
  <si>
    <t xml:space="preserve">BPP38453088323311 </t>
  </si>
  <si>
    <t xml:space="preserve">LORELIE MANAGO </t>
  </si>
  <si>
    <t xml:space="preserve">'241510010172 </t>
  </si>
  <si>
    <t>REJECTED - Unknown error code.</t>
  </si>
  <si>
    <t xml:space="preserve">'202308310300010372 </t>
  </si>
  <si>
    <t xml:space="preserve">BPP34753139223208 </t>
  </si>
  <si>
    <t xml:space="preserve">PACIFIC INTERCONTINENTAL PIC INC </t>
  </si>
  <si>
    <t xml:space="preserve">'000681156252 </t>
  </si>
  <si>
    <t xml:space="preserve">Rejected - Transferee rejected the deposit request </t>
  </si>
  <si>
    <t>ML PALAWAN 8, ROXAS</t>
  </si>
  <si>
    <t>BOUNTY PLUS - MINDANAO (PROVINCIAL FRESH MINDANAO)</t>
  </si>
  <si>
    <t>BOUNTY PLUS - VISAYAS (PROVINCIAL FRESH VISAYAS)</t>
  </si>
  <si>
    <t>CEBU III ELECTRIC COOP, INC. (CEBECO III)</t>
  </si>
  <si>
    <t>CHICKEN ESSENTIALS, INC</t>
  </si>
  <si>
    <t>COTELCO-MATALAM COLLECTIONS</t>
  </si>
  <si>
    <t>FLASH EXPRESS</t>
  </si>
  <si>
    <t>MACRO DISTRIBUTORS-LEYTE</t>
  </si>
  <si>
    <t>MACRO DISTRIBUTORS-SAMAR</t>
  </si>
  <si>
    <t>PAZ DISTRIBUTION INC</t>
  </si>
  <si>
    <t>RCBC - RAMAS UYPITCHING SONS, INC</t>
  </si>
  <si>
    <t>RCBC - COCOMART COMMODITIES INC.</t>
  </si>
  <si>
    <t>RCBC – MINDANAO MOTORS BUSINESS VENTURES INC.</t>
  </si>
  <si>
    <t>RCBC - RUSCO MOTORS INCORPORATED</t>
  </si>
  <si>
    <t>SETTLEMENT ACCOUNT FOR ML LENDING SALARY LOAN</t>
  </si>
  <si>
    <t>VIC IMPERIAL APPLIANCE</t>
  </si>
  <si>
    <t>ZAMBALES 1 ELECTRIC COOPERATIVE, INC. (ZAMECO 1)</t>
  </si>
  <si>
    <t>RCBC-COCOMART</t>
  </si>
  <si>
    <t>RCBC-RAMAS</t>
  </si>
  <si>
    <t>RCBC-MINDANAO</t>
  </si>
  <si>
    <t>RCBC-RUSCO</t>
  </si>
  <si>
    <t>FAST UNIMERCHANT - BACOLOD</t>
  </si>
  <si>
    <t>FAST UNIMERCHANT- ILOILO</t>
  </si>
  <si>
    <t>RCBC - LUZON MOTORS BUSINESS VENTURES INC.</t>
  </si>
  <si>
    <t>RCBC - SAGA MOTORS</t>
  </si>
  <si>
    <t>TELEPRENEUR CORP</t>
  </si>
  <si>
    <t>TRAVELONLINE PHILS INC.</t>
  </si>
  <si>
    <t>RCBC- LUZON</t>
  </si>
  <si>
    <t>QR-PH RTA</t>
  </si>
  <si>
    <t>RCBC - BUFFALO INDUSTRIAL SUPPLY 1</t>
  </si>
  <si>
    <t>RCBC - GLOBAL FARMS AGRICULTURAL SUPPLY</t>
  </si>
  <si>
    <t>RCBC - BUFFALO INDUSTRIAL SUPPLY 2</t>
  </si>
  <si>
    <t>RCBC - PRIME AGRI TRADERS</t>
  </si>
  <si>
    <t>RCBC-BUFFALO FARM</t>
  </si>
  <si>
    <t>RCBC-BUFFALO IND 1</t>
  </si>
  <si>
    <t>RCBC-BUFFALO IND 2</t>
  </si>
  <si>
    <t>RCBC-GLOBAL</t>
  </si>
  <si>
    <t>RCBC-PRIME</t>
  </si>
  <si>
    <t>RCBC-SAGA</t>
  </si>
  <si>
    <t>ML Transaction Query 32</t>
  </si>
  <si>
    <t>ML Transaction Query 46</t>
  </si>
  <si>
    <t>ML Transaction Query 48</t>
  </si>
  <si>
    <t>ML Transaction Query 50</t>
  </si>
  <si>
    <t>ML Transaction Query 51</t>
  </si>
  <si>
    <t>ML Transaction Query 52</t>
  </si>
  <si>
    <t>ML Transaction Query 55</t>
  </si>
  <si>
    <t>ML Transaction Query 57</t>
  </si>
  <si>
    <t>ML Transaction Query 59</t>
  </si>
  <si>
    <t>ML Transaction Query 60</t>
  </si>
  <si>
    <t>ML Transaction Query 61</t>
  </si>
  <si>
    <t>ML Transaction Query 62</t>
  </si>
  <si>
    <t>ML Transaction Query 66</t>
  </si>
  <si>
    <t>ML Transaction Query 67</t>
  </si>
  <si>
    <t>ML Transaction Query 68</t>
  </si>
  <si>
    <t>ML Transaction Query 72</t>
  </si>
  <si>
    <t>ML Transaction Query 77</t>
  </si>
  <si>
    <t>ML Transaction Query 83</t>
  </si>
  <si>
    <t>ML Transaction Query 84</t>
  </si>
  <si>
    <t>ML Transaction Query 87</t>
  </si>
  <si>
    <t>ML Transaction Query 91</t>
  </si>
  <si>
    <t>ML Transaction Query 95</t>
  </si>
  <si>
    <t>ML Transaction Query 96</t>
  </si>
  <si>
    <t>ML Transaction Query 99</t>
  </si>
  <si>
    <t>ML Transaction Query 101</t>
  </si>
  <si>
    <t>ML Transaction Query 102</t>
  </si>
  <si>
    <t>ML Transaction Query 104</t>
  </si>
  <si>
    <t>ML Transaction Query 105</t>
  </si>
  <si>
    <t>ML Transaction Query 107</t>
  </si>
  <si>
    <t>ML Transaction Query 109</t>
  </si>
  <si>
    <t>ML Transaction Query 110</t>
  </si>
  <si>
    <t>ML Transaction Query 111</t>
  </si>
  <si>
    <t>ML Transaction Query 112</t>
  </si>
  <si>
    <t>ML Transaction Query 116</t>
  </si>
  <si>
    <t>ML Transaction Query 117</t>
  </si>
  <si>
    <t>ML Transaction Query 118</t>
  </si>
  <si>
    <t>ML Transaction Query 120</t>
  </si>
  <si>
    <t>ML Transaction Query 124</t>
  </si>
  <si>
    <t>ML Transaction Query 125</t>
  </si>
  <si>
    <t>ML Transaction Query 127</t>
  </si>
  <si>
    <t>ML Transaction Query 130</t>
  </si>
  <si>
    <t>ML Transaction Query 131</t>
  </si>
  <si>
    <t>ML Transaction Query 139</t>
  </si>
  <si>
    <t>ML Transaction Query 142</t>
  </si>
  <si>
    <t>ML Transaction Query 146</t>
  </si>
  <si>
    <t>ML Transaction Query 149</t>
  </si>
  <si>
    <t>ML Transaction Query 152</t>
  </si>
  <si>
    <t>ML Transaction Query 153</t>
  </si>
  <si>
    <t>ML Transaction Query 154</t>
  </si>
  <si>
    <t>ML Transaction Query 155</t>
  </si>
  <si>
    <t>ML Transaction Query 159</t>
  </si>
  <si>
    <t>ML Transaction Query 162</t>
  </si>
  <si>
    <t>ML Transaction Query 163</t>
  </si>
  <si>
    <t>ML Transaction Query 164</t>
  </si>
  <si>
    <t>ML Transaction Query 165</t>
  </si>
  <si>
    <t>ML Transaction Query 174</t>
  </si>
  <si>
    <t>ML Transaction Query 177</t>
  </si>
  <si>
    <t>ML Transaction Query 178</t>
  </si>
  <si>
    <t>ML Transaction Query 179</t>
  </si>
  <si>
    <t>ML Transaction Query 183</t>
  </si>
  <si>
    <t>ML Transaction Query 186</t>
  </si>
  <si>
    <t>ML Transaction Query 189</t>
  </si>
  <si>
    <t>ML Transaction Query 197</t>
  </si>
  <si>
    <t>ML Transaction Query 200</t>
  </si>
  <si>
    <t>ML Transaction Query 209</t>
  </si>
  <si>
    <t>ML Transaction Query 211</t>
  </si>
  <si>
    <t>ML Transaction Query 213</t>
  </si>
  <si>
    <t>ML Transaction Query 217</t>
  </si>
  <si>
    <t>ML Transaction Query 218</t>
  </si>
  <si>
    <t>ML Transaction Query 227</t>
  </si>
  <si>
    <t>ML Transaction Query 228</t>
  </si>
  <si>
    <t>ML Transaction Query 235</t>
  </si>
  <si>
    <t>ML Transaction Query 251</t>
  </si>
  <si>
    <t>ML Transaction Query 256</t>
  </si>
  <si>
    <t>ML Transaction Query 257</t>
  </si>
  <si>
    <t>ML Transaction Query 260</t>
  </si>
  <si>
    <t>ML Transaction Query 264</t>
  </si>
  <si>
    <t>ML Transaction Query 265</t>
  </si>
  <si>
    <t>ML Transaction Query 266</t>
  </si>
  <si>
    <t>ML Transaction Query 270</t>
  </si>
  <si>
    <t>ML Transaction Query 271</t>
  </si>
  <si>
    <t>ML Transaction Query 272</t>
  </si>
  <si>
    <t>ML Transaction Query 274</t>
  </si>
  <si>
    <t>ML Transaction Query 275</t>
  </si>
  <si>
    <t>ML Transaction Query 276</t>
  </si>
  <si>
    <t>ML Transaction Query 277</t>
  </si>
  <si>
    <t>ML Transaction Query 279</t>
  </si>
  <si>
    <t>ML Transaction Query 288</t>
  </si>
  <si>
    <t>ML Transaction Query 295</t>
  </si>
  <si>
    <t>ML Transaction Query 296</t>
  </si>
  <si>
    <t>ML Transaction Query 297</t>
  </si>
  <si>
    <t>ML Transaction Query 298</t>
  </si>
  <si>
    <t>ML Transaction Query 299</t>
  </si>
  <si>
    <t>ML Transaction Query 305</t>
  </si>
  <si>
    <t>ML Transaction Query 308</t>
  </si>
  <si>
    <t>ML Transaction Query 309</t>
  </si>
  <si>
    <t>ML Transaction Query 310</t>
  </si>
  <si>
    <t>ML Transaction Query 314</t>
  </si>
  <si>
    <t>ML Transaction Query 322</t>
  </si>
  <si>
    <t>ML Transaction Query 325</t>
  </si>
  <si>
    <t>ML Transaction Query 326</t>
  </si>
  <si>
    <t>ML Transaction Query 329</t>
  </si>
  <si>
    <t>ML Transaction Query 330</t>
  </si>
  <si>
    <t>ML Transaction Query 331</t>
  </si>
  <si>
    <t>ML Transaction Query 339</t>
  </si>
  <si>
    <t>ML Transaction Query 340</t>
  </si>
  <si>
    <t>ML Transaction Query 343</t>
  </si>
  <si>
    <t>ML Transaction Query 350</t>
  </si>
  <si>
    <t>ML Transaction Query 353</t>
  </si>
  <si>
    <t>ML Transaction Query 355</t>
  </si>
  <si>
    <t>ML Transaction Query 359</t>
  </si>
  <si>
    <t>ML Transaction Query 360</t>
  </si>
  <si>
    <t>ML Transaction Query 364</t>
  </si>
  <si>
    <t>ML Transaction Query 365</t>
  </si>
  <si>
    <t>ML Transaction Query 366</t>
  </si>
  <si>
    <t>ML Transaction Query 369</t>
  </si>
  <si>
    <t>ML Transaction Query 370</t>
  </si>
  <si>
    <t>ML Transaction Query 371</t>
  </si>
  <si>
    <t>ML Transaction Query 375</t>
  </si>
  <si>
    <t>ML Transaction Query 378</t>
  </si>
  <si>
    <t>ML Transaction Query 380</t>
  </si>
  <si>
    <t>ML Transaction Query 381</t>
  </si>
  <si>
    <t>ML Transaction Query 383</t>
  </si>
  <si>
    <t>ML Transaction Query 386</t>
  </si>
  <si>
    <t>ML Transaction Query 388</t>
  </si>
  <si>
    <t>ML Transaction Query 392</t>
  </si>
  <si>
    <t>ML Transaction Query 396</t>
  </si>
  <si>
    <t>ML Transaction Query 400</t>
  </si>
  <si>
    <t>ML Transaction Query 406</t>
  </si>
  <si>
    <t>ML Transaction Query 407</t>
  </si>
  <si>
    <t>ML Transaction Query 408</t>
  </si>
  <si>
    <t>ML Transaction Query 409</t>
  </si>
  <si>
    <t>ML Transaction Query 410</t>
  </si>
  <si>
    <t>ML Transaction Query 411</t>
  </si>
  <si>
    <t>ML Transaction Query 412</t>
  </si>
  <si>
    <t>ML Transaction Query 413</t>
  </si>
  <si>
    <t>ML Transaction Query 414</t>
  </si>
  <si>
    <t>ML Transaction Query 415</t>
  </si>
  <si>
    <t>ML Transaction Query 416</t>
  </si>
  <si>
    <t>ML Transaction Query 423</t>
  </si>
  <si>
    <t>ML Transaction Query 424</t>
  </si>
  <si>
    <t>ML Transaction Query 426</t>
  </si>
  <si>
    <t>ML Transaction Query 435</t>
  </si>
  <si>
    <t>ML Transaction Query 439</t>
  </si>
  <si>
    <t>ML Transaction Query 440</t>
  </si>
  <si>
    <t>ML Transaction Query 441</t>
  </si>
  <si>
    <t>ML Transaction Query 442</t>
  </si>
  <si>
    <t>ML Transaction Query 443</t>
  </si>
  <si>
    <t>ML Transaction Query 445</t>
  </si>
  <si>
    <t>ML Transaction Query 446</t>
  </si>
  <si>
    <t>ML Transaction Query 449</t>
  </si>
  <si>
    <t>ML Transaction Query 450</t>
  </si>
  <si>
    <t>ML Transaction Query 451</t>
  </si>
  <si>
    <t>ML Transaction Query 452</t>
  </si>
  <si>
    <t>ML Transaction Query 453</t>
  </si>
  <si>
    <t>ML Transaction Query 454</t>
  </si>
  <si>
    <t>ML Transaction Query 455</t>
  </si>
  <si>
    <t>ML Transaction Query 457</t>
  </si>
  <si>
    <t>ML Transaction Query 460</t>
  </si>
  <si>
    <t>ML Transaction Query 461</t>
  </si>
  <si>
    <t>ML Transaction Query 463</t>
  </si>
  <si>
    <t>ML Transaction Query 464</t>
  </si>
  <si>
    <t>ML Transaction Query 467</t>
  </si>
  <si>
    <t>ML Transaction Query 468</t>
  </si>
  <si>
    <t>ML Transaction Query 469</t>
  </si>
  <si>
    <t>ML Transaction Query 474</t>
  </si>
  <si>
    <t>BPP62412732157910</t>
  </si>
  <si>
    <t>ML Transaction Query 475</t>
  </si>
  <si>
    <t>BPP62411814724512</t>
  </si>
  <si>
    <t>ML Transaction Query 479</t>
  </si>
  <si>
    <t>BPP15522327199103</t>
  </si>
  <si>
    <t>ML Transaction Query 481</t>
  </si>
  <si>
    <t>BPP98172868424903</t>
  </si>
  <si>
    <t>ML Transaction Query 482</t>
  </si>
  <si>
    <t>BPP51923037364203</t>
  </si>
  <si>
    <t>ML Transaction Query 484</t>
  </si>
  <si>
    <t>BPP77722892280603</t>
  </si>
  <si>
    <t>ML Transaction Query 485</t>
  </si>
  <si>
    <t>BPP33312413910809</t>
  </si>
  <si>
    <t>ML Transaction Query 488</t>
  </si>
  <si>
    <t>BPP30610421059801</t>
  </si>
  <si>
    <t>ML Transaction Query 490</t>
  </si>
  <si>
    <t>BPP53121663991811</t>
  </si>
  <si>
    <t>ML Transaction Query 491</t>
  </si>
  <si>
    <t>BPP38820325333404</t>
  </si>
  <si>
    <t>ML Transaction Query 493</t>
  </si>
  <si>
    <t>BPP42821963062503</t>
  </si>
  <si>
    <t>ML Transaction Query 495</t>
  </si>
  <si>
    <t>BPP52720423410204</t>
  </si>
  <si>
    <t>ML Transaction Query 496</t>
  </si>
  <si>
    <t>BPP18020779502904</t>
  </si>
  <si>
    <t>ML Transaction Query 499</t>
  </si>
  <si>
    <t>BPP32020510492104</t>
  </si>
  <si>
    <t>ML Transaction Query 500</t>
  </si>
  <si>
    <t>BPP73220725388004</t>
  </si>
  <si>
    <t>ML Transaction Query 501</t>
  </si>
  <si>
    <t>BPP32021156549104</t>
  </si>
  <si>
    <t>ML Transaction Query 502</t>
  </si>
  <si>
    <t>BPX00110821553504</t>
  </si>
  <si>
    <t>ML Transaction Query 506</t>
  </si>
  <si>
    <t>BPP64011780427404</t>
  </si>
  <si>
    <t>ML Transaction Query 508</t>
  </si>
  <si>
    <t>BPP04721227589404</t>
  </si>
  <si>
    <t>ML Transaction Query 509</t>
  </si>
  <si>
    <t>BPP61921661958904</t>
  </si>
  <si>
    <t>ML Transaction Query 516</t>
  </si>
  <si>
    <t>BPP26021358693304</t>
  </si>
  <si>
    <t>ML Transaction Query 517</t>
  </si>
  <si>
    <t>BPP97820275497305</t>
  </si>
  <si>
    <t>ML Transaction Query 518</t>
  </si>
  <si>
    <t>BPP61920473610805</t>
  </si>
  <si>
    <t>ML Transaction Query 519</t>
  </si>
  <si>
    <t>BPP85720177946605</t>
  </si>
  <si>
    <t>ML Transaction Query 520</t>
  </si>
  <si>
    <t>BPP85720317358805</t>
  </si>
  <si>
    <t>ML Transaction Query 521</t>
  </si>
  <si>
    <t>BPP61820684896005</t>
  </si>
  <si>
    <t>ML Transaction Query 524</t>
  </si>
  <si>
    <t>BPP98172314448904</t>
  </si>
  <si>
    <t>ML Transaction Query 525</t>
  </si>
  <si>
    <t>BPP77921317530205</t>
  </si>
  <si>
    <t>ML Transaction Query 526</t>
  </si>
  <si>
    <t>BPP03021361293305</t>
  </si>
  <si>
    <t>ML Transaction Query 527</t>
  </si>
  <si>
    <t>BPP47421623809005</t>
  </si>
  <si>
    <t>ML Transaction Query 528</t>
  </si>
  <si>
    <t>BPP94821539329705</t>
  </si>
  <si>
    <t>ML Transaction Query 529</t>
  </si>
  <si>
    <t xml:space="preserve">'202405100301638980 </t>
  </si>
  <si>
    <t>BPP17821084000005</t>
  </si>
  <si>
    <t>Correct Transaction '202405100301639019 / BPP17821010788805</t>
  </si>
  <si>
    <t>ML TANONG</t>
  </si>
  <si>
    <t>ML Transaction Query 530</t>
  </si>
  <si>
    <t xml:space="preserve">'202405110301650499 </t>
  </si>
  <si>
    <t>BPP22171125847605</t>
  </si>
  <si>
    <t>Correct Transaction '202405110301650550 / BPP22171131010305</t>
  </si>
  <si>
    <t>ML LEONARD WOOD</t>
  </si>
  <si>
    <t>ML Transaction Query 531</t>
  </si>
  <si>
    <t xml:space="preserve">'202405110301650117 </t>
  </si>
  <si>
    <t>BPP22121145258705</t>
  </si>
  <si>
    <t>Correct Transaction '202405130301661056 / BPP22121354352705</t>
  </si>
  <si>
    <t>ML SAN JOAQUIN</t>
  </si>
  <si>
    <t>ML Transaction Query 532</t>
  </si>
  <si>
    <t xml:space="preserve">'202405240301768873 </t>
  </si>
  <si>
    <t>BPP98322448193305</t>
  </si>
  <si>
    <t>Correct Transaction '202405240301768964 / BPP98322415307005</t>
  </si>
  <si>
    <t>ML Transaction Query 533</t>
  </si>
  <si>
    <t xml:space="preserve">'202405210301739534 </t>
  </si>
  <si>
    <t>BPP50372119797505</t>
  </si>
  <si>
    <t>Correct Transaction '202405210301739652 / BPP50372194194705</t>
  </si>
  <si>
    <t>ML Transaction Query 534</t>
  </si>
  <si>
    <t xml:space="preserve">'202406020301872049 </t>
  </si>
  <si>
    <t>BPP40520272994506</t>
  </si>
  <si>
    <t>OVERSTATED AMOUNT  PHP 31,974.35 INSTEAD OF PHP 21,974.35 WITH THE DIFFERENCE OF PHP 10,000.00</t>
  </si>
  <si>
    <t>Correct Amount should only be PHP 21,974.35</t>
  </si>
  <si>
    <t>ML BANTAY, ILOCOS SUR</t>
  </si>
  <si>
    <t>ML Transaction Query 535</t>
  </si>
  <si>
    <t xml:space="preserve">'202406070301945698 </t>
  </si>
  <si>
    <t>BPP57470746454206</t>
  </si>
  <si>
    <t>OVERSTATED AMOUNT  PHP 21,375.22 INSTEAD OF PHP 19,704.22 WITH THE DIFFERENCE OF PHP 1,670.67</t>
  </si>
  <si>
    <t>Correct Amount should only be PHP 19,704.22</t>
  </si>
  <si>
    <t>ML Transaction Query 536</t>
  </si>
  <si>
    <t xml:space="preserve">'202405310301845722 </t>
  </si>
  <si>
    <t>BPP76023174054305</t>
  </si>
  <si>
    <t xml:space="preserve"> - LAZADA INC </t>
  </si>
  <si>
    <t>Correct Transaction ''202405310301845765 / BPP76023115803205</t>
  </si>
  <si>
    <t>ML VIGAN 2</t>
  </si>
  <si>
    <t>ML Transaction Query 541</t>
  </si>
  <si>
    <t xml:space="preserve">'202406210302130708 </t>
  </si>
  <si>
    <t>BPP23922198815106</t>
  </si>
  <si>
    <t>Correct Transaction ''202406210302130669 / BPP23922177391906</t>
  </si>
  <si>
    <t>ML Transaction Query 542</t>
  </si>
  <si>
    <t xml:space="preserve">'202406200302113973 </t>
  </si>
  <si>
    <t>BPP19272035343106</t>
  </si>
  <si>
    <t>OVERSTATED AMOUNT  PHP 7,032.44 INSTEAD OF PHP 1,032.44 WITH THE DIFFERENCE OF PHP 6,000.00</t>
  </si>
  <si>
    <t>Correct Amount should only be PHP 1,032.44</t>
  </si>
  <si>
    <t>ML Transaction Query 543</t>
  </si>
  <si>
    <t xml:space="preserve">'202406170302071868 </t>
  </si>
  <si>
    <t>BPP69661761376806</t>
  </si>
  <si>
    <t>OVERSTATED AMOUNT  PHP 33,478.00 INSTEAD OF PHP 30,478.00 WITH THE DIFFERENCE OF PHP 3,000.00</t>
  </si>
  <si>
    <t>Correct Amount should only be PHP 30,478.00</t>
  </si>
  <si>
    <t>ML UM MATINA</t>
  </si>
  <si>
    <t>ML Transaction Query 546</t>
  </si>
  <si>
    <t xml:space="preserve">'202406280302212519 </t>
  </si>
  <si>
    <t>BPP15322817986006</t>
  </si>
  <si>
    <t>OVERSTATED AMOUNT  PHP 16,719.43 INSTEAD OF PHP 307.14 WITH THE DIFFERENCE OF PHP 16,412.29</t>
  </si>
  <si>
    <t>Correct Amount should only be PHP 307.14</t>
  </si>
  <si>
    <t>ML Transaction Query 552</t>
  </si>
  <si>
    <t xml:space="preserve">'202406280302205300 </t>
  </si>
  <si>
    <t>Correct Transaction '202406280302205377 / 'BPP46822815582806</t>
  </si>
  <si>
    <t>ML CANDABA</t>
  </si>
  <si>
    <t>ML Transaction Query 553</t>
  </si>
  <si>
    <t xml:space="preserve">'202407100302364682 </t>
  </si>
  <si>
    <t>OVERSTATED AMOUNT  PHP 5,561.06 INSTEAD OF PHP 5,261.06 WITH THE DIFFERENCE OF PHP 300.00</t>
  </si>
  <si>
    <t>Correct Amount should only be PHP 5,261.06</t>
  </si>
  <si>
    <t>ML SAMPALOC TANAY</t>
  </si>
  <si>
    <t>ML Transaction Query 554</t>
  </si>
  <si>
    <t xml:space="preserve">'202407110302376696 </t>
  </si>
  <si>
    <t>OVERSTATED AMOUNT  PHP 6,066.99 INSTEAD OF PHP 6,006.99 WITH THE DIFFERENCE OF PHP 60.00</t>
  </si>
  <si>
    <t>Correct Amount should only be PHP 6,006.99</t>
  </si>
  <si>
    <t>ML AGTON</t>
  </si>
  <si>
    <t>ML Transaction Query 556</t>
  </si>
  <si>
    <t xml:space="preserve">'202407080302334210 </t>
  </si>
  <si>
    <t>ML BULAKAN, BULACAN</t>
  </si>
  <si>
    <t>ML Transaction Query 560</t>
  </si>
  <si>
    <t xml:space="preserve">'202407240302544471 </t>
  </si>
  <si>
    <t>OVERSTATED AMOUNT  PHP 35,249.70 INSTEAD OF PHP 33,249.70 WITH THE DIFFERENCE OF PHP 2,000.00</t>
  </si>
  <si>
    <t>Correct Amount should only be PHP 33,249.70</t>
  </si>
  <si>
    <t>ML Transaction Query 562</t>
  </si>
  <si>
    <t xml:space="preserve">'202407250302551633 </t>
  </si>
  <si>
    <t>OVERSTATED AMOUNT  PHP 38,364.28 INSTEAD OF PHP 32,364.28 WITH THE DIFFERENCE OF PHP 6,000.00</t>
  </si>
  <si>
    <t>Correct Amount should only be PHP 32,364.28</t>
  </si>
  <si>
    <t>ML Transaction Query 563</t>
  </si>
  <si>
    <t xml:space="preserve">'202408010302653277 </t>
  </si>
  <si>
    <t xml:space="preserve">DIOVANIE  DEL ROSARIO  </t>
  </si>
  <si>
    <t>OVERSTATED AMOUNT  PHP 35,162.76 INSTEAD OF PHP 25,162.76 WITH THE DIFFERENCE OF PHP 10,000.00</t>
  </si>
  <si>
    <t>Correct Amount should only be PHP 25,162.76</t>
  </si>
  <si>
    <t>ML SAN JOSE BATANGAS</t>
  </si>
  <si>
    <t>ML Transaction Query 565</t>
  </si>
  <si>
    <t xml:space="preserve">'202407190302467546 </t>
  </si>
  <si>
    <t xml:space="preserve">JOHN MACNEIL OPENIANO </t>
  </si>
  <si>
    <t>Correct Transaction '202407190302467882 / BPP34021951499007</t>
  </si>
  <si>
    <t>ML COGEO 2</t>
  </si>
  <si>
    <t>ML Transaction Query 566</t>
  </si>
  <si>
    <t xml:space="preserve">'202408070302727931 </t>
  </si>
  <si>
    <t>OVERSTATED AMOUNT  PHP 3,871.14 INSTEAD OF PHP 3,212.44 WITH THE DIFFERENCE OF PHP 658.7</t>
  </si>
  <si>
    <t>Correct Amount should only be PHP 3,212.44</t>
  </si>
  <si>
    <t>ML Transaction Query 567</t>
  </si>
  <si>
    <t xml:space="preserve">'202407050302299162 </t>
  </si>
  <si>
    <t>OVERSTATED AMOUNT  PHP 31,382.09 INSTEAD OF PHP 29,229.09 WITH THE DIFFERENCE OF PHP 2,153.00</t>
  </si>
  <si>
    <t>Correct Amount should only be PHP 29,229.09</t>
  </si>
  <si>
    <t>ML MATINA APLAYA</t>
  </si>
  <si>
    <t>ML Transaction Query 568</t>
  </si>
  <si>
    <t xml:space="preserve">'202407290302603280 </t>
  </si>
  <si>
    <t>ML MA-A</t>
  </si>
  <si>
    <t>ML Transaction Query 572</t>
  </si>
  <si>
    <t xml:space="preserve">'202408140302812536 </t>
  </si>
  <si>
    <t>OVERSTATED AMOUNT  PHP 12,766.76 INSTEAD OF PHP 10,490.54 WITH THE DIFFERENCE OF PHP 2,276.22</t>
  </si>
  <si>
    <t>Correct Amount should only be PHP 10,490.54</t>
  </si>
  <si>
    <t>ML Transaction Query 573</t>
  </si>
  <si>
    <t xml:space="preserve">'202408210302925548 </t>
  </si>
  <si>
    <t>OVERSTATED AMOUNT  PHP 13,301.49 INSTEAD OF PHP 11,301.49 WITH THE DIFFERENCE OF PHP 2,000.00</t>
  </si>
  <si>
    <t>Correct Amount should only be PHP 11,301.49</t>
  </si>
  <si>
    <t>ML CULIAT</t>
  </si>
  <si>
    <t>ML Transaction Query 574</t>
  </si>
  <si>
    <t xml:space="preserve">'202408130302804242 </t>
  </si>
  <si>
    <t xml:space="preserve">DANILO JR CASTRO </t>
  </si>
  <si>
    <t>ML Transaction Query 575</t>
  </si>
  <si>
    <t xml:space="preserve">'202408280303017369 </t>
  </si>
  <si>
    <t>OVERSTATED AMOUNT  PHP 9,679.44 INSTEAD OF PHP 7,679.44 WITH THE DIFFERENCE OF PHP 2,000.00</t>
  </si>
  <si>
    <t>Correct Amount should only be PHP 7,679.44</t>
  </si>
  <si>
    <t>ML Transaction Query 576</t>
  </si>
  <si>
    <t xml:space="preserve">'202408280303007544 </t>
  </si>
  <si>
    <t>OVERSTATED AMOUNT  PHP 21,187.89 INSTEAD OF PHP 4,187.89 WITH THE DIFFERENCE OF PHP 17,000.00</t>
  </si>
  <si>
    <t>Correct Amount should only be PHP 4,187.89</t>
  </si>
  <si>
    <t>ML Transaction Query 577</t>
  </si>
  <si>
    <t xml:space="preserve">'202408120302789954 </t>
  </si>
  <si>
    <t>ML GADDANG</t>
  </si>
  <si>
    <t>ML Transaction Query 579</t>
  </si>
  <si>
    <t xml:space="preserve">'202409040303130615 </t>
  </si>
  <si>
    <t xml:space="preserve">SECURITY BANK LAZADA  SECURITY BANK LAZADA  </t>
  </si>
  <si>
    <t>OVERSTATED AMOUNT  PHP 3,534.53 INSTEAD OF PHP 2,534.53 WITH THE DIFFERENCE OF PHP 1,000.00</t>
  </si>
  <si>
    <t>Correct Amount should only be PHP 2,534.53</t>
  </si>
  <si>
    <t>ML BAGUMBONG</t>
  </si>
  <si>
    <t>ML Transaction Query 580</t>
  </si>
  <si>
    <t xml:space="preserve">'202408140302821156 </t>
  </si>
  <si>
    <t>Correct Transaction 202408140302821370 / BPP58721491470608</t>
  </si>
  <si>
    <t>ML MERVILLE</t>
  </si>
  <si>
    <t>ML Transaction Query 581</t>
  </si>
  <si>
    <t xml:space="preserve">'202408040302683592 </t>
  </si>
  <si>
    <t>Correct Transaction 202408070302727458 / BPP91520738812608</t>
  </si>
  <si>
    <t>ML Transaction Query 582</t>
  </si>
  <si>
    <t xml:space="preserve">'202408160302861622 </t>
  </si>
  <si>
    <t>Correct Transaction 202408160302861739 / BPP19321679258608</t>
  </si>
  <si>
    <t>ML C5, MAKATI</t>
  </si>
  <si>
    <t>ML Transaction Query 585</t>
  </si>
  <si>
    <t xml:space="preserve">'202408210302926611 </t>
  </si>
  <si>
    <t>Correct Transaction 202408210302926835 / BPP23322188444708</t>
  </si>
  <si>
    <t>ML MABUHAY</t>
  </si>
  <si>
    <t>ML Transaction Query 586</t>
  </si>
  <si>
    <t xml:space="preserve">'202408210302925616 </t>
  </si>
  <si>
    <t xml:space="preserve">JOHNLYN ESCARCHA </t>
  </si>
  <si>
    <t>Correct Transaction 202408210302925760 / BPP55322174244308</t>
  </si>
  <si>
    <t>ML FABELLA 1</t>
  </si>
  <si>
    <t>ML Transaction Query 587</t>
  </si>
  <si>
    <t xml:space="preserve">'202408210302925502 </t>
  </si>
  <si>
    <t>Correct Transaction 202408230302959018 / BPP85822340452208</t>
  </si>
  <si>
    <t>ML Transaction Query 588</t>
  </si>
  <si>
    <t xml:space="preserve">'202408210302925404 </t>
  </si>
  <si>
    <t xml:space="preserve">NORMIEL BALERO </t>
  </si>
  <si>
    <t>Correct Transaction 202408210302925600 / BPP56222162286308</t>
  </si>
  <si>
    <t>ML Transaction Query 590</t>
  </si>
  <si>
    <t xml:space="preserve">'202408300303059692 </t>
  </si>
  <si>
    <t>Correct Transaction 202408300303059799 / BPP11023024836008</t>
  </si>
  <si>
    <t>ML BAYOMBONG, N.V</t>
  </si>
  <si>
    <t>ML Transaction Query 591</t>
  </si>
  <si>
    <t xml:space="preserve">'202408270303001466 </t>
  </si>
  <si>
    <t>Correct Transaction 202408270303001576 / BPP07522740084408</t>
  </si>
  <si>
    <t>ML STA. IGNACIA, TARLAC</t>
  </si>
  <si>
    <t>ML Transaction Query 593</t>
  </si>
  <si>
    <t xml:space="preserve">'202409070303173146 </t>
  </si>
  <si>
    <t>Correct Transaction 202409070303173242 / BPP09680779205709</t>
  </si>
  <si>
    <t>ML Transaction Query 595</t>
  </si>
  <si>
    <t xml:space="preserve">'202409190303362714 </t>
  </si>
  <si>
    <t>Correct Transaction 202409190303362748 / BPP85721970783609</t>
  </si>
  <si>
    <t>ML Transaction Query 596</t>
  </si>
  <si>
    <t xml:space="preserve">'202409190303350868 </t>
  </si>
  <si>
    <t xml:space="preserve">ZA LA </t>
  </si>
  <si>
    <t>Correct Transaction 202409190303351180 / BPP87821933195909</t>
  </si>
  <si>
    <t>ML STO. TOMAS 2 BATANGAS</t>
  </si>
  <si>
    <t>ML Transaction Query 597</t>
  </si>
  <si>
    <t xml:space="preserve">'202408210302924516 </t>
  </si>
  <si>
    <t>Correct Transaction 202408210302924654 / BPP72312123339908</t>
  </si>
  <si>
    <t>ML Transaction Query 599</t>
  </si>
  <si>
    <t xml:space="preserve">'202409260303459932 </t>
  </si>
  <si>
    <t>OVERSTATED AMOUNT  PHP 26,160.11 INSTEAD OF PHP 25,160.11 WITH THE DIFFERENCE OF PHP 1,000.00</t>
  </si>
  <si>
    <t>Correct Amount should only be PHP 25,160.11</t>
  </si>
  <si>
    <t>ML Transaction Query 600</t>
  </si>
  <si>
    <t xml:space="preserve">'202409290303500094 </t>
  </si>
  <si>
    <t>OVERSTATED AMOUNT  PHP 4,720.44 INSTEAD OF PHP 4,270.44 WITH THE DIFFERENCE OF PHP 450.00</t>
  </si>
  <si>
    <t>Correct Amount should only be PHP 450.00</t>
  </si>
  <si>
    <t>ML Transaction Query 601</t>
  </si>
  <si>
    <t xml:space="preserve">'202410030303584396 </t>
  </si>
  <si>
    <t xml:space="preserve">SECURITY BANK LAZADA </t>
  </si>
  <si>
    <t>OVERSTATED AMOUNT  PHP 27,054.59 INSTEAD OF PHP 24,054.59 WITH THE DIFFERENCE OF PHP 3,000.00</t>
  </si>
  <si>
    <t>Correct Amount should only be PHP 24,054.59</t>
  </si>
  <si>
    <t>ML LEGARDA, BAGUIO</t>
  </si>
  <si>
    <t>ML Transaction Query 602</t>
  </si>
  <si>
    <t xml:space="preserve">'202409060303160466 </t>
  </si>
  <si>
    <t>Correct Transaction 202409070303167926 / BPP12910755314609</t>
  </si>
  <si>
    <t>ML TALISAY CEBU</t>
  </si>
  <si>
    <t>ML Transaction Query 603</t>
  </si>
  <si>
    <t xml:space="preserve">'202409220303392734 </t>
  </si>
  <si>
    <t>Correct Transaction 202409220303392751 / BPP95722265681809</t>
  </si>
  <si>
    <t>ML SAN ISIDRO RODRIGUEZ, RIZAL</t>
  </si>
  <si>
    <t>ML Transaction Query 604</t>
  </si>
  <si>
    <t xml:space="preserve">'202409250303441686 </t>
  </si>
  <si>
    <t>ML MACASANDIG</t>
  </si>
  <si>
    <t>ML Transaction Query 605</t>
  </si>
  <si>
    <t xml:space="preserve">'202410120303722474 </t>
  </si>
  <si>
    <t xml:space="preserve">SECUIRTY BANK LAZADA SECURITY BANK LAZADA </t>
  </si>
  <si>
    <t>OVERSTATED AMOUNT  PHP 26,060.01 INSTEAD OF PHP 20,060.01 WITH THE DIFFERENCE OF PHP 6,000.00</t>
  </si>
  <si>
    <t>Correct Amount should only be PHP 20,060.01</t>
  </si>
  <si>
    <t>ML Transaction Query 606</t>
  </si>
  <si>
    <t xml:space="preserve">'202409280303491319 </t>
  </si>
  <si>
    <t>Correct Transaction 202409280303491434 / BPP73722835738709</t>
  </si>
  <si>
    <t>ML SUBIC</t>
  </si>
  <si>
    <t>REJECTED - POSTED IN ACCOUNT STATEMENT</t>
  </si>
  <si>
    <t>BPP34753139223208</t>
  </si>
  <si>
    <t>BPP38453088323311</t>
  </si>
  <si>
    <t xml:space="preserve">'202402160300798697 </t>
  </si>
  <si>
    <t>BPP23571620757702</t>
  </si>
  <si>
    <t xml:space="preserve">'202402160300800722 </t>
  </si>
  <si>
    <t>BPP25621689636002</t>
  </si>
  <si>
    <t>ML BARAS, RIZAL</t>
  </si>
  <si>
    <t xml:space="preserve">'202402170300806612 </t>
  </si>
  <si>
    <t>BPP86171730866002</t>
  </si>
  <si>
    <t xml:space="preserve">'202402170300807552 </t>
  </si>
  <si>
    <t>BPP89411715903402</t>
  </si>
  <si>
    <t xml:space="preserve">'202402170300807560 </t>
  </si>
  <si>
    <t>BPP32021725273902</t>
  </si>
  <si>
    <t xml:space="preserve">'202402180300811546 </t>
  </si>
  <si>
    <t>BPP27621881472302</t>
  </si>
  <si>
    <t xml:space="preserve">'202402180300812404 </t>
  </si>
  <si>
    <t>BPP92071812983302</t>
  </si>
  <si>
    <t>ML BAGUIO 5</t>
  </si>
  <si>
    <t xml:space="preserve">'202402180300813556 </t>
  </si>
  <si>
    <t>BPP17621841879802</t>
  </si>
  <si>
    <t xml:space="preserve">'202402190300819892 </t>
  </si>
  <si>
    <t>BPP47371953663102</t>
  </si>
  <si>
    <t>ML TUGATOG</t>
  </si>
  <si>
    <t xml:space="preserve">'202404120301356334 </t>
  </si>
  <si>
    <t>BPP19271248541104</t>
  </si>
  <si>
    <t xml:space="preserve">LAZADA INC  LAZAD AINCV  </t>
  </si>
  <si>
    <t xml:space="preserve">'202404120301360150 </t>
  </si>
  <si>
    <t>BPP30721280049304</t>
  </si>
  <si>
    <t xml:space="preserve">LAZADA IONC LAZADA INC </t>
  </si>
  <si>
    <t xml:space="preserve">'202404120301360668 </t>
  </si>
  <si>
    <t>BPP05471247811004</t>
  </si>
  <si>
    <t xml:space="preserve">'202404120301362450 </t>
  </si>
  <si>
    <t>BPP97821213019504</t>
  </si>
  <si>
    <t xml:space="preserve">'202404120301362634 </t>
  </si>
  <si>
    <t>BPP17621267856404</t>
  </si>
  <si>
    <t xml:space="preserve">'202404140301374878 </t>
  </si>
  <si>
    <t>BPX00111478541304</t>
  </si>
  <si>
    <t>HO</t>
  </si>
  <si>
    <t xml:space="preserve">'202404140301375804 </t>
  </si>
  <si>
    <t>BPP27621425909004</t>
  </si>
  <si>
    <t xml:space="preserve">'202404140301376024 </t>
  </si>
  <si>
    <t>BPP05571481199604</t>
  </si>
  <si>
    <t xml:space="preserve">'202404140301377428 </t>
  </si>
  <si>
    <t>BPP73721422568404</t>
  </si>
  <si>
    <t xml:space="preserve">'202404250301490786 </t>
  </si>
  <si>
    <t>BPP38652588240004</t>
  </si>
  <si>
    <t xml:space="preserve">COLLEGE PACIFIC INTERCONTINENTAL </t>
  </si>
  <si>
    <t xml:space="preserve">'2461103726 </t>
  </si>
  <si>
    <t>ML SAN FERNANDO ROMBLON</t>
  </si>
  <si>
    <t xml:space="preserve">'202404250301491997 </t>
  </si>
  <si>
    <t>BPP31912589678004</t>
  </si>
  <si>
    <t xml:space="preserve">JULIET ANGDAY </t>
  </si>
  <si>
    <t xml:space="preserve">'1827597020 </t>
  </si>
  <si>
    <t>ML TAGUM 1</t>
  </si>
  <si>
    <t>OUTSTANDING BALANCE</t>
  </si>
  <si>
    <t>BOUNTY PLUS - LUZON (PROVINCIAL FRESH LUZON)</t>
  </si>
  <si>
    <t>PARTNER DAILY</t>
  </si>
  <si>
    <t>DOKTORS GENERICS PHARMACY INC</t>
  </si>
  <si>
    <t>BIYAHEKO.COM CORPORATION</t>
  </si>
  <si>
    <t>ML SUBASTA SALES</t>
  </si>
  <si>
    <t>RCBC - CEBU SEA CHARTERERS INC.</t>
  </si>
  <si>
    <t>JR AND R</t>
  </si>
  <si>
    <t>ML Transaction Query 607</t>
  </si>
  <si>
    <t xml:space="preserve">'202410160303795413 </t>
  </si>
  <si>
    <t xml:space="preserve">WALTER BAJELOT </t>
  </si>
  <si>
    <t>OVERSTATED AMOUNT  PHP 20,138.54 INSTEAD OF PHP 12,138.54 WITH THE DIFFERENCE OF PHP 8,000.00</t>
  </si>
  <si>
    <t>Correct Amount should only be PHP 12,138.54</t>
  </si>
  <si>
    <t>ML SANTIAGO 5, ISABELA</t>
  </si>
  <si>
    <t>ML Transaction Query 608</t>
  </si>
  <si>
    <t xml:space="preserve">'202409050303148658 </t>
  </si>
  <si>
    <t>OVERSTATED AMOUNT  PHP 9,468.00 INSTEAD OF PHP 3,468.00 WITH THE DIFFERENCE OF PHP 6,000.00</t>
  </si>
  <si>
    <t>Correct Amount should only be 3,468.00</t>
  </si>
  <si>
    <t>ML Transaction Query 609</t>
  </si>
  <si>
    <t xml:space="preserve">'202410230303905426 </t>
  </si>
  <si>
    <t>OVERSTATED AMOUNT  PHP 490.00 INSTEAD OF PHP 49.00 WITH THE DIFFERENCE OF PHP 441.00</t>
  </si>
  <si>
    <t>Correct Amount should only be 441.00</t>
  </si>
  <si>
    <t>ML Transaction Query 610</t>
  </si>
  <si>
    <t xml:space="preserve">'202409280303490616 </t>
  </si>
  <si>
    <t>ML Transaction Query 611</t>
  </si>
  <si>
    <t xml:space="preserve">'202410280303987544 </t>
  </si>
  <si>
    <t>OVERSTATED AMOUNT  PHP 49,409.00 INSTEAD OF PHP 42,409.00 WITH THE DIFFERENCE OF PHP 7,000.00</t>
  </si>
  <si>
    <t>Correct Amount should only be 42,409.00</t>
  </si>
  <si>
    <t>ML CRM AVENUE, ALMANZA LP</t>
  </si>
  <si>
    <t>MATI WATER DISTRICT</t>
  </si>
  <si>
    <t>ML MARKETING SUBASTA LIVE SELLING</t>
  </si>
  <si>
    <t>RCBC - BUFFALO FARM SUPPLY</t>
  </si>
  <si>
    <t>BIYAHEKO.COM</t>
  </si>
  <si>
    <t>RCBC-LUZON</t>
  </si>
  <si>
    <t>Billers Name</t>
  </si>
  <si>
    <t>CAMIGUIN WATER COMPANY (BLUE HYDRO PACIFIC INC.)</t>
  </si>
  <si>
    <t>CHICKY OINK</t>
  </si>
  <si>
    <t>DITO TELECOMMUNITY CORPORATION</t>
  </si>
  <si>
    <t>MORE ELECTRIC AND POWER CORPORATION</t>
  </si>
  <si>
    <t>SPICA DISTRIBUTION INTERNATIONAL INC.</t>
  </si>
  <si>
    <t>BPP46822849794506</t>
  </si>
  <si>
    <t>BPP13281065679007</t>
  </si>
  <si>
    <t>BPP34561114439507</t>
  </si>
  <si>
    <t>BPP19020855295407</t>
  </si>
  <si>
    <t>BPP77922415911307</t>
  </si>
  <si>
    <t>BPP49572552298907</t>
  </si>
  <si>
    <t>BPP66620132097408</t>
  </si>
  <si>
    <t>BPP34021976424607</t>
  </si>
  <si>
    <t>BPP72820765150708</t>
  </si>
  <si>
    <t>BPP01560552382107</t>
  </si>
  <si>
    <t>BPP24022970598107</t>
  </si>
  <si>
    <t>BPP34021450960608</t>
  </si>
  <si>
    <t>BPP02582189145908</t>
  </si>
  <si>
    <t>BPP03771326444208</t>
  </si>
  <si>
    <t>BPP86172816836308</t>
  </si>
  <si>
    <t>BPP38822865129708</t>
  </si>
  <si>
    <t>BPP80421255728408</t>
  </si>
  <si>
    <t>BPP06480425862209</t>
  </si>
  <si>
    <t>BPP58721479189408</t>
  </si>
  <si>
    <t>BPP91520479306208</t>
  </si>
  <si>
    <t>BPP19321685259208</t>
  </si>
  <si>
    <t>BPP23322169299808</t>
  </si>
  <si>
    <t>BPP55322191492408</t>
  </si>
  <si>
    <t>BPP85822193884608</t>
  </si>
  <si>
    <t>BPP56222119429508</t>
  </si>
  <si>
    <t>BPP11023033581508</t>
  </si>
  <si>
    <t>BPP07522759016808</t>
  </si>
  <si>
    <t>BPP09680716824609</t>
  </si>
  <si>
    <t>BPP85721952620809</t>
  </si>
  <si>
    <t>BPP87821953920309</t>
  </si>
  <si>
    <t>BPP72312155767408</t>
  </si>
  <si>
    <t>BPP03022627671209</t>
  </si>
  <si>
    <t>BPP09682924253509</t>
  </si>
  <si>
    <t>BPP27620313495010</t>
  </si>
  <si>
    <t>BPP12910618866809</t>
  </si>
  <si>
    <t>BPP95722236786909</t>
  </si>
  <si>
    <t>BPP89612524447209</t>
  </si>
  <si>
    <t>BPP11021280728110</t>
  </si>
  <si>
    <t>BPP73722871805009</t>
  </si>
  <si>
    <t>BPP29621629912710</t>
  </si>
  <si>
    <t>BPX00110519521609</t>
  </si>
  <si>
    <t>BPP15322362321710</t>
  </si>
  <si>
    <t>BPP03512889143509</t>
  </si>
  <si>
    <t>BPP02622826251810</t>
  </si>
  <si>
    <t>ML Transaction Query 626</t>
  </si>
  <si>
    <t xml:space="preserve">'202411220304413452 </t>
  </si>
  <si>
    <t>BPP17622282315711</t>
  </si>
  <si>
    <t>Correct Transaction 202411220304413572 / BPP17622285773711</t>
  </si>
  <si>
    <t>ML Transaction Query 627</t>
  </si>
  <si>
    <t xml:space="preserve">'202411300304550085 </t>
  </si>
  <si>
    <t>BPP50723073916911</t>
  </si>
  <si>
    <t>OVERSTATED AMOUNT  PHP 13,767.37 INSTEAD OF PHP 12,767.37 WITH THE DIFFERENCE OF PHP 1,000.00</t>
  </si>
  <si>
    <t>Correct Amount should only be 12,767.37</t>
  </si>
  <si>
    <t>ML LERMA</t>
  </si>
  <si>
    <t>ML Transaction Query 632</t>
  </si>
  <si>
    <t xml:space="preserve">'202412140304814806 </t>
  </si>
  <si>
    <t>BPP85721428454112</t>
  </si>
  <si>
    <t>OVERSTATED AMOUNT  PHP 27,865.59 INSTEAD OF PHP 21,605.38 WITH THE DIFFERENCE OF PHP 6,260.21</t>
  </si>
  <si>
    <t>Correct Amount should only be 21,605.38</t>
  </si>
  <si>
    <t>ML Transaction Query 634</t>
  </si>
  <si>
    <t xml:space="preserve">'202412180304887486 </t>
  </si>
  <si>
    <t>BPP89571854102912</t>
  </si>
  <si>
    <t>OVERSTATED AMOUNT  PHP 7,488.88 INSTEAD OF PHP 748.88 WITH THE DIFFERENCE OF PHP 6,740.00</t>
  </si>
  <si>
    <t>Correct Amount should only be 748.88</t>
  </si>
  <si>
    <t>ML Transaction Query 635</t>
  </si>
  <si>
    <t xml:space="preserve">'202412180304893334 </t>
  </si>
  <si>
    <t>BPP21221861659712</t>
  </si>
  <si>
    <t>OVERSTATED AMOUNT  PHP 3,402.06 INSTEAD OF PHP 2,213.57 WITH THE DIFFERENCE OF PHP 1,188.49</t>
  </si>
  <si>
    <t>Correct Amount should only be 2,213.57</t>
  </si>
  <si>
    <t>ML BAGONG BARRIO</t>
  </si>
  <si>
    <t>ML Transaction Query 644</t>
  </si>
  <si>
    <t xml:space="preserve">'202412240305013430 </t>
  </si>
  <si>
    <t>BPP27522450120012</t>
  </si>
  <si>
    <t>ML BUSTOS, BULACAN</t>
  </si>
  <si>
    <t xml:space="preserve">'202410110303706212 </t>
  </si>
  <si>
    <t xml:space="preserve">BPP48451148586610 </t>
  </si>
  <si>
    <t xml:space="preserve">RODERICK TINGNE </t>
  </si>
  <si>
    <t xml:space="preserve">'7591237442 </t>
  </si>
  <si>
    <t>ML ROXAS, PALAWAN</t>
  </si>
  <si>
    <t>2025</t>
  </si>
  <si>
    <t xml:space="preserve">SPICA </t>
  </si>
  <si>
    <t>SAN MARCELINO WATER DISTRICT</t>
  </si>
  <si>
    <t>JULIE'S FRANCHISE CORP</t>
  </si>
  <si>
    <t>SPICA DISTRIBUTION</t>
  </si>
  <si>
    <t>2022</t>
  </si>
  <si>
    <t>EJ AGRIVET TRADING CORP</t>
  </si>
  <si>
    <t>WRONG BILLER - INTENDED FOR FLASHPAY</t>
  </si>
  <si>
    <t>Correct Billler - Flashpay</t>
  </si>
  <si>
    <t>As of March 31, 2025</t>
  </si>
  <si>
    <t>NETBANK RTA</t>
  </si>
  <si>
    <t>JMC DISTRIBUTION</t>
  </si>
  <si>
    <t>ILOILO II ELECTRIC COOPERATIVE (ILECO 2)</t>
  </si>
  <si>
    <t>MR. POTATO</t>
  </si>
  <si>
    <t>MR. TAHO</t>
  </si>
  <si>
    <t>RCBC-CITIBANK</t>
  </si>
  <si>
    <r>
      <t xml:space="preserve">OVERSTATED AMOUNT  PHP 9,544.70 INSTEAD OF PHP 730.79 WITH THE DIFFERENCE OF PHP </t>
    </r>
    <r>
      <rPr>
        <sz val="8"/>
        <color theme="1"/>
        <rFont val="Arial"/>
        <family val="2"/>
      </rPr>
      <t>8,813.91</t>
    </r>
  </si>
  <si>
    <r>
      <t xml:space="preserve">OVERSTATED AMOUNT  PHP 23,796.26 INSTEAD OF PHP 3,796.26 WITH THE DIFFERENCE OF PHP </t>
    </r>
    <r>
      <rPr>
        <sz val="8"/>
        <color theme="1"/>
        <rFont val="Arial"/>
        <family val="2"/>
      </rPr>
      <t>20,000.00.</t>
    </r>
  </si>
  <si>
    <r>
      <t xml:space="preserve">OVERSTATED AMOUNT  PHP 1,322.35 INSTEAD OF PHP 322.35 WITH THE DIFFERENCE OF PHP </t>
    </r>
    <r>
      <rPr>
        <sz val="8"/>
        <color theme="1"/>
        <rFont val="Arial"/>
        <family val="2"/>
      </rPr>
      <t>1,000.00.</t>
    </r>
  </si>
  <si>
    <r>
      <t xml:space="preserve">OVERSTATED AMOUNT  PHP 3,512.44 INSTEAD OF PHP 3,412.44 WITH THE DIFFERENCE OF PHP </t>
    </r>
    <r>
      <rPr>
        <sz val="8"/>
        <color theme="1"/>
        <rFont val="Arial"/>
        <family val="2"/>
      </rPr>
      <t>100.00.</t>
    </r>
  </si>
  <si>
    <r>
      <t xml:space="preserve">OVERSTATED AMOUNT  PHP 29,495.97 INSTEAD OF PHP 26,495.97 WITH THE DIFFERENCE OF PHP </t>
    </r>
    <r>
      <rPr>
        <sz val="8"/>
        <color theme="1"/>
        <rFont val="Arial"/>
        <family val="2"/>
      </rPr>
      <t>3,000.00.</t>
    </r>
  </si>
  <si>
    <r>
      <t xml:space="preserve">OVERSTATED AMOUNT  PHP 18,579.86 INSTEAD OF PHP 12,579.86 WITH THE DIFFERENCE OF PHP </t>
    </r>
    <r>
      <rPr>
        <sz val="8"/>
        <color theme="1"/>
        <rFont val="Arial"/>
        <family val="2"/>
      </rPr>
      <t>6,000.00</t>
    </r>
    <r>
      <rPr>
        <sz val="8"/>
        <color rgb="FFFF0000"/>
        <rFont val="Arial"/>
        <family val="2"/>
      </rPr>
      <t>.</t>
    </r>
  </si>
  <si>
    <r>
      <t xml:space="preserve">OVERSTATED AMOUNT  PHP 14,195.48 INSTEAD OF PHP 12,195.48 WITH THE DIFFERENCE OF PHP </t>
    </r>
    <r>
      <rPr>
        <sz val="8"/>
        <color theme="1"/>
        <rFont val="Arial"/>
        <family val="2"/>
      </rPr>
      <t>2,000.00</t>
    </r>
    <r>
      <rPr>
        <sz val="8"/>
        <color rgb="FFFF0000"/>
        <rFont val="Arial"/>
        <family val="2"/>
      </rPr>
      <t>.</t>
    </r>
  </si>
  <si>
    <r>
      <t xml:space="preserve">OVERSTATED AMOUNT  PHP 6,864.78 INSTEAD OF PHP 3,451.94 WITH THE DIFFERENCE OF PHP </t>
    </r>
    <r>
      <rPr>
        <sz val="8"/>
        <color theme="1"/>
        <rFont val="Arial"/>
        <family val="2"/>
      </rPr>
      <t>3,412.84.</t>
    </r>
  </si>
  <si>
    <r>
      <t xml:space="preserve">OVERSTATED AMOUNT  PHP 9,731.52 INSTEAD OF PHP 6,731.52 WITH THE DIFFERENCE OF PHP </t>
    </r>
    <r>
      <rPr>
        <sz val="8"/>
        <color theme="1"/>
        <rFont val="Arial"/>
        <family val="2"/>
      </rPr>
      <t>3,000.</t>
    </r>
  </si>
  <si>
    <r>
      <t xml:space="preserve">OVERSTATED AMOUNT  PHP 8,750.74 INSTEAD OF PHP 4,474.22 WITH THE DIFFERENCE OF PHP </t>
    </r>
    <r>
      <rPr>
        <sz val="8"/>
        <color theme="1"/>
        <rFont val="Arial"/>
        <family val="2"/>
      </rPr>
      <t>4,276.52.</t>
    </r>
  </si>
  <si>
    <r>
      <t xml:space="preserve">OVERSTATED AMOUNT  PHP 15,545.38 INSTEAD OF PHP 10,545.38 WITH THE DIFFERENCE OF PHP </t>
    </r>
    <r>
      <rPr>
        <sz val="8"/>
        <color theme="1"/>
        <rFont val="Arial"/>
        <family val="2"/>
      </rPr>
      <t>5,000.00.</t>
    </r>
  </si>
  <si>
    <r>
      <t xml:space="preserve">OVERSTATED AMOUNT  PHP 7,581.55 INSTEAD OF PHP 2,581.55 WITH THE DIFFERENCE OF </t>
    </r>
    <r>
      <rPr>
        <sz val="8"/>
        <color theme="1"/>
        <rFont val="Arial"/>
        <family val="2"/>
      </rPr>
      <t>PHP 5,000</t>
    </r>
    <r>
      <rPr>
        <sz val="8"/>
        <color rgb="FFFF0000"/>
        <rFont val="Arial"/>
        <family val="2"/>
      </rPr>
      <t>.</t>
    </r>
  </si>
  <si>
    <r>
      <t xml:space="preserve">OVERSTATED AMOUNT  PHP 4,688.11 INSTEAD OF PHP 4,325.80 WITH THE DIFFERENCE OF </t>
    </r>
    <r>
      <rPr>
        <sz val="8"/>
        <color theme="1"/>
        <rFont val="Arial"/>
        <family val="2"/>
      </rPr>
      <t>PHP 362.31</t>
    </r>
    <r>
      <rPr>
        <sz val="8"/>
        <color rgb="FFFF0000"/>
        <rFont val="Arial"/>
        <family val="2"/>
      </rPr>
      <t>.</t>
    </r>
  </si>
  <si>
    <r>
      <t xml:space="preserve">OVERSTATED AMOUNT  PHP 18,737.70 INSTEAD OF PHP 18,373.70 WITH THE DIFFERENCE OF </t>
    </r>
    <r>
      <rPr>
        <sz val="8"/>
        <color theme="1"/>
        <rFont val="Arial"/>
        <family val="2"/>
      </rPr>
      <t>PHP 364.00</t>
    </r>
    <r>
      <rPr>
        <sz val="8"/>
        <color rgb="FFFF0000"/>
        <rFont val="Arial"/>
        <family val="2"/>
      </rPr>
      <t>.</t>
    </r>
  </si>
  <si>
    <r>
      <t xml:space="preserve">OVERSTATED AMOUNT  PHP 9,000.00 INSTEAD OF PHP 90.00 WITH THE DIFFERENCE OF </t>
    </r>
    <r>
      <rPr>
        <sz val="8"/>
        <color theme="1"/>
        <rFont val="Arial"/>
        <family val="2"/>
      </rPr>
      <t>PHP 8,910.00</t>
    </r>
    <r>
      <rPr>
        <sz val="8"/>
        <color rgb="FFFF0000"/>
        <rFont val="Arial"/>
        <family val="2"/>
      </rPr>
      <t>.</t>
    </r>
  </si>
  <si>
    <r>
      <t xml:space="preserve">OVERSTATED AMOUNT  PHP 5,493.70 INSTEAD OF PHP 4,593.70 WITH THE DIFFERENCE OF </t>
    </r>
    <r>
      <rPr>
        <sz val="8"/>
        <color theme="1"/>
        <rFont val="Arial"/>
        <family val="2"/>
      </rPr>
      <t>PHP 900.00</t>
    </r>
    <r>
      <rPr>
        <sz val="8"/>
        <color rgb="FFFF0000"/>
        <rFont val="Arial"/>
        <family val="2"/>
      </rPr>
      <t>.</t>
    </r>
  </si>
  <si>
    <r>
      <t xml:space="preserve">OVERSTATED AMOUNT  PHP 9,072.18 INSTEAD OF PHP 104.12 WITH THE DIFFERENCE OF </t>
    </r>
    <r>
      <rPr>
        <sz val="8"/>
        <color theme="1"/>
        <rFont val="Arial"/>
        <family val="2"/>
      </rPr>
      <t>PHP 8,968.06</t>
    </r>
    <r>
      <rPr>
        <sz val="8"/>
        <color rgb="FFFF0000"/>
        <rFont val="Arial"/>
        <family val="2"/>
      </rPr>
      <t>.</t>
    </r>
  </si>
  <si>
    <r>
      <t xml:space="preserve">OVERSTATED AMOUNT  PHP 10,419.02 INSTEAD OF PHP 1,419.02 WITH THE DIFFERENCE OF </t>
    </r>
    <r>
      <rPr>
        <sz val="8"/>
        <color theme="1"/>
        <rFont val="Arial"/>
        <family val="2"/>
      </rPr>
      <t>PHP 9,000.00</t>
    </r>
    <r>
      <rPr>
        <sz val="8"/>
        <color rgb="FFFF0000"/>
        <rFont val="Arial"/>
        <family val="2"/>
      </rPr>
      <t>.</t>
    </r>
  </si>
  <si>
    <r>
      <t xml:space="preserve">OVERSTATED AMOUNT  PHP 13,125.72 INSTEAD OF PHP 9,205.14 WITH THE DIFFERENCE OF </t>
    </r>
    <r>
      <rPr>
        <sz val="8"/>
        <color theme="1"/>
        <rFont val="Arial"/>
        <family val="2"/>
      </rPr>
      <t>PHP 3,920.58</t>
    </r>
    <r>
      <rPr>
        <sz val="8"/>
        <color rgb="FFFF0000"/>
        <rFont val="Arial"/>
        <family val="2"/>
      </rPr>
      <t>.</t>
    </r>
  </si>
  <si>
    <r>
      <t xml:space="preserve">OVERSTATED AMOUNT  PHP 9,933.33 INSTEAD OF PHP 5,933.33 WITH THE DIFFERENCE OF </t>
    </r>
    <r>
      <rPr>
        <sz val="8"/>
        <color theme="1"/>
        <rFont val="Arial"/>
        <family val="2"/>
      </rPr>
      <t>PHP 4,000.00</t>
    </r>
    <r>
      <rPr>
        <sz val="8"/>
        <color rgb="FFFF0000"/>
        <rFont val="Arial"/>
        <family val="2"/>
      </rPr>
      <t>.</t>
    </r>
  </si>
  <si>
    <r>
      <t xml:space="preserve">OVERSTATED AMOUNT  PHP 17,721.78 INSTEAD OF PHP 2,694.03 WITH THE DIFFERENCE OF </t>
    </r>
    <r>
      <rPr>
        <sz val="8"/>
        <color theme="1"/>
        <rFont val="Arial"/>
        <family val="2"/>
      </rPr>
      <t>PHP 15,027.75</t>
    </r>
    <r>
      <rPr>
        <sz val="8"/>
        <color rgb="FFFF0000"/>
        <rFont val="Arial"/>
        <family val="2"/>
      </rPr>
      <t>.</t>
    </r>
  </si>
  <si>
    <r>
      <t xml:space="preserve">OVERSTATED AMOUNT  PHP 17,451.28 INSTEAD OF PHP 10,447.49 WITH THE DIFFERENCE OF </t>
    </r>
    <r>
      <rPr>
        <sz val="8"/>
        <color theme="1"/>
        <rFont val="Arial"/>
        <family val="2"/>
      </rPr>
      <t>PHP 7,003.79</t>
    </r>
    <r>
      <rPr>
        <sz val="8"/>
        <color rgb="FFFF0000"/>
        <rFont val="Arial"/>
        <family val="2"/>
      </rPr>
      <t>.</t>
    </r>
  </si>
  <si>
    <r>
      <t xml:space="preserve">OVERSTATED AMOUNT  PHP 364.41 INSTEAD OF PHP 36.41 WITH THE DIFFERENCE OF </t>
    </r>
    <r>
      <rPr>
        <sz val="8"/>
        <color theme="1"/>
        <rFont val="Arial"/>
        <family val="2"/>
      </rPr>
      <t>PHP 328.00</t>
    </r>
    <r>
      <rPr>
        <sz val="8"/>
        <color rgb="FFFF0000"/>
        <rFont val="Arial"/>
        <family val="2"/>
      </rPr>
      <t>.</t>
    </r>
  </si>
  <si>
    <r>
      <t xml:space="preserve">OVERSTATED AMOUNT  PHP 8,653.91 INSTEAD OF PHP 5,644.08 WITH THE DIFFERENCE OF </t>
    </r>
    <r>
      <rPr>
        <sz val="8"/>
        <color theme="1"/>
        <rFont val="Arial"/>
        <family val="2"/>
      </rPr>
      <t>PHP 3,009.83</t>
    </r>
    <r>
      <rPr>
        <sz val="8"/>
        <color rgb="FFFF0000"/>
        <rFont val="Arial"/>
        <family val="2"/>
      </rPr>
      <t>.</t>
    </r>
  </si>
  <si>
    <r>
      <t xml:space="preserve">OVERSTATED AMOUNT  PHP 3,161.98 INSTEAD OF PHP 1,361.98 WITH THE DIFFERENCE OF </t>
    </r>
    <r>
      <rPr>
        <sz val="8"/>
        <color theme="1"/>
        <rFont val="Arial"/>
        <family val="2"/>
      </rPr>
      <t>PHP 1,800.00</t>
    </r>
    <r>
      <rPr>
        <sz val="8"/>
        <color rgb="FFFF0000"/>
        <rFont val="Arial"/>
        <family val="2"/>
      </rPr>
      <t>.</t>
    </r>
  </si>
  <si>
    <r>
      <t xml:space="preserve">OVERSTATED AMOUNT  PHP 12,942.64 INSTEAD OF PHP 6,713.78 WITH THE DIFFERENCE OF </t>
    </r>
    <r>
      <rPr>
        <sz val="8"/>
        <color theme="1"/>
        <rFont val="Arial"/>
        <family val="2"/>
      </rPr>
      <t>PHP 6,228.86</t>
    </r>
    <r>
      <rPr>
        <sz val="8"/>
        <color rgb="FFFF0000"/>
        <rFont val="Arial"/>
        <family val="2"/>
      </rPr>
      <t>.</t>
    </r>
  </si>
  <si>
    <r>
      <t xml:space="preserve">OVERSTATED AMOUNT  PHP 3,565.95 INSTEAD OF PHP 2,565.95 WITH THE DIFFERENCE OF </t>
    </r>
    <r>
      <rPr>
        <sz val="8"/>
        <color theme="1"/>
        <rFont val="Arial"/>
        <family val="2"/>
      </rPr>
      <t>PHP 1,000.00</t>
    </r>
    <r>
      <rPr>
        <sz val="8"/>
        <color rgb="FFFF0000"/>
        <rFont val="Arial"/>
        <family val="2"/>
      </rPr>
      <t>.</t>
    </r>
  </si>
  <si>
    <r>
      <t xml:space="preserve">OVERSTATED AMOUNT  PHP 11,072.97 INSTEAD OF PHP 1,225.71 WITH THE DIFFERENCE OF </t>
    </r>
    <r>
      <rPr>
        <sz val="8"/>
        <color theme="1"/>
        <rFont val="Arial"/>
        <family val="2"/>
      </rPr>
      <t>PHP 9,847.26</t>
    </r>
    <r>
      <rPr>
        <sz val="8"/>
        <color rgb="FFFF0000"/>
        <rFont val="Arial"/>
        <family val="2"/>
      </rPr>
      <t>.</t>
    </r>
  </si>
  <si>
    <r>
      <t xml:space="preserve">OVERSTATED AMOUNT  PHP 16,687.57 INSTEAD OF PHP 12,687.57 WITH THE DIFFERENCE OF </t>
    </r>
    <r>
      <rPr>
        <sz val="8"/>
        <color theme="1"/>
        <rFont val="Arial"/>
        <family val="2"/>
      </rPr>
      <t>PHP 4,000.00.</t>
    </r>
  </si>
  <si>
    <r>
      <t xml:space="preserve">OVERSTATED AMOUNT  PHP 25,970.00 INSTEAD OF PHP 259.70 WITH THE DIFFERENCE OF </t>
    </r>
    <r>
      <rPr>
        <sz val="8"/>
        <color theme="1"/>
        <rFont val="Arial"/>
        <family val="2"/>
      </rPr>
      <t>PHP 25,710.30.</t>
    </r>
  </si>
  <si>
    <r>
      <t xml:space="preserve">OVERSTATED AMOUNT  PHP 32,028.91 INSTEAD OF PHP 23,028.91 WITH THE DIFFERENCE OF </t>
    </r>
    <r>
      <rPr>
        <sz val="8"/>
        <color theme="1"/>
        <rFont val="Arial"/>
        <family val="2"/>
      </rPr>
      <t>PHP 9,000.</t>
    </r>
  </si>
  <si>
    <r>
      <t xml:space="preserve">OVERSTATED AMOUNT  PHP 29,370.97 INSTEAD OF PHP 24,370.97 WITH THE DIFFERENCE OF </t>
    </r>
    <r>
      <rPr>
        <sz val="8"/>
        <color theme="1"/>
        <rFont val="Arial"/>
        <family val="2"/>
      </rPr>
      <t>PHP 5,000.</t>
    </r>
  </si>
  <si>
    <r>
      <t xml:space="preserve">OVERSTATED AMOUNT  PHP 2439 INSTEAD OF PHP 439 WITH THE DIFFERENCE OF </t>
    </r>
    <r>
      <rPr>
        <sz val="8"/>
        <color theme="1"/>
        <rFont val="Arial"/>
        <family val="2"/>
      </rPr>
      <t>PHP 2,000.</t>
    </r>
  </si>
  <si>
    <r>
      <t xml:space="preserve">OVERSTATED AMOUNT  PHP 5548.04 INSTEAD OF PHP 5448.04 WITH THE DIFFERENCE OF </t>
    </r>
    <r>
      <rPr>
        <sz val="8"/>
        <color theme="1"/>
        <rFont val="Arial"/>
        <family val="2"/>
      </rPr>
      <t>PHP 100.</t>
    </r>
  </si>
  <si>
    <r>
      <t xml:space="preserve">OVERSTATED AMOUNT  PHP 19000 INSTEAD OF PHP 10152.15 WITH THE DIFFERENCE OF </t>
    </r>
    <r>
      <rPr>
        <sz val="8"/>
        <color theme="1"/>
        <rFont val="Arial"/>
        <family val="2"/>
      </rPr>
      <t>PHP 8847.85</t>
    </r>
  </si>
  <si>
    <r>
      <t xml:space="preserve">OVERSTATED AMOUNT  PHP 5008 INSTEAD OF PHP 4100 WITH THE DIFFERENCE OF </t>
    </r>
    <r>
      <rPr>
        <sz val="8"/>
        <color theme="1"/>
        <rFont val="Arial"/>
        <family val="2"/>
      </rPr>
      <t>PHP 908</t>
    </r>
  </si>
  <si>
    <r>
      <t xml:space="preserve">OVERSTATED AMOUNT  PHP 2591.91 INSTEAD OF PHP 259.91 WITH THE DIFFERENCE OF </t>
    </r>
    <r>
      <rPr>
        <sz val="8"/>
        <color theme="1"/>
        <rFont val="Arial"/>
        <family val="2"/>
      </rPr>
      <t>PHP 2332</t>
    </r>
  </si>
  <si>
    <r>
      <t xml:space="preserve">OVERSTATED AMOUNT  PHP 6307.92 INSTEAD OF PHP 923.95 WITH THE DIFFERENCE OF </t>
    </r>
    <r>
      <rPr>
        <sz val="8"/>
        <color theme="1"/>
        <rFont val="Arial"/>
        <family val="2"/>
      </rPr>
      <t>PHP 5383.97</t>
    </r>
  </si>
  <si>
    <r>
      <t xml:space="preserve">OVERSTATED AMOUNT  PHP 37,537.14 INSTEAD OF PHP 27,537.14 WITH THE DIFFERENCE OF </t>
    </r>
    <r>
      <rPr>
        <sz val="8"/>
        <color theme="1"/>
        <rFont val="Arial"/>
        <family val="2"/>
      </rPr>
      <t>PHP 10,000.</t>
    </r>
  </si>
  <si>
    <r>
      <t xml:space="preserve">OVERSTATED AMOUNT  PHP 15,905 INSTEAD OF PHP 12,905 WITH THE DIFFERENCE OF </t>
    </r>
    <r>
      <rPr>
        <sz val="8"/>
        <color theme="1"/>
        <rFont val="Arial"/>
        <family val="2"/>
      </rPr>
      <t>PHP 3,000.</t>
    </r>
  </si>
  <si>
    <r>
      <t xml:space="preserve">OVERSTATED AMOUNT  PHP 13,316.30 INSTEAD OF PHP 11,316.30 WITH THE DIFFERENCE OF </t>
    </r>
    <r>
      <rPr>
        <sz val="8"/>
        <color theme="1"/>
        <rFont val="Arial"/>
        <family val="2"/>
      </rPr>
      <t>PHP 2,000.</t>
    </r>
  </si>
  <si>
    <r>
      <t xml:space="preserve">OVERSTATED AMOUNT  PHP 19,970 INSTEAD OF PHP 16,970.43 WITH THE DIFFERENCE OF </t>
    </r>
    <r>
      <rPr>
        <sz val="8"/>
        <color theme="1"/>
        <rFont val="Arial"/>
        <family val="2"/>
      </rPr>
      <t>PHP 2,999.57.</t>
    </r>
  </si>
  <si>
    <r>
      <t xml:space="preserve">OVERSTATED AMOUNT  PHP 22,154.32 INSTEAD OF PHP 21,154.32 WITH THE DIFFERENCE OF </t>
    </r>
    <r>
      <rPr>
        <sz val="8"/>
        <color theme="1"/>
        <rFont val="Arial"/>
        <family val="2"/>
      </rPr>
      <t>PHP 1,000</t>
    </r>
  </si>
  <si>
    <r>
      <t xml:space="preserve">OVERSTATED AMOUNT  PHP 24,150 INSTEAD OF PHP 23,592.92 WITH THE DIFFERENCE OF </t>
    </r>
    <r>
      <rPr>
        <sz val="8"/>
        <color theme="1"/>
        <rFont val="Arial"/>
        <family val="2"/>
      </rPr>
      <t>PHP 557.08</t>
    </r>
  </si>
  <si>
    <r>
      <t xml:space="preserve">OVERSTATED AMOUNT  PHP 16,097.15 INSTEAD OF PHP 16,091.15 WITH THE DIFFERENCE OF </t>
    </r>
    <r>
      <rPr>
        <sz val="8"/>
        <color theme="1"/>
        <rFont val="Arial"/>
        <family val="2"/>
      </rPr>
      <t>PHP 6.00</t>
    </r>
  </si>
  <si>
    <r>
      <t xml:space="preserve">OVERSTATED AMOUNT  PHP 547.50 INSTEAD OF PHP 247.50 WITH THE DIFFERENCE OF </t>
    </r>
    <r>
      <rPr>
        <sz val="8"/>
        <color theme="1"/>
        <rFont val="Arial"/>
        <family val="2"/>
      </rPr>
      <t>PHP 300.</t>
    </r>
  </si>
  <si>
    <r>
      <t xml:space="preserve">OVERSTATED AMOUNT  PHP 8,616 INSTEAD OF PHP 6,816 WITH THE DIFFERENCE OF </t>
    </r>
    <r>
      <rPr>
        <sz val="8"/>
        <color theme="1"/>
        <rFont val="Arial"/>
        <family val="2"/>
      </rPr>
      <t>PHP 1,800.</t>
    </r>
  </si>
  <si>
    <r>
      <t xml:space="preserve">OVERSTATED AMOUNT  PHP 18,857.68 INSTEAD OF PHP 14,857.68 WITH THE DIFFERENCE OF </t>
    </r>
    <r>
      <rPr>
        <sz val="8"/>
        <color theme="1"/>
        <rFont val="Arial"/>
        <family val="2"/>
      </rPr>
      <t>PHP 4,000.00</t>
    </r>
  </si>
  <si>
    <r>
      <t xml:space="preserve">OVERSTATED AMOUNT  PHP 19,688.10 INSTEAD OF PHP 18,688.10 WITH THE DIFFERENCE OF </t>
    </r>
    <r>
      <rPr>
        <sz val="8"/>
        <color theme="1"/>
        <rFont val="Arial"/>
        <family val="2"/>
      </rPr>
      <t>PHP 1,000.00</t>
    </r>
  </si>
  <si>
    <r>
      <t xml:space="preserve">OVERSTATED AMOUNT  PHP 4,948.78 INSTEAD OF PHP 1,948.78 WITH THE DIFFERENCE OF </t>
    </r>
    <r>
      <rPr>
        <sz val="8"/>
        <color theme="1"/>
        <rFont val="Arial"/>
        <family val="2"/>
      </rPr>
      <t>PHP 3,000.00</t>
    </r>
  </si>
  <si>
    <r>
      <t xml:space="preserve">OVERSTATED AMOUNT  PHP 35,053.47 INSTEAD OF PHP 34,053.47 WITH THE DIFFERENCE OF </t>
    </r>
    <r>
      <rPr>
        <sz val="8"/>
        <color theme="1"/>
        <rFont val="Arial"/>
        <family val="2"/>
      </rPr>
      <t>PHP 1,000.00</t>
    </r>
  </si>
  <si>
    <r>
      <t xml:space="preserve">OVERSTATED AMOUNT  PHP 19,426.94 INSTEAD OF PHP 16,429.94 WITH THE DIFFERENCE OF </t>
    </r>
    <r>
      <rPr>
        <sz val="8"/>
        <color theme="1"/>
        <rFont val="Arial"/>
        <family val="2"/>
      </rPr>
      <t>PHP 2,997.00</t>
    </r>
  </si>
  <si>
    <t>ML Transaction Query 674</t>
  </si>
  <si>
    <t xml:space="preserve">'202501020305130422 </t>
  </si>
  <si>
    <t xml:space="preserve">BPP93520296626901 </t>
  </si>
  <si>
    <t>ML SAN FABIAN</t>
  </si>
  <si>
    <t>ML Transaction Query 678</t>
  </si>
  <si>
    <t xml:space="preserve">'202504080306968597 </t>
  </si>
  <si>
    <t xml:space="preserve">KBPQZCEJXFN </t>
  </si>
  <si>
    <t xml:space="preserve">KENNETH ASTO </t>
  </si>
  <si>
    <t>WRONG BILLER - INTENDED FOR DRAGONPAY</t>
  </si>
  <si>
    <t>Correct Billler - Dragonpay</t>
  </si>
  <si>
    <t>ML SAN MIGUEL BULACAN</t>
  </si>
  <si>
    <t>ML Transaction Query 679</t>
  </si>
  <si>
    <t xml:space="preserve">'202503260306717680 </t>
  </si>
  <si>
    <t xml:space="preserve">KBPLAOKUIVF </t>
  </si>
  <si>
    <t xml:space="preserve">IMELDA OPERARIO </t>
  </si>
  <si>
    <t>WRONG BILLER - INTENDED FOR MERALCO</t>
  </si>
  <si>
    <t>Correct Billler - Meralco</t>
  </si>
  <si>
    <t>ML Transaction Query 680</t>
  </si>
  <si>
    <t xml:space="preserve">'202503280306761319 </t>
  </si>
  <si>
    <t xml:space="preserve">KBPQIJCZBKF </t>
  </si>
  <si>
    <t xml:space="preserve">JEFFREY PERIA </t>
  </si>
  <si>
    <t>As of April 30, 2025</t>
  </si>
  <si>
    <t>FUEL EXPRESS GASOLINE STATION</t>
  </si>
  <si>
    <t>ML SHOP SALES</t>
  </si>
  <si>
    <t>TRXN</t>
  </si>
  <si>
    <t xml:space="preserve">AMOUNT </t>
  </si>
  <si>
    <t>AMOUNT FOR REFUND</t>
  </si>
  <si>
    <t>BPW00111749884005</t>
  </si>
  <si>
    <t>BPW00110447760203</t>
  </si>
  <si>
    <t>KATHLEEN MAY RAMIREZ SALANO</t>
  </si>
  <si>
    <t>BPW00111496572802</t>
  </si>
  <si>
    <t>MERASOL CAFE BAGALANON</t>
  </si>
  <si>
    <t>GI PHILIPPINES CORP.</t>
  </si>
  <si>
    <t>BPW00111983957805</t>
  </si>
  <si>
    <t>DANNIELYN GRACE LUNA PEREZ</t>
  </si>
  <si>
    <t>BPW00110155044906</t>
  </si>
  <si>
    <t>PEREZ, DANNIELYN GRACE LUNA</t>
  </si>
  <si>
    <t>18120000131450</t>
  </si>
  <si>
    <t>BPW00112142559405</t>
  </si>
  <si>
    <t>ADRIAN MOLIDOR PONTIPEDRA</t>
  </si>
  <si>
    <t>BPW00112695252706</t>
  </si>
  <si>
    <t>WAMILDA, EYEIN LYNN MERISAAR</t>
  </si>
  <si>
    <t>19110000326037</t>
  </si>
  <si>
    <t>RCBC- SOLID VIEW HOSPITALITY GROUP CORP</t>
  </si>
  <si>
    <t>Partner Monthly</t>
  </si>
  <si>
    <t>RCBC - JPT OIL CORPORATION</t>
  </si>
  <si>
    <t>LEBAK WATER DISTRICT</t>
  </si>
  <si>
    <t>JUNE 2025</t>
  </si>
  <si>
    <t>ML Transaction Query 683</t>
  </si>
  <si>
    <t xml:space="preserve">'202504020306869663 </t>
  </si>
  <si>
    <t xml:space="preserve">KBPPPFCYMYR </t>
  </si>
  <si>
    <t xml:space="preserve">ROGELIO GONZALES </t>
  </si>
  <si>
    <t>ML Transaction Query 684</t>
  </si>
  <si>
    <t xml:space="preserve">'202504140307064048 </t>
  </si>
  <si>
    <t xml:space="preserve">KBPZEKLKAEI </t>
  </si>
  <si>
    <t xml:space="preserve">DARWIN MENDOZA </t>
  </si>
  <si>
    <t>ML SAN LEONARDO</t>
  </si>
  <si>
    <t>ML Transaction Query 685</t>
  </si>
  <si>
    <t xml:space="preserve">'202504110307027068 </t>
  </si>
  <si>
    <t xml:space="preserve">KBPVUNMRXWS </t>
  </si>
  <si>
    <t xml:space="preserve">RYAN CATANIAG </t>
  </si>
  <si>
    <t>ML STA MARIA 1 BULACAN</t>
  </si>
  <si>
    <t>ML Transaction Query 686</t>
  </si>
  <si>
    <t xml:space="preserve">'202504100307003493 </t>
  </si>
  <si>
    <t xml:space="preserve">KBPEQDRVJJM </t>
  </si>
  <si>
    <t>Correct Biller - Microventures</t>
  </si>
  <si>
    <t>ML PILAR  LAS PINAS</t>
  </si>
  <si>
    <t>ML USUSAN</t>
  </si>
  <si>
    <t>ML Transaction Query 697</t>
  </si>
  <si>
    <t xml:space="preserve">'202503040306259536 </t>
  </si>
  <si>
    <t xml:space="preserve">BPP57120429876703 </t>
  </si>
  <si>
    <t>Correct Transaction 202503060306308158 / BPP57120663014403</t>
  </si>
  <si>
    <t>ML Transaction Query 698</t>
  </si>
  <si>
    <t xml:space="preserve">'202503100306384677 </t>
  </si>
  <si>
    <t xml:space="preserve">BPP57121066936103 </t>
  </si>
  <si>
    <t>Correct Transaction 202503120306420992 / BPP57121263774503</t>
  </si>
  <si>
    <t>RCBC-JPT OIL</t>
  </si>
  <si>
    <t>RCBC-SOLID VIEW</t>
  </si>
  <si>
    <t>RCBC- SOLID VIEW</t>
  </si>
  <si>
    <t>ML G TUAZON SAMPALOC MANILA</t>
  </si>
  <si>
    <t>Report Date : July 31, 2025</t>
  </si>
  <si>
    <t>ML JEWELLERS LIVE SELLING USA</t>
  </si>
  <si>
    <t>SETTLEMENT ACCOUNT FOR ML PAYPRO</t>
  </si>
  <si>
    <t>METROBANK UNIVERSITY OF SOUTHERN PHILIPPINES-FOUNDATION</t>
  </si>
  <si>
    <t>MBTC-RTA</t>
  </si>
  <si>
    <t>ML LOANS</t>
  </si>
  <si>
    <t>POLANCO WATER DISTRICT</t>
  </si>
  <si>
    <t>CUSTOMER</t>
  </si>
  <si>
    <t>SILVER SPOON FOOD SERVICES</t>
  </si>
  <si>
    <t>As of July 31, 2025</t>
  </si>
  <si>
    <t>JULY 2025</t>
  </si>
  <si>
    <t>MAY-JUNE 2025</t>
  </si>
  <si>
    <t>RCBC-CEBU SEA CHARTERERS</t>
  </si>
  <si>
    <t>ML Transaction Query 708</t>
  </si>
  <si>
    <t xml:space="preserve">'202506230308284481 </t>
  </si>
  <si>
    <t xml:space="preserve">KBPSQQXCAMC </t>
  </si>
  <si>
    <t>Correct Transaction 202506230308283636 / KBPZIZSJKUI</t>
  </si>
  <si>
    <t>ML Transaction Query 709</t>
  </si>
  <si>
    <t xml:space="preserve">'202506300308394129 </t>
  </si>
  <si>
    <t xml:space="preserve">KBPUBIBGJYV </t>
  </si>
  <si>
    <t xml:space="preserve">ANDY BALDOVINO </t>
  </si>
  <si>
    <t>OVERSTATED AMOUNT  PHP 33,153.00 INSTEAD OF PHP 22,423.00 WITH THE DIFFERENCE OF PHP 10,730.00</t>
  </si>
  <si>
    <t>Correct Amount should only be 22,423.00</t>
  </si>
  <si>
    <t>ML SAN JOSE CITY 2 NE</t>
  </si>
  <si>
    <t>ML Transaction Query 710</t>
  </si>
  <si>
    <t xml:space="preserve">'202507040308484079 </t>
  </si>
  <si>
    <t xml:space="preserve">KBPBMMUOQZG </t>
  </si>
  <si>
    <t xml:space="preserve">BENJAMIN JR CASTILLO </t>
  </si>
  <si>
    <t>Correct Transaction 202507070308512123 / KBPMUKXYQBG</t>
  </si>
  <si>
    <t>ML ALICIA 2</t>
  </si>
  <si>
    <t>ML Transaction Query 711</t>
  </si>
  <si>
    <t xml:space="preserve">'202507150308647487 </t>
  </si>
  <si>
    <t xml:space="preserve">KBPUSWIQCAG </t>
  </si>
  <si>
    <t xml:space="preserve">JUFRE LINO </t>
  </si>
  <si>
    <t>OVERSTATED AMOUNT  PHP 48,000.00 INSTEAD OF PHP 40,000.00 WITH THE DIFFERENCE OF PHP 8,000.</t>
  </si>
  <si>
    <t>Correct Amount should only be 40,000.00</t>
  </si>
  <si>
    <t>ML LEGARDA BAGUIO</t>
  </si>
  <si>
    <t>ML Transaction Query 712</t>
  </si>
  <si>
    <t xml:space="preserve">'202507170308746107 </t>
  </si>
  <si>
    <t xml:space="preserve">KBPOKLLTPPC </t>
  </si>
  <si>
    <t xml:space="preserve">JAYSON CASAS </t>
  </si>
  <si>
    <t>OVERSTATED AMOUNT  PHP 16,065.25 INSTEAD OF PHP 15,065.25 WITH THE DIFFERENCE OF PHP 1,000.</t>
  </si>
  <si>
    <t>Correct Amount should only be 15,065.25</t>
  </si>
  <si>
    <t>ML SAPANG PALAY</t>
  </si>
  <si>
    <t>ML Transaction Query 713</t>
  </si>
  <si>
    <t xml:space="preserve">'202507010308418943 </t>
  </si>
  <si>
    <t xml:space="preserve">KBPYVUZIPIB </t>
  </si>
  <si>
    <t>ML Transaction Query 714</t>
  </si>
  <si>
    <t xml:space="preserve">'202501240305505276 </t>
  </si>
  <si>
    <t xml:space="preserve">BPP31522436928101 </t>
  </si>
  <si>
    <t>Correct Transaction 202501210305457008 / BPP31522111833301</t>
  </si>
  <si>
    <t>ML ANGAT, BULACAN</t>
  </si>
  <si>
    <t>ML Transaction Query 715</t>
  </si>
  <si>
    <t xml:space="preserve">'202506030307922300 </t>
  </si>
  <si>
    <t xml:space="preserve">KBPMGABTSJE </t>
  </si>
  <si>
    <t>ML SUBIC 2</t>
  </si>
  <si>
    <t>ML Transaction Query 716</t>
  </si>
  <si>
    <t xml:space="preserve">'202507310309008409 </t>
  </si>
  <si>
    <t xml:space="preserve">KBPOMYIHGIA </t>
  </si>
  <si>
    <t>ML Transaction Query 717</t>
  </si>
  <si>
    <t xml:space="preserve">'202507020308429465 </t>
  </si>
  <si>
    <t xml:space="preserve">KBPXRIHWZWS </t>
  </si>
  <si>
    <t xml:space="preserve">LAZADA SECURITYBANK </t>
  </si>
  <si>
    <t>ML LIPATA</t>
  </si>
  <si>
    <t>ML Transaction Query 718</t>
  </si>
  <si>
    <t xml:space="preserve">'202506180308201036 </t>
  </si>
  <si>
    <t xml:space="preserve">KBPQXFCNYHX </t>
  </si>
  <si>
    <t>ML Transaction Query 719</t>
  </si>
  <si>
    <t xml:space="preserve">'202508020309051284 </t>
  </si>
  <si>
    <t xml:space="preserve">KBPPYQMQSKA </t>
  </si>
  <si>
    <t xml:space="preserve">ARMANDO NOBLEZA </t>
  </si>
  <si>
    <t>OVERSTATED AMOUNT  PHP 16,676.46 INSTEAD OF PHP 11,676.46 WITH THE DIFFERENCE OF PHP 5,000.</t>
  </si>
  <si>
    <t>Correct Amount should only be 11,676.46</t>
  </si>
  <si>
    <t>BERTAHAN DIST. Corp.</t>
  </si>
  <si>
    <t>Report Date : August 31, 2025</t>
  </si>
  <si>
    <t>August 31, 2025</t>
  </si>
  <si>
    <t>Balances as of August 31, 2025</t>
  </si>
  <si>
    <t>Report Date : AUGUST 2025</t>
  </si>
  <si>
    <t>CHARGING TYPE</t>
  </si>
  <si>
    <t>ILECO 1 (ILOILO 1 ELECTRIC COOPERATIVE, INC.)</t>
  </si>
  <si>
    <t>MEDICARE</t>
  </si>
  <si>
    <t>SURALLAH WATER DISTRICT</t>
  </si>
  <si>
    <t>TALIBON WATER DISTRICT</t>
  </si>
  <si>
    <t>TUPI WATER DISTRICT​</t>
  </si>
  <si>
    <t>TRIPLE FIVE GLOBAL DISTRIBUTION INC.-ROXAS</t>
  </si>
  <si>
    <t>JUNANS MARKETING</t>
  </si>
  <si>
    <t>note:  Kindly take note of the following</t>
  </si>
  <si>
    <t>1.  Dragon pay Service charge shall be added P10.00 every trxn</t>
  </si>
  <si>
    <t>2.  Globe and Innove Service charge shall be added an additional P8.00 per trxn</t>
  </si>
  <si>
    <t>3. PLDT Service charge shall be added an additional P7.00 per trxn</t>
  </si>
  <si>
    <t>As of August 31, 2025</t>
  </si>
  <si>
    <t>AUGUST 2025</t>
  </si>
  <si>
    <t>AUGUST 2024 &amp; FEBRUARY 2025</t>
  </si>
  <si>
    <t>APRIL-JUNE 2025</t>
  </si>
  <si>
    <t>JUNE-JULY 2025</t>
  </si>
  <si>
    <t>NOVEMBER-APRIL 2025</t>
  </si>
  <si>
    <t>July 16-31, 2025</t>
  </si>
  <si>
    <t>June 16-July 31, 2025</t>
  </si>
  <si>
    <t>May 16-31, 2025 &amp; 'July 16-31, 2025</t>
  </si>
  <si>
    <t>June 22-Jul 5, 2024 &amp; Jul 5-18, 2025</t>
  </si>
  <si>
    <t>Jul 5-18, 2025</t>
  </si>
  <si>
    <t>April 27-May 10, 2024, June 22-Jul 5, 2024 &amp; Jul 5-18, 2025</t>
  </si>
  <si>
    <t>Jul 14-Aug 17, 2025</t>
  </si>
  <si>
    <t>Jul 14-Aug 3, 2025</t>
  </si>
  <si>
    <t>March 2025 &amp; Previous</t>
  </si>
  <si>
    <t>BP Receivables as of August 31, 2025</t>
  </si>
  <si>
    <t>?</t>
  </si>
  <si>
    <t>ML Transaction Query 720</t>
  </si>
  <si>
    <t xml:space="preserve">'202508140309249804 </t>
  </si>
  <si>
    <t xml:space="preserve">KBPQFRLETWV </t>
  </si>
  <si>
    <t>ML STA RITA PAMPANGA</t>
  </si>
  <si>
    <t>ML Transaction Query 721</t>
  </si>
  <si>
    <t xml:space="preserve">'202508140309249813 </t>
  </si>
  <si>
    <t xml:space="preserve">KBPNYJSZRKK </t>
  </si>
  <si>
    <t>ML CK MALL CAINTA</t>
  </si>
  <si>
    <t>ML Transaction Query 722</t>
  </si>
  <si>
    <t xml:space="preserve">'202508140309250422 </t>
  </si>
  <si>
    <t xml:space="preserve">KBPERNTKNWW </t>
  </si>
  <si>
    <t xml:space="preserve">MYK JUSTIN ADAJAR </t>
  </si>
  <si>
    <t>Correct Transaction 202508150309259321 / KBPASTFNWYJ</t>
  </si>
  <si>
    <t>ML ARNAIZ AVENUE  MAKATI</t>
  </si>
  <si>
    <t>ML Transaction Query 723</t>
  </si>
  <si>
    <t xml:space="preserve">'202508010309025279 </t>
  </si>
  <si>
    <t xml:space="preserve">KBPCVYVNFKQ </t>
  </si>
  <si>
    <t xml:space="preserve">JOHN ANTHONY ESTRELLA </t>
  </si>
  <si>
    <t>Correct Transaction 202508010309036032 / KBPCLDFURXG</t>
  </si>
  <si>
    <t>ML BARRETTO 2</t>
  </si>
  <si>
    <t>ML Transaction Query 724</t>
  </si>
  <si>
    <t xml:space="preserve">'202508140309250093 </t>
  </si>
  <si>
    <t xml:space="preserve">KBPANNOTKID </t>
  </si>
  <si>
    <t xml:space="preserve">PATRICK ANGELO DENIGA </t>
  </si>
  <si>
    <t>ML ROSARIO 3 PASIG</t>
  </si>
  <si>
    <t>ML Transaction Query 725</t>
  </si>
  <si>
    <t xml:space="preserve">'202508040309065739 </t>
  </si>
  <si>
    <t xml:space="preserve">KBPPSPSCIOX </t>
  </si>
  <si>
    <t xml:space="preserve"> - SECURITY BANK LAZADA </t>
  </si>
  <si>
    <t>ML LAOAG 1</t>
  </si>
  <si>
    <t>ML Transaction Query 726</t>
  </si>
  <si>
    <t xml:space="preserve">'202508140309250294 </t>
  </si>
  <si>
    <t xml:space="preserve">KBPPKENRKMO </t>
  </si>
  <si>
    <t xml:space="preserve">REDEN PAULINO </t>
  </si>
  <si>
    <t>ML PLARIDEL BULACAN</t>
  </si>
  <si>
    <t>ML Transaction Query 727</t>
  </si>
  <si>
    <t xml:space="preserve">'202508140309250317 </t>
  </si>
  <si>
    <t xml:space="preserve">KBPZTYENCAJ </t>
  </si>
  <si>
    <t>ML Transaction Query 728</t>
  </si>
  <si>
    <t xml:space="preserve">'202508210309370965 </t>
  </si>
  <si>
    <t xml:space="preserve">KBPOGNZMNIW </t>
  </si>
  <si>
    <t>Correct Transaction 202508210309371120 / KBPHLFIJMPW</t>
  </si>
  <si>
    <t>ML TAYSAN</t>
  </si>
  <si>
    <t>ML Transaction Query 729</t>
  </si>
  <si>
    <t xml:space="preserve">'202508210309370971 </t>
  </si>
  <si>
    <t xml:space="preserve">KBPPWFCGKJK </t>
  </si>
  <si>
    <t>Correct Transaction 202508210309371099 / KBPAZTLXEKM</t>
  </si>
  <si>
    <t>ML Transaction Query 730</t>
  </si>
  <si>
    <t>ML Transaction Query 731</t>
  </si>
  <si>
    <t>ML Transaction Query 732</t>
  </si>
  <si>
    <t>ML Transaction Query 733</t>
  </si>
  <si>
    <t>ML Transaction Query 734</t>
  </si>
  <si>
    <t>ML Transaction Query 735</t>
  </si>
  <si>
    <t>ML Transaction Query 736</t>
  </si>
  <si>
    <t>ML Transaction Query 737</t>
  </si>
  <si>
    <t>ML Transaction Query 738</t>
  </si>
  <si>
    <t>ML Transaction Query 739</t>
  </si>
  <si>
    <t>ML Transaction Query 740</t>
  </si>
  <si>
    <t>ML Transaction Query 741</t>
  </si>
  <si>
    <t>ML Transaction Query 742</t>
  </si>
  <si>
    <t>ML Transaction Query 743</t>
  </si>
  <si>
    <t>ML Transaction Query 744</t>
  </si>
  <si>
    <t>ML Transaction Query 745</t>
  </si>
  <si>
    <t>ML Transaction Query 746</t>
  </si>
  <si>
    <t>ML Transaction Query 747</t>
  </si>
  <si>
    <t>ML Transaction Query 748</t>
  </si>
  <si>
    <t>ML Transaction Query 749</t>
  </si>
  <si>
    <t>ML Transaction Query 750</t>
  </si>
  <si>
    <t>ML Transaction Query 751</t>
  </si>
  <si>
    <t>ML Transaction Query 756</t>
  </si>
  <si>
    <t xml:space="preserve">'202508230309407376 </t>
  </si>
  <si>
    <t xml:space="preserve">KBPQVBTBVYH </t>
  </si>
  <si>
    <t>Correct Transaction 202508230309418094 / KBPITSRZVHO</t>
  </si>
  <si>
    <t>ML Transaction Query 757</t>
  </si>
  <si>
    <t xml:space="preserve">'202508230309407378 </t>
  </si>
  <si>
    <t xml:space="preserve">KBPXXMQMEIP </t>
  </si>
  <si>
    <t>Correct Transaction 202508230309411740 / KBPPDRFUALP</t>
  </si>
  <si>
    <t>ML LA TRINIDAD</t>
  </si>
  <si>
    <t>ML Transaction Query 758</t>
  </si>
  <si>
    <t xml:space="preserve">'202508230309407411 </t>
  </si>
  <si>
    <t xml:space="preserve">KBPGEXXPIZU </t>
  </si>
  <si>
    <t xml:space="preserve">JOEVIC CALDERON </t>
  </si>
  <si>
    <t>ML DON GALO</t>
  </si>
  <si>
    <t>ML Transaction Query 759</t>
  </si>
  <si>
    <t xml:space="preserve">'202509010309563343 </t>
  </si>
  <si>
    <t xml:space="preserve">KBPEZBMVIEK </t>
  </si>
  <si>
    <t xml:space="preserve">JOHN HENSON TABARNERO </t>
  </si>
  <si>
    <t>Correct Transaction 202509010309563467 / KBPXERHBIZI</t>
  </si>
  <si>
    <t>ML Transaction Query 760</t>
  </si>
  <si>
    <t xml:space="preserve">'202509010309563206 </t>
  </si>
  <si>
    <t xml:space="preserve">KBPJHAMQSGQ </t>
  </si>
  <si>
    <t>ML GUAGUA PAMPANGA</t>
  </si>
  <si>
    <t>ML Transaction Query 20</t>
  </si>
  <si>
    <t>ML Transaction Query 21</t>
  </si>
  <si>
    <t>ML Transaction Query 348</t>
  </si>
  <si>
    <t>ML Transaction Query 480</t>
  </si>
  <si>
    <t>ML Transaction Query 487</t>
  </si>
  <si>
    <t>ML Transaction Query 489</t>
  </si>
  <si>
    <t>ML Transaction Query 621</t>
  </si>
  <si>
    <t>ML Transaction Query 752</t>
  </si>
  <si>
    <t>ML Transaction Query 753</t>
  </si>
  <si>
    <t>ML Transaction Query 754</t>
  </si>
  <si>
    <t>ML Transaction Query 755</t>
  </si>
  <si>
    <t>ESSAY PAY FINANCE CORP</t>
  </si>
  <si>
    <t>TACLOBAN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</si>
</sst>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* #,##0.00_);_(* \(#,##0.00\);_(* &quot;-&quot;??_);_(@_)"/>
    <numFmt numFmtId="165" formatCode="mm/dd/yy"/>
    <numFmt numFmtId="166" formatCode="dd/mm/yyyy;@"/>
    <numFmt numFmtId="167" formatCode="[$-409]d\-mmm\-yy;@"/>
    <numFmt numFmtId="168" formatCode="#,##0.00\ ;&quot; (&quot;#,##0.00\);&quot; -&quot;#\ ;@\ "/>
    <numFmt numFmtId="169" formatCode="0_ "/>
    <numFmt numFmtId="170" formatCode="#,##0.00_ "/>
    <numFmt numFmtId="171" formatCode="[$-F400]h:mm:ss\ AM/PM"/>
    <numFmt numFmtId="172" formatCode="m/d/yyyy&quot;  &quot;h\:mm\:ss\ AM/PM"/>
    <numFmt numFmtId="173" formatCode="[$-409]mmmm\ d\,\ yyyy;@"/>
    <numFmt numFmtId="174" formatCode="dd\-mmm\-yy;@"/>
    <numFmt numFmtId="175" formatCode="_-* #,##0_-;\-* #,##0_-;_-* &quot;-&quot;??_-;_-@_-"/>
    <numFmt numFmtId="176" formatCode="_(* #,##0_);_(* \(#,##0\);_(* &quot;-&quot;??_);_(@_)"/>
    <numFmt numFmtId="177" formatCode="#,##0.00_ ;\-#,##0.00\ 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rial"/>
      <family val="2"/>
    </font>
    <font>
      <b/>
      <sz val="11"/>
      <color rgb="FF7030A0"/>
      <name val="Arial"/>
      <family val="2"/>
    </font>
    <font>
      <b/>
      <sz val="11"/>
      <color rgb="FF00B0F0"/>
      <name val="Arial"/>
      <family val="2"/>
    </font>
    <font>
      <b/>
      <i/>
      <sz val="12"/>
      <color rgb="FFFFFF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Helvetica"/>
      <family val="2"/>
    </font>
    <font>
      <sz val="10"/>
      <color indexed="8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sz val="10"/>
      <color rgb="FF00B0F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mbria"/>
      <family val="1"/>
      <scheme val="major"/>
    </font>
    <font>
      <sz val="8"/>
      <color indexed="8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8"/>
      <color rgb="FFFF0000"/>
      <name val="Cambria"/>
      <family val="1"/>
      <scheme val="major"/>
    </font>
    <font>
      <b/>
      <sz val="8"/>
      <color theme="1"/>
      <name val="Cambria"/>
      <family val="1"/>
      <scheme val="major"/>
    </font>
    <font>
      <b/>
      <sz val="8"/>
      <color rgb="FFFF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0"/>
      <color theme="1"/>
      <name val="Book Antiqua"/>
      <family val="1"/>
    </font>
    <font>
      <b/>
      <sz val="10"/>
      <color rgb="FFFF3300"/>
      <name val="Arial"/>
      <family val="2"/>
    </font>
    <font>
      <b/>
      <sz val="12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0"/>
      <color theme="1"/>
      <name val="Trebuchet MS"/>
      <family val="2"/>
    </font>
    <font>
      <b/>
      <sz val="8"/>
      <name val="Trebuchet MS"/>
      <family val="2"/>
    </font>
    <font>
      <sz val="8"/>
      <color rgb="FFFF0000"/>
      <name val="Trebuchet MS"/>
      <family val="2"/>
    </font>
    <font>
      <sz val="8"/>
      <color rgb="FF000000"/>
      <name val="Trebuchet MS"/>
      <family val="2"/>
    </font>
    <font>
      <b/>
      <sz val="8"/>
      <color rgb="FF000000"/>
      <name val="Trebuchet MS"/>
      <family val="2"/>
    </font>
    <font>
      <sz val="10"/>
      <color theme="1"/>
      <name val="Trebuchet MS"/>
      <family val="2"/>
    </font>
    <font>
      <b/>
      <sz val="10"/>
      <color rgb="FFFF0000"/>
      <name val="Trebuchet MS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8"/>
      <color theme="1"/>
      <name val="Trebuchet MS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7"/>
      <name val="Arial"/>
      <family val="2"/>
    </font>
    <font>
      <sz val="11"/>
      <color indexed="8"/>
      <name val="Calibri"/>
      <family val="2"/>
      <scheme val="minor"/>
    </font>
    <font>
      <sz val="11"/>
      <color indexed="81"/>
      <name val="Tahoma"/>
      <family val="2"/>
    </font>
    <font>
      <sz val="12"/>
      <color indexed="81"/>
      <name val="Tahoma"/>
      <family val="2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D795C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FEA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2DDDC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8FCBD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33" fillId="0" borderId="0">
      <alignment vertical="top"/>
    </xf>
    <xf numFmtId="0" fontId="33" fillId="0" borderId="0">
      <alignment vertical="top"/>
    </xf>
    <xf numFmtId="0" fontId="1" fillId="0" borderId="0" applyNumberFormat="0" applyFill="0" applyBorder="0" applyAlignment="0" applyProtection="0"/>
  </cellStyleXfs>
  <cellXfs count="578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43" fontId="10" fillId="3" borderId="0" xfId="1" applyFont="1" applyFill="1" applyBorder="1" applyAlignment="1">
      <alignment horizontal="center"/>
    </xf>
    <xf numFmtId="43" fontId="10" fillId="3" borderId="0" xfId="1" applyFont="1" applyFill="1" applyAlignment="1">
      <alignment horizontal="center"/>
    </xf>
    <xf numFmtId="43" fontId="11" fillId="3" borderId="0" xfId="1" applyFont="1" applyFill="1" applyAlignment="1">
      <alignment horizontal="center"/>
    </xf>
    <xf numFmtId="0" fontId="0" fillId="4" borderId="0" xfId="0" applyFill="1"/>
    <xf numFmtId="0" fontId="12" fillId="0" borderId="0" xfId="0" applyFont="1"/>
    <xf numFmtId="164" fontId="13" fillId="5" borderId="0" xfId="1" applyNumberFormat="1" applyFont="1" applyFill="1" applyAlignment="1">
      <alignment horizontal="center"/>
    </xf>
    <xf numFmtId="164" fontId="14" fillId="6" borderId="0" xfId="1" applyNumberFormat="1" applyFont="1" applyFill="1" applyAlignment="1">
      <alignment horizontal="center"/>
    </xf>
    <xf numFmtId="43" fontId="14" fillId="6" borderId="0" xfId="1" applyFont="1" applyFill="1" applyAlignment="1">
      <alignment horizontal="center"/>
    </xf>
    <xf numFmtId="43" fontId="0" fillId="0" borderId="0" xfId="1" applyFont="1"/>
    <xf numFmtId="43" fontId="0" fillId="0" borderId="0" xfId="0" applyNumberFormat="1"/>
    <xf numFmtId="43" fontId="3" fillId="0" borderId="0" xfId="0" applyNumberFormat="1" applyFont="1"/>
    <xf numFmtId="0" fontId="15" fillId="0" borderId="0" xfId="0" applyFont="1" applyAlignment="1">
      <alignment horizontal="left"/>
    </xf>
    <xf numFmtId="164" fontId="0" fillId="0" borderId="0" xfId="1" applyNumberFormat="1" applyFont="1"/>
    <xf numFmtId="0" fontId="16" fillId="0" borderId="2" xfId="0" applyFont="1" applyBorder="1" applyAlignment="1">
      <alignment horizontal="left"/>
    </xf>
    <xf numFmtId="17" fontId="3" fillId="7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8" borderId="3" xfId="0" applyFont="1" applyFill="1" applyBorder="1" applyAlignment="1">
      <alignment horizontal="center" vertical="center"/>
    </xf>
    <xf numFmtId="164" fontId="3" fillId="8" borderId="3" xfId="1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9" borderId="3" xfId="0" applyFill="1" applyBorder="1" applyAlignment="1">
      <alignment horizontal="left"/>
    </xf>
    <xf numFmtId="164" fontId="0" fillId="9" borderId="3" xfId="1" applyNumberFormat="1" applyFont="1" applyFill="1" applyBorder="1"/>
    <xf numFmtId="0" fontId="0" fillId="9" borderId="4" xfId="0" applyFill="1" applyBorder="1"/>
    <xf numFmtId="164" fontId="0" fillId="9" borderId="5" xfId="0" applyNumberFormat="1" applyFill="1" applyBorder="1"/>
    <xf numFmtId="164" fontId="0" fillId="9" borderId="5" xfId="1" applyNumberFormat="1" applyFont="1" applyFill="1" applyBorder="1"/>
    <xf numFmtId="164" fontId="0" fillId="0" borderId="0" xfId="0" applyNumberFormat="1"/>
    <xf numFmtId="0" fontId="0" fillId="0" borderId="3" xfId="0" applyBorder="1" applyAlignment="1">
      <alignment horizontal="left"/>
    </xf>
    <xf numFmtId="0" fontId="0" fillId="0" borderId="4" xfId="0" quotePrefix="1" applyBorder="1"/>
    <xf numFmtId="164" fontId="0" fillId="0" borderId="6" xfId="0" applyNumberFormat="1" applyBorder="1"/>
    <xf numFmtId="164" fontId="0" fillId="0" borderId="3" xfId="1" applyNumberFormat="1" applyFont="1" applyFill="1" applyBorder="1"/>
    <xf numFmtId="0" fontId="3" fillId="0" borderId="0" xfId="0" applyFont="1" applyAlignment="1">
      <alignment horizontal="left"/>
    </xf>
    <xf numFmtId="164" fontId="3" fillId="7" borderId="0" xfId="1" applyNumberFormat="1" applyFont="1" applyFill="1"/>
    <xf numFmtId="164" fontId="3" fillId="0" borderId="0" xfId="0" applyNumberFormat="1" applyFont="1"/>
    <xf numFmtId="0" fontId="18" fillId="0" borderId="0" xfId="0" applyFont="1"/>
    <xf numFmtId="0" fontId="14" fillId="0" borderId="5" xfId="0" applyFont="1" applyBorder="1" applyAlignment="1">
      <alignment vertical="center"/>
    </xf>
    <xf numFmtId="22" fontId="19" fillId="0" borderId="5" xfId="0" applyNumberFormat="1" applyFont="1" applyBorder="1" applyAlignment="1">
      <alignment horizontal="left" vertical="top"/>
    </xf>
    <xf numFmtId="0" fontId="19" fillId="0" borderId="5" xfId="0" applyFont="1" applyBorder="1" applyAlignment="1">
      <alignment vertical="top"/>
    </xf>
    <xf numFmtId="1" fontId="19" fillId="0" borderId="5" xfId="0" applyNumberFormat="1" applyFont="1" applyBorder="1" applyAlignment="1">
      <alignment horizontal="center" vertical="top"/>
    </xf>
    <xf numFmtId="0" fontId="19" fillId="0" borderId="5" xfId="0" applyFont="1" applyBorder="1" applyAlignment="1">
      <alignment horizontal="right" vertical="top"/>
    </xf>
    <xf numFmtId="164" fontId="19" fillId="0" borderId="5" xfId="1" applyNumberFormat="1" applyFont="1" applyFill="1" applyBorder="1" applyAlignment="1">
      <alignment horizontal="right" vertical="top"/>
    </xf>
    <xf numFmtId="22" fontId="19" fillId="0" borderId="5" xfId="0" applyNumberFormat="1" applyFont="1" applyBorder="1" applyAlignment="1">
      <alignment horizontal="left"/>
    </xf>
    <xf numFmtId="0" fontId="19" fillId="0" borderId="5" xfId="0" applyFont="1" applyBorder="1"/>
    <xf numFmtId="1" fontId="17" fillId="0" borderId="5" xfId="0" applyNumberFormat="1" applyFont="1" applyBorder="1" applyAlignment="1">
      <alignment horizontal="center"/>
    </xf>
    <xf numFmtId="0" fontId="19" fillId="0" borderId="5" xfId="0" applyFont="1" applyBorder="1" applyAlignment="1">
      <alignment horizontal="right"/>
    </xf>
    <xf numFmtId="164" fontId="19" fillId="0" borderId="5" xfId="1" applyNumberFormat="1" applyFont="1" applyFill="1" applyBorder="1" applyAlignment="1">
      <alignment horizontal="right"/>
    </xf>
    <xf numFmtId="164" fontId="13" fillId="0" borderId="5" xfId="0" applyNumberFormat="1" applyFont="1" applyBorder="1" applyAlignment="1">
      <alignment horizontal="right"/>
    </xf>
    <xf numFmtId="0" fontId="20" fillId="0" borderId="0" xfId="0" applyFont="1" applyAlignment="1">
      <alignment vertical="top"/>
    </xf>
    <xf numFmtId="3" fontId="19" fillId="0" borderId="5" xfId="0" applyNumberFormat="1" applyFont="1" applyBorder="1" applyAlignment="1">
      <alignment horizontal="right" vertical="top"/>
    </xf>
    <xf numFmtId="0" fontId="17" fillId="0" borderId="5" xfId="0" applyFont="1" applyBorder="1" applyAlignment="1">
      <alignment horizontal="center"/>
    </xf>
    <xf numFmtId="0" fontId="19" fillId="0" borderId="5" xfId="0" applyFont="1" applyBorder="1" applyAlignment="1">
      <alignment horizontal="left" vertical="top"/>
    </xf>
    <xf numFmtId="0" fontId="19" fillId="0" borderId="5" xfId="0" applyFont="1" applyBorder="1" applyAlignment="1">
      <alignment horizontal="center" vertical="top"/>
    </xf>
    <xf numFmtId="3" fontId="19" fillId="0" borderId="5" xfId="0" applyNumberFormat="1" applyFont="1" applyBorder="1" applyAlignment="1">
      <alignment vertical="top"/>
    </xf>
    <xf numFmtId="164" fontId="19" fillId="0" borderId="5" xfId="1" applyNumberFormat="1" applyFont="1" applyFill="1" applyBorder="1" applyAlignment="1">
      <alignment vertical="top"/>
    </xf>
    <xf numFmtId="4" fontId="19" fillId="0" borderId="5" xfId="0" applyNumberFormat="1" applyFont="1" applyBorder="1" applyAlignment="1">
      <alignment vertical="top"/>
    </xf>
    <xf numFmtId="4" fontId="13" fillId="0" borderId="5" xfId="0" applyNumberFormat="1" applyFont="1" applyBorder="1" applyAlignment="1">
      <alignment vertical="top"/>
    </xf>
    <xf numFmtId="164" fontId="13" fillId="0" borderId="5" xfId="0" applyNumberFormat="1" applyFont="1" applyBorder="1" applyAlignment="1">
      <alignment horizontal="right" vertical="top"/>
    </xf>
    <xf numFmtId="0" fontId="21" fillId="0" borderId="5" xfId="0" applyFont="1" applyBorder="1"/>
    <xf numFmtId="164" fontId="20" fillId="0" borderId="0" xfId="1" applyNumberFormat="1" applyFont="1" applyFill="1" applyBorder="1" applyAlignment="1">
      <alignment horizontal="right" vertical="top"/>
    </xf>
    <xf numFmtId="164" fontId="22" fillId="0" borderId="0" xfId="1" applyNumberFormat="1" applyFont="1" applyBorder="1" applyAlignment="1">
      <alignment vertical="top"/>
    </xf>
    <xf numFmtId="0" fontId="23" fillId="0" borderId="0" xfId="0" applyFont="1" applyAlignment="1">
      <alignment vertical="top"/>
    </xf>
    <xf numFmtId="0" fontId="3" fillId="0" borderId="0" xfId="0" applyFont="1"/>
    <xf numFmtId="0" fontId="17" fillId="0" borderId="0" xfId="0" applyFont="1" applyAlignment="1">
      <alignment vertical="top"/>
    </xf>
    <xf numFmtId="0" fontId="17" fillId="10" borderId="0" xfId="0" applyFont="1" applyFill="1" applyAlignment="1">
      <alignment vertical="top"/>
    </xf>
    <xf numFmtId="164" fontId="0" fillId="0" borderId="8" xfId="1" applyNumberFormat="1" applyFont="1" applyBorder="1"/>
    <xf numFmtId="164" fontId="3" fillId="11" borderId="0" xfId="0" applyNumberFormat="1" applyFont="1" applyFill="1"/>
    <xf numFmtId="0" fontId="24" fillId="0" borderId="0" xfId="0" applyFont="1"/>
    <xf numFmtId="164" fontId="24" fillId="0" borderId="0" xfId="1" applyNumberFormat="1" applyFont="1" applyAlignment="1">
      <alignment horizontal="right"/>
    </xf>
    <xf numFmtId="0" fontId="24" fillId="0" borderId="0" xfId="0" applyFont="1" applyAlignment="1">
      <alignment horizontal="left"/>
    </xf>
    <xf numFmtId="0" fontId="25" fillId="0" borderId="0" xfId="0" applyFont="1"/>
    <xf numFmtId="0" fontId="26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26" fillId="0" borderId="0" xfId="0" applyFont="1"/>
    <xf numFmtId="164" fontId="26" fillId="0" borderId="0" xfId="1" applyNumberFormat="1" applyFont="1" applyAlignment="1">
      <alignment horizontal="right" vertical="top"/>
    </xf>
    <xf numFmtId="0" fontId="26" fillId="0" borderId="0" xfId="0" applyFont="1" applyAlignment="1">
      <alignment horizontal="left"/>
    </xf>
    <xf numFmtId="0" fontId="27" fillId="0" borderId="0" xfId="0" applyFont="1"/>
    <xf numFmtId="49" fontId="26" fillId="0" borderId="0" xfId="0" applyNumberFormat="1" applyFont="1" applyAlignment="1">
      <alignment vertical="center"/>
    </xf>
    <xf numFmtId="164" fontId="26" fillId="0" borderId="0" xfId="1" applyNumberFormat="1" applyFont="1" applyAlignment="1">
      <alignment horizontal="right"/>
    </xf>
    <xf numFmtId="0" fontId="27" fillId="0" borderId="0" xfId="0" applyFont="1" applyAlignment="1">
      <alignment horizontal="left"/>
    </xf>
    <xf numFmtId="4" fontId="27" fillId="0" borderId="0" xfId="0" applyNumberFormat="1" applyFont="1"/>
    <xf numFmtId="0" fontId="28" fillId="0" borderId="0" xfId="0" applyFont="1"/>
    <xf numFmtId="0" fontId="13" fillId="12" borderId="5" xfId="0" applyFont="1" applyFill="1" applyBorder="1" applyAlignment="1">
      <alignment horizontal="center"/>
    </xf>
    <xf numFmtId="164" fontId="13" fillId="12" borderId="5" xfId="1" applyNumberFormat="1" applyFont="1" applyFill="1" applyBorder="1" applyAlignment="1">
      <alignment horizontal="center"/>
    </xf>
    <xf numFmtId="0" fontId="19" fillId="0" borderId="0" xfId="0" applyFont="1"/>
    <xf numFmtId="4" fontId="19" fillId="0" borderId="0" xfId="0" applyNumberFormat="1" applyFont="1"/>
    <xf numFmtId="0" fontId="19" fillId="0" borderId="0" xfId="0" applyFont="1" applyAlignment="1">
      <alignment vertical="top"/>
    </xf>
    <xf numFmtId="164" fontId="13" fillId="0" borderId="5" xfId="1" applyNumberFormat="1" applyFont="1" applyFill="1" applyBorder="1" applyAlignment="1">
      <alignment horizontal="right"/>
    </xf>
    <xf numFmtId="0" fontId="19" fillId="0" borderId="5" xfId="0" applyFont="1" applyBorder="1" applyAlignment="1">
      <alignment horizontal="left"/>
    </xf>
    <xf numFmtId="0" fontId="19" fillId="0" borderId="5" xfId="0" applyFont="1" applyBorder="1" applyAlignment="1">
      <alignment horizontal="left" vertical="center"/>
    </xf>
    <xf numFmtId="3" fontId="28" fillId="0" borderId="0" xfId="0" applyNumberFormat="1" applyFont="1" applyAlignment="1">
      <alignment vertical="top"/>
    </xf>
    <xf numFmtId="0" fontId="28" fillId="0" borderId="0" xfId="0" applyFont="1" applyAlignment="1">
      <alignment vertical="top"/>
    </xf>
    <xf numFmtId="4" fontId="28" fillId="0" borderId="0" xfId="0" applyNumberFormat="1" applyFont="1" applyAlignment="1">
      <alignment vertical="top"/>
    </xf>
    <xf numFmtId="0" fontId="13" fillId="0" borderId="0" xfId="0" applyFont="1"/>
    <xf numFmtId="0" fontId="19" fillId="3" borderId="0" xfId="0" applyFont="1" applyFill="1"/>
    <xf numFmtId="0" fontId="24" fillId="0" borderId="5" xfId="0" applyFont="1" applyBorder="1"/>
    <xf numFmtId="164" fontId="24" fillId="0" borderId="5" xfId="1" applyNumberFormat="1" applyFont="1" applyFill="1" applyBorder="1" applyAlignment="1">
      <alignment horizontal="right"/>
    </xf>
    <xf numFmtId="164" fontId="14" fillId="0" borderId="5" xfId="1" applyNumberFormat="1" applyFont="1" applyFill="1" applyBorder="1" applyAlignment="1">
      <alignment horizontal="right"/>
    </xf>
    <xf numFmtId="0" fontId="24" fillId="0" borderId="5" xfId="0" applyFont="1" applyBorder="1" applyAlignment="1">
      <alignment horizontal="left"/>
    </xf>
    <xf numFmtId="0" fontId="22" fillId="0" borderId="5" xfId="0" applyFont="1" applyBorder="1" applyAlignment="1">
      <alignment vertical="top"/>
    </xf>
    <xf numFmtId="0" fontId="24" fillId="0" borderId="0" xfId="0" applyFont="1" applyAlignment="1">
      <alignment horizontal="center"/>
    </xf>
    <xf numFmtId="0" fontId="19" fillId="0" borderId="5" xfId="2" applyFont="1" applyFill="1" applyBorder="1" applyAlignment="1">
      <alignment vertical="top"/>
    </xf>
    <xf numFmtId="164" fontId="19" fillId="0" borderId="5" xfId="1" applyNumberFormat="1" applyFont="1" applyFill="1" applyBorder="1" applyAlignment="1">
      <alignment horizontal="right" vertical="center"/>
    </xf>
    <xf numFmtId="164" fontId="13" fillId="0" borderId="5" xfId="1" applyNumberFormat="1" applyFont="1" applyFill="1" applyBorder="1" applyAlignment="1">
      <alignment horizontal="right" vertical="center"/>
    </xf>
    <xf numFmtId="164" fontId="13" fillId="0" borderId="5" xfId="1" applyNumberFormat="1" applyFont="1" applyBorder="1" applyAlignment="1">
      <alignment horizontal="right" vertical="top"/>
    </xf>
    <xf numFmtId="0" fontId="24" fillId="0" borderId="5" xfId="0" applyFont="1" applyBorder="1" applyAlignment="1">
      <alignment horizontal="left" vertical="center"/>
    </xf>
    <xf numFmtId="164" fontId="19" fillId="0" borderId="5" xfId="1" applyNumberFormat="1" applyFont="1" applyFill="1" applyBorder="1" applyAlignment="1">
      <alignment horizontal="left" vertical="center"/>
    </xf>
    <xf numFmtId="4" fontId="22" fillId="0" borderId="5" xfId="0" applyNumberFormat="1" applyFont="1" applyBorder="1" applyAlignment="1">
      <alignment vertical="top"/>
    </xf>
    <xf numFmtId="164" fontId="24" fillId="0" borderId="5" xfId="1" applyNumberFormat="1" applyFont="1" applyFill="1" applyBorder="1" applyAlignment="1">
      <alignment horizontal="left" vertical="center"/>
    </xf>
    <xf numFmtId="0" fontId="22" fillId="0" borderId="0" xfId="0" applyFont="1" applyAlignment="1">
      <alignment vertical="top"/>
    </xf>
    <xf numFmtId="0" fontId="29" fillId="0" borderId="0" xfId="0" applyFont="1"/>
    <xf numFmtId="164" fontId="19" fillId="0" borderId="5" xfId="1" applyNumberFormat="1" applyFont="1" applyFill="1" applyBorder="1" applyAlignment="1">
      <alignment horizontal="left"/>
    </xf>
    <xf numFmtId="0" fontId="19" fillId="0" borderId="9" xfId="0" applyFont="1" applyBorder="1" applyAlignment="1">
      <alignment horizontal="center"/>
    </xf>
    <xf numFmtId="164" fontId="19" fillId="0" borderId="5" xfId="1" applyNumberFormat="1" applyFont="1" applyFill="1" applyBorder="1" applyAlignment="1">
      <alignment horizontal="left" vertical="top"/>
    </xf>
    <xf numFmtId="14" fontId="24" fillId="0" borderId="5" xfId="0" applyNumberFormat="1" applyFont="1" applyBorder="1" applyAlignment="1">
      <alignment horizontal="left"/>
    </xf>
    <xf numFmtId="164" fontId="24" fillId="0" borderId="5" xfId="1" applyNumberFormat="1" applyFont="1" applyFill="1" applyBorder="1" applyAlignment="1"/>
    <xf numFmtId="164" fontId="14" fillId="0" borderId="5" xfId="0" applyNumberFormat="1" applyFont="1" applyBorder="1"/>
    <xf numFmtId="164" fontId="14" fillId="0" borderId="0" xfId="1" applyNumberFormat="1" applyFont="1" applyAlignment="1">
      <alignment horizontal="right"/>
    </xf>
    <xf numFmtId="164" fontId="14" fillId="0" borderId="0" xfId="0" applyNumberFormat="1" applyFont="1"/>
    <xf numFmtId="43" fontId="24" fillId="0" borderId="0" xfId="0" applyNumberFormat="1" applyFont="1"/>
    <xf numFmtId="0" fontId="17" fillId="0" borderId="0" xfId="0" applyFont="1"/>
    <xf numFmtId="164" fontId="24" fillId="0" borderId="0" xfId="0" applyNumberFormat="1" applyFont="1"/>
    <xf numFmtId="0" fontId="17" fillId="0" borderId="0" xfId="0" applyFont="1" applyAlignment="1">
      <alignment vertical="center"/>
    </xf>
    <xf numFmtId="164" fontId="0" fillId="0" borderId="8" xfId="0" applyNumberFormat="1" applyBorder="1"/>
    <xf numFmtId="0" fontId="3" fillId="0" borderId="0" xfId="0" applyFont="1" applyAlignment="1">
      <alignment horizontal="right"/>
    </xf>
    <xf numFmtId="43" fontId="0" fillId="0" borderId="0" xfId="1" applyFont="1" applyFill="1" applyBorder="1"/>
    <xf numFmtId="0" fontId="30" fillId="0" borderId="0" xfId="0" applyFont="1" applyAlignment="1">
      <alignment horizontal="left"/>
    </xf>
    <xf numFmtId="0" fontId="31" fillId="0" borderId="5" xfId="0" applyFont="1" applyBorder="1" applyAlignment="1">
      <alignment horizontal="center"/>
    </xf>
    <xf numFmtId="0" fontId="32" fillId="0" borderId="5" xfId="0" applyFont="1" applyBorder="1"/>
    <xf numFmtId="0" fontId="32" fillId="0" borderId="5" xfId="0" applyFont="1" applyBorder="1" applyAlignment="1">
      <alignment horizontal="center"/>
    </xf>
    <xf numFmtId="43" fontId="32" fillId="0" borderId="5" xfId="1" applyFont="1" applyFill="1" applyBorder="1" applyAlignment="1">
      <alignment horizontal="center"/>
    </xf>
    <xf numFmtId="0" fontId="19" fillId="0" borderId="5" xfId="0" quotePrefix="1" applyFont="1" applyBorder="1" applyAlignment="1">
      <alignment horizontal="left" vertical="center"/>
    </xf>
    <xf numFmtId="164" fontId="24" fillId="0" borderId="5" xfId="1" applyNumberFormat="1" applyFont="1" applyFill="1" applyBorder="1"/>
    <xf numFmtId="43" fontId="0" fillId="13" borderId="0" xfId="1" applyFont="1" applyFill="1" applyBorder="1"/>
    <xf numFmtId="164" fontId="24" fillId="0" borderId="5" xfId="1" applyNumberFormat="1" applyFont="1" applyFill="1" applyBorder="1" applyAlignment="1">
      <alignment horizontal="right" wrapText="1"/>
    </xf>
    <xf numFmtId="164" fontId="24" fillId="0" borderId="5" xfId="1" applyNumberFormat="1" applyFont="1" applyFill="1" applyBorder="1" applyAlignment="1">
      <alignment horizontal="center"/>
    </xf>
    <xf numFmtId="164" fontId="19" fillId="0" borderId="5" xfId="1" applyNumberFormat="1" applyFont="1" applyFill="1" applyBorder="1" applyAlignment="1"/>
    <xf numFmtId="164" fontId="19" fillId="0" borderId="5" xfId="1" applyNumberFormat="1" applyFont="1" applyFill="1" applyBorder="1"/>
    <xf numFmtId="0" fontId="2" fillId="0" borderId="0" xfId="0" applyFont="1"/>
    <xf numFmtId="164" fontId="22" fillId="0" borderId="5" xfId="1" applyNumberFormat="1" applyFont="1" applyFill="1" applyBorder="1" applyAlignment="1">
      <alignment horizontal="center" vertical="top"/>
    </xf>
    <xf numFmtId="43" fontId="3" fillId="0" borderId="0" xfId="1" applyFont="1" applyFill="1" applyBorder="1"/>
    <xf numFmtId="0" fontId="30" fillId="0" borderId="0" xfId="0" applyFont="1" applyAlignment="1">
      <alignment horizontal="center" vertical="center"/>
    </xf>
    <xf numFmtId="43" fontId="0" fillId="0" borderId="0" xfId="0" applyNumberFormat="1" applyAlignment="1">
      <alignment horizontal="center"/>
    </xf>
    <xf numFmtId="43" fontId="12" fillId="0" borderId="0" xfId="0" applyNumberFormat="1" applyFont="1"/>
    <xf numFmtId="164" fontId="12" fillId="0" borderId="0" xfId="0" applyNumberFormat="1" applyFont="1"/>
    <xf numFmtId="164" fontId="0" fillId="0" borderId="0" xfId="1" applyNumberFormat="1" applyFont="1" applyFill="1" applyBorder="1" applyAlignment="1">
      <alignment horizontal="center"/>
    </xf>
    <xf numFmtId="43" fontId="3" fillId="6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/>
    <xf numFmtId="0" fontId="14" fillId="0" borderId="0" xfId="0" applyFont="1"/>
    <xf numFmtId="14" fontId="24" fillId="0" borderId="0" xfId="0" applyNumberFormat="1" applyFont="1"/>
    <xf numFmtId="164" fontId="24" fillId="0" borderId="0" xfId="1" applyNumberFormat="1" applyFont="1" applyFill="1"/>
    <xf numFmtId="0" fontId="33" fillId="0" borderId="0" xfId="0" applyFont="1" applyAlignment="1">
      <alignment vertical="top"/>
    </xf>
    <xf numFmtId="0" fontId="34" fillId="0" borderId="0" xfId="0" applyFont="1"/>
    <xf numFmtId="168" fontId="35" fillId="0" borderId="12" xfId="1" applyNumberFormat="1" applyFont="1" applyFill="1" applyBorder="1" applyAlignment="1" applyProtection="1">
      <alignment horizontal="right"/>
    </xf>
    <xf numFmtId="0" fontId="24" fillId="0" borderId="12" xfId="0" applyFont="1" applyBorder="1" applyAlignment="1">
      <alignment horizontal="center"/>
    </xf>
    <xf numFmtId="0" fontId="36" fillId="0" borderId="13" xfId="0" applyFont="1" applyBorder="1" applyAlignment="1">
      <alignment vertical="center"/>
    </xf>
    <xf numFmtId="0" fontId="20" fillId="0" borderId="0" xfId="0" applyFont="1"/>
    <xf numFmtId="168" fontId="35" fillId="0" borderId="14" xfId="1" applyNumberFormat="1" applyFont="1" applyFill="1" applyBorder="1" applyAlignment="1" applyProtection="1">
      <alignment horizontal="right"/>
    </xf>
    <xf numFmtId="0" fontId="24" fillId="0" borderId="14" xfId="0" applyFont="1" applyBorder="1" applyAlignment="1">
      <alignment horizontal="center"/>
    </xf>
    <xf numFmtId="0" fontId="36" fillId="0" borderId="0" xfId="0" applyFont="1" applyAlignment="1">
      <alignment horizontal="left" vertical="center"/>
    </xf>
    <xf numFmtId="164" fontId="10" fillId="0" borderId="0" xfId="1" applyNumberFormat="1" applyFont="1"/>
    <xf numFmtId="0" fontId="24" fillId="0" borderId="0" xfId="0" applyFont="1" applyAlignment="1">
      <alignment horizontal="left" vertical="center"/>
    </xf>
    <xf numFmtId="164" fontId="24" fillId="0" borderId="0" xfId="1" applyNumberFormat="1" applyFont="1" applyFill="1" applyBorder="1" applyAlignment="1">
      <alignment horizontal="right"/>
    </xf>
    <xf numFmtId="14" fontId="34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64" fontId="37" fillId="0" borderId="0" xfId="1" applyNumberFormat="1" applyFont="1" applyAlignment="1"/>
    <xf numFmtId="0" fontId="34" fillId="0" borderId="0" xfId="0" applyFont="1" applyAlignment="1">
      <alignment horizontal="center"/>
    </xf>
    <xf numFmtId="164" fontId="34" fillId="0" borderId="0" xfId="0" applyNumberFormat="1" applyFont="1"/>
    <xf numFmtId="164" fontId="34" fillId="0" borderId="0" xfId="1" applyNumberFormat="1" applyFont="1"/>
    <xf numFmtId="164" fontId="3" fillId="6" borderId="0" xfId="0" applyNumberFormat="1" applyFont="1" applyFill="1"/>
    <xf numFmtId="168" fontId="10" fillId="0" borderId="0" xfId="0" applyNumberFormat="1" applyFont="1"/>
    <xf numFmtId="164" fontId="10" fillId="0" borderId="0" xfId="0" applyNumberFormat="1" applyFont="1"/>
    <xf numFmtId="164" fontId="14" fillId="0" borderId="0" xfId="0" applyNumberFormat="1" applyFont="1" applyAlignment="1">
      <alignment horizontal="right"/>
    </xf>
    <xf numFmtId="0" fontId="24" fillId="17" borderId="0" xfId="0" applyFont="1" applyFill="1"/>
    <xf numFmtId="0" fontId="24" fillId="0" borderId="0" xfId="0" applyFont="1" applyAlignment="1">
      <alignment horizontal="center" vertical="top"/>
    </xf>
    <xf numFmtId="4" fontId="20" fillId="0" borderId="0" xfId="0" applyNumberFormat="1" applyFont="1" applyAlignment="1">
      <alignment horizontal="right" vertical="top"/>
    </xf>
    <xf numFmtId="0" fontId="24" fillId="0" borderId="0" xfId="0" applyFont="1" applyAlignment="1">
      <alignment horizontal="right"/>
    </xf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vertical="center"/>
    </xf>
    <xf numFmtId="0" fontId="38" fillId="0" borderId="0" xfId="0" applyFont="1" applyAlignment="1">
      <alignment horizontal="left" vertical="center"/>
    </xf>
    <xf numFmtId="0" fontId="39" fillId="0" borderId="5" xfId="3" applyFont="1" applyBorder="1" applyAlignment="1">
      <alignment horizontal="left" vertical="center"/>
    </xf>
    <xf numFmtId="169" fontId="41" fillId="0" borderId="5" xfId="3" applyNumberFormat="1" applyFont="1" applyBorder="1" applyAlignment="1">
      <alignment horizontal="left" vertical="center"/>
    </xf>
    <xf numFmtId="0" fontId="42" fillId="0" borderId="5" xfId="3" applyFont="1" applyBorder="1" applyAlignment="1">
      <alignment horizontal="left" vertical="center"/>
    </xf>
    <xf numFmtId="0" fontId="43" fillId="0" borderId="5" xfId="3" applyFont="1" applyBorder="1" applyAlignment="1">
      <alignment horizontal="left" vertical="center"/>
    </xf>
    <xf numFmtId="170" fontId="39" fillId="0" borderId="5" xfId="3" applyNumberFormat="1" applyFont="1" applyBorder="1" applyAlignment="1">
      <alignment vertical="center"/>
    </xf>
    <xf numFmtId="164" fontId="14" fillId="6" borderId="11" xfId="1" applyNumberFormat="1" applyFont="1" applyFill="1" applyBorder="1" applyAlignment="1">
      <alignment horizontal="left" vertical="center"/>
    </xf>
    <xf numFmtId="0" fontId="44" fillId="18" borderId="5" xfId="0" applyFont="1" applyFill="1" applyBorder="1" applyAlignment="1">
      <alignment horizontal="center" vertical="center" wrapText="1"/>
    </xf>
    <xf numFmtId="0" fontId="45" fillId="18" borderId="5" xfId="0" applyFont="1" applyFill="1" applyBorder="1" applyAlignment="1">
      <alignment horizontal="center" vertical="center" wrapText="1"/>
    </xf>
    <xf numFmtId="0" fontId="45" fillId="18" borderId="15" xfId="0" applyFont="1" applyFill="1" applyBorder="1" applyAlignment="1">
      <alignment horizontal="center" vertical="center" wrapText="1"/>
    </xf>
    <xf numFmtId="0" fontId="46" fillId="0" borderId="5" xfId="0" applyFont="1" applyBorder="1" applyAlignment="1">
      <alignment horizontal="left" vertical="center"/>
    </xf>
    <xf numFmtId="0" fontId="47" fillId="0" borderId="5" xfId="0" applyFont="1" applyBorder="1" applyAlignment="1">
      <alignment horizontal="left" vertical="center"/>
    </xf>
    <xf numFmtId="0" fontId="46" fillId="0" borderId="5" xfId="0" applyFont="1" applyBorder="1" applyAlignment="1">
      <alignment vertical="center"/>
    </xf>
    <xf numFmtId="0" fontId="46" fillId="0" borderId="0" xfId="0" applyFont="1" applyAlignment="1">
      <alignment horizontal="left" vertical="center"/>
    </xf>
    <xf numFmtId="0" fontId="50" fillId="0" borderId="5" xfId="0" applyFont="1" applyBorder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14" fontId="24" fillId="0" borderId="0" xfId="0" applyNumberFormat="1" applyFont="1" applyAlignment="1">
      <alignment horizontal="left" vertical="center"/>
    </xf>
    <xf numFmtId="19" fontId="24" fillId="0" borderId="0" xfId="0" applyNumberFormat="1" applyFont="1" applyAlignment="1">
      <alignment horizontal="left" vertical="center"/>
    </xf>
    <xf numFmtId="4" fontId="24" fillId="0" borderId="0" xfId="0" applyNumberFormat="1" applyFont="1" applyAlignment="1">
      <alignment horizontal="left" vertical="center"/>
    </xf>
    <xf numFmtId="4" fontId="19" fillId="0" borderId="0" xfId="0" applyNumberFormat="1" applyFont="1" applyAlignment="1">
      <alignment horizontal="left" vertical="center"/>
    </xf>
    <xf numFmtId="4" fontId="14" fillId="6" borderId="0" xfId="0" applyNumberFormat="1" applyFont="1" applyFill="1"/>
    <xf numFmtId="0" fontId="51" fillId="0" borderId="0" xfId="0" applyFont="1"/>
    <xf numFmtId="164" fontId="0" fillId="0" borderId="0" xfId="1" applyNumberFormat="1" applyFont="1" applyFill="1" applyAlignment="1">
      <alignment horizontal="left"/>
    </xf>
    <xf numFmtId="164" fontId="0" fillId="0" borderId="8" xfId="1" applyNumberFormat="1" applyFont="1" applyFill="1" applyBorder="1" applyAlignment="1">
      <alignment horizontal="left"/>
    </xf>
    <xf numFmtId="14" fontId="53" fillId="0" borderId="0" xfId="0" applyNumberFormat="1" applyFont="1" applyAlignment="1">
      <alignment horizontal="center"/>
    </xf>
    <xf numFmtId="174" fontId="13" fillId="3" borderId="0" xfId="0" applyNumberFormat="1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164" fontId="14" fillId="3" borderId="0" xfId="0" applyNumberFormat="1" applyFont="1" applyFill="1" applyAlignment="1">
      <alignment horizontal="center"/>
    </xf>
    <xf numFmtId="164" fontId="24" fillId="0" borderId="0" xfId="0" applyNumberFormat="1" applyFont="1" applyAlignment="1">
      <alignment horizontal="left"/>
    </xf>
    <xf numFmtId="14" fontId="13" fillId="0" borderId="0" xfId="0" applyNumberFormat="1" applyFont="1" applyAlignment="1">
      <alignment horizontal="center"/>
    </xf>
    <xf numFmtId="164" fontId="24" fillId="0" borderId="0" xfId="1" applyNumberFormat="1" applyFont="1" applyFill="1" applyBorder="1" applyAlignment="1">
      <alignment horizontal="left"/>
    </xf>
    <xf numFmtId="43" fontId="24" fillId="0" borderId="0" xfId="0" applyNumberFormat="1" applyFont="1" applyAlignment="1">
      <alignment horizontal="left"/>
    </xf>
    <xf numFmtId="164" fontId="24" fillId="0" borderId="0" xfId="1" applyNumberFormat="1" applyFont="1" applyFill="1" applyBorder="1"/>
    <xf numFmtId="0" fontId="19" fillId="0" borderId="0" xfId="0" applyFont="1" applyAlignment="1">
      <alignment horizontal="left"/>
    </xf>
    <xf numFmtId="164" fontId="19" fillId="0" borderId="0" xfId="1" applyNumberFormat="1" applyFont="1" applyFill="1" applyBorder="1"/>
    <xf numFmtId="164" fontId="24" fillId="0" borderId="0" xfId="1" applyNumberFormat="1" applyFont="1" applyBorder="1" applyAlignment="1">
      <alignment horizontal="left"/>
    </xf>
    <xf numFmtId="0" fontId="19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64" fontId="14" fillId="0" borderId="0" xfId="1" applyNumberFormat="1" applyFont="1" applyBorder="1" applyAlignment="1">
      <alignment horizontal="left"/>
    </xf>
    <xf numFmtId="164" fontId="19" fillId="0" borderId="0" xfId="1" applyNumberFormat="1" applyFont="1" applyFill="1" applyBorder="1" applyAlignment="1">
      <alignment vertical="center"/>
    </xf>
    <xf numFmtId="43" fontId="19" fillId="0" borderId="0" xfId="1" applyFont="1" applyFill="1" applyBorder="1" applyAlignment="1">
      <alignment vertical="center"/>
    </xf>
    <xf numFmtId="164" fontId="19" fillId="0" borderId="0" xfId="1" quotePrefix="1" applyNumberFormat="1" applyFont="1" applyFill="1" applyBorder="1" applyAlignment="1">
      <alignment horizontal="right"/>
    </xf>
    <xf numFmtId="0" fontId="20" fillId="10" borderId="0" xfId="0" applyFont="1" applyFill="1" applyAlignment="1">
      <alignment horizontal="left" vertical="center"/>
    </xf>
    <xf numFmtId="0" fontId="22" fillId="0" borderId="0" xfId="5" applyFont="1" applyFill="1" applyBorder="1" applyAlignment="1">
      <alignment horizontal="center" vertical="center"/>
    </xf>
    <xf numFmtId="0" fontId="25" fillId="0" borderId="0" xfId="0" applyFont="1" applyAlignment="1">
      <alignment horizontal="left"/>
    </xf>
    <xf numFmtId="14" fontId="20" fillId="10" borderId="0" xfId="0" applyNumberFormat="1" applyFont="1" applyFill="1" applyAlignment="1">
      <alignment horizontal="center" vertical="center"/>
    </xf>
    <xf numFmtId="43" fontId="14" fillId="0" borderId="0" xfId="0" applyNumberFormat="1" applyFont="1"/>
    <xf numFmtId="0" fontId="54" fillId="0" borderId="0" xfId="0" applyFont="1"/>
    <xf numFmtId="14" fontId="0" fillId="0" borderId="0" xfId="0" applyNumberFormat="1" applyAlignment="1">
      <alignment horizontal="center"/>
    </xf>
    <xf numFmtId="43" fontId="0" fillId="0" borderId="0" xfId="1" applyFont="1" applyFill="1" applyAlignment="1">
      <alignment horizontal="left"/>
    </xf>
    <xf numFmtId="164" fontId="0" fillId="0" borderId="0" xfId="1" applyNumberFormat="1" applyFont="1" applyAlignment="1">
      <alignment horizontal="left"/>
    </xf>
    <xf numFmtId="164" fontId="3" fillId="6" borderId="0" xfId="1" applyNumberFormat="1" applyFont="1" applyFill="1" applyAlignment="1">
      <alignment horizontal="left"/>
    </xf>
    <xf numFmtId="0" fontId="30" fillId="0" borderId="0" xfId="0" applyFont="1"/>
    <xf numFmtId="164" fontId="30" fillId="0" borderId="0" xfId="1" applyNumberFormat="1" applyFont="1" applyAlignment="1">
      <alignment horizontal="right"/>
    </xf>
    <xf numFmtId="0" fontId="55" fillId="0" borderId="0" xfId="0" applyFont="1"/>
    <xf numFmtId="164" fontId="55" fillId="0" borderId="0" xfId="1" applyNumberFormat="1" applyFont="1" applyAlignment="1">
      <alignment horizontal="right"/>
    </xf>
    <xf numFmtId="164" fontId="3" fillId="21" borderId="0" xfId="1" applyNumberFormat="1" applyFont="1" applyFill="1" applyAlignment="1">
      <alignment horizontal="right" vertical="center"/>
    </xf>
    <xf numFmtId="0" fontId="3" fillId="21" borderId="0" xfId="0" applyFont="1" applyFill="1" applyAlignment="1">
      <alignment horizontal="left" vertical="center"/>
    </xf>
    <xf numFmtId="0" fontId="0" fillId="0" borderId="23" xfId="0" applyBorder="1" applyAlignment="1">
      <alignment horizontal="left"/>
    </xf>
    <xf numFmtId="164" fontId="0" fillId="9" borderId="9" xfId="1" applyNumberFormat="1" applyFont="1" applyFill="1" applyBorder="1" applyAlignment="1">
      <alignment horizontal="right"/>
    </xf>
    <xf numFmtId="0" fontId="24" fillId="22" borderId="9" xfId="0" applyFont="1" applyFill="1" applyBorder="1" applyAlignment="1">
      <alignment horizontal="left"/>
    </xf>
    <xf numFmtId="0" fontId="24" fillId="22" borderId="9" xfId="0" quotePrefix="1" applyFont="1" applyFill="1" applyBorder="1" applyAlignment="1">
      <alignment horizontal="left"/>
    </xf>
    <xf numFmtId="17" fontId="24" fillId="22" borderId="9" xfId="0" quotePrefix="1" applyNumberFormat="1" applyFont="1" applyFill="1" applyBorder="1" applyAlignment="1">
      <alignment horizontal="left"/>
    </xf>
    <xf numFmtId="0" fontId="0" fillId="0" borderId="24" xfId="0" applyBorder="1" applyAlignment="1">
      <alignment horizontal="left"/>
    </xf>
    <xf numFmtId="0" fontId="17" fillId="0" borderId="0" xfId="0" applyFont="1" applyAlignment="1">
      <alignment horizontal="left"/>
    </xf>
    <xf numFmtId="0" fontId="19" fillId="22" borderId="9" xfId="0" applyFont="1" applyFill="1" applyBorder="1" applyAlignment="1">
      <alignment horizontal="left"/>
    </xf>
    <xf numFmtId="164" fontId="0" fillId="0" borderId="0" xfId="1" applyNumberFormat="1" applyFont="1" applyAlignment="1">
      <alignment horizontal="right"/>
    </xf>
    <xf numFmtId="164" fontId="13" fillId="6" borderId="0" xfId="1" applyNumberFormat="1" applyFont="1" applyFill="1" applyAlignment="1">
      <alignment horizontal="center"/>
    </xf>
    <xf numFmtId="164" fontId="14" fillId="23" borderId="0" xfId="1" applyNumberFormat="1" applyFont="1" applyFill="1" applyAlignment="1">
      <alignment horizontal="center"/>
    </xf>
    <xf numFmtId="43" fontId="0" fillId="4" borderId="0" xfId="1" applyFont="1" applyFill="1"/>
    <xf numFmtId="43" fontId="13" fillId="5" borderId="0" xfId="1" applyFont="1" applyFill="1" applyAlignment="1">
      <alignment horizontal="center"/>
    </xf>
    <xf numFmtId="0" fontId="46" fillId="0" borderId="0" xfId="0" applyFont="1" applyAlignment="1">
      <alignment vertical="center"/>
    </xf>
    <xf numFmtId="175" fontId="0" fillId="0" borderId="0" xfId="0" applyNumberFormat="1"/>
    <xf numFmtId="175" fontId="0" fillId="0" borderId="0" xfId="1" applyNumberFormat="1" applyFont="1"/>
    <xf numFmtId="164" fontId="19" fillId="16" borderId="5" xfId="1" applyNumberFormat="1" applyFont="1" applyFill="1" applyBorder="1" applyAlignment="1">
      <alignment horizontal="right" vertical="top"/>
    </xf>
    <xf numFmtId="0" fontId="28" fillId="16" borderId="5" xfId="0" applyFont="1" applyFill="1" applyBorder="1" applyAlignment="1">
      <alignment horizontal="left"/>
    </xf>
    <xf numFmtId="39" fontId="47" fillId="0" borderId="5" xfId="0" applyNumberFormat="1" applyFont="1" applyBorder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43" fontId="3" fillId="0" borderId="18" xfId="0" applyNumberFormat="1" applyFont="1" applyBorder="1"/>
    <xf numFmtId="164" fontId="0" fillId="0" borderId="8" xfId="1" applyNumberFormat="1" applyFont="1" applyBorder="1" applyAlignment="1">
      <alignment horizontal="left"/>
    </xf>
    <xf numFmtId="164" fontId="3" fillId="0" borderId="0" xfId="1" applyNumberFormat="1" applyFont="1" applyAlignment="1">
      <alignment horizontal="right"/>
    </xf>
    <xf numFmtId="0" fontId="0" fillId="0" borderId="0" xfId="1" applyNumberFormat="1" applyFont="1"/>
    <xf numFmtId="0" fontId="0" fillId="4" borderId="0" xfId="1" applyNumberFormat="1" applyFont="1" applyFill="1"/>
    <xf numFmtId="15" fontId="3" fillId="0" borderId="0" xfId="0" quotePrefix="1" applyNumberFormat="1" applyFont="1"/>
    <xf numFmtId="43" fontId="3" fillId="0" borderId="18" xfId="1" applyFont="1" applyBorder="1"/>
    <xf numFmtId="17" fontId="24" fillId="22" borderId="9" xfId="0" applyNumberFormat="1" applyFont="1" applyFill="1" applyBorder="1" applyAlignment="1">
      <alignment horizontal="left"/>
    </xf>
    <xf numFmtId="0" fontId="36" fillId="0" borderId="13" xfId="0" applyFont="1" applyBorder="1" applyAlignment="1">
      <alignment horizontal="left" vertical="center" wrapText="1"/>
    </xf>
    <xf numFmtId="0" fontId="58" fillId="0" borderId="5" xfId="0" applyFont="1" applyBorder="1" applyAlignment="1">
      <alignment horizontal="left" vertical="center"/>
    </xf>
    <xf numFmtId="14" fontId="57" fillId="14" borderId="5" xfId="0" applyNumberFormat="1" applyFont="1" applyFill="1" applyBorder="1" applyAlignment="1">
      <alignment horizontal="left" vertical="center"/>
    </xf>
    <xf numFmtId="2" fontId="57" fillId="14" borderId="5" xfId="0" applyNumberFormat="1" applyFont="1" applyFill="1" applyBorder="1" applyAlignment="1">
      <alignment horizontal="left" vertical="center"/>
    </xf>
    <xf numFmtId="164" fontId="57" fillId="14" borderId="5" xfId="1" applyNumberFormat="1" applyFont="1" applyFill="1" applyBorder="1" applyAlignment="1">
      <alignment horizontal="left" vertical="center"/>
    </xf>
    <xf numFmtId="0" fontId="57" fillId="14" borderId="5" xfId="0" applyFont="1" applyFill="1" applyBorder="1" applyAlignment="1">
      <alignment horizontal="left" vertical="center"/>
    </xf>
    <xf numFmtId="14" fontId="59" fillId="0" borderId="5" xfId="0" applyNumberFormat="1" applyFont="1" applyBorder="1" applyAlignment="1">
      <alignment horizontal="left" vertical="center"/>
    </xf>
    <xf numFmtId="0" fontId="59" fillId="0" borderId="5" xfId="0" applyFont="1" applyBorder="1" applyAlignment="1">
      <alignment horizontal="left" vertical="center"/>
    </xf>
    <xf numFmtId="43" fontId="59" fillId="0" borderId="5" xfId="0" applyNumberFormat="1" applyFont="1" applyBorder="1" applyAlignment="1">
      <alignment horizontal="left" vertical="center"/>
    </xf>
    <xf numFmtId="0" fontId="59" fillId="0" borderId="0" xfId="0" applyFont="1"/>
    <xf numFmtId="164" fontId="60" fillId="24" borderId="18" xfId="1" applyNumberFormat="1" applyFont="1" applyFill="1" applyBorder="1" applyAlignment="1">
      <alignment horizontal="left" vertical="center"/>
    </xf>
    <xf numFmtId="0" fontId="61" fillId="0" borderId="0" xfId="0" applyFont="1" applyAlignment="1">
      <alignment horizontal="center" vertical="center"/>
    </xf>
    <xf numFmtId="0" fontId="10" fillId="19" borderId="5" xfId="0" applyFont="1" applyFill="1" applyBorder="1" applyAlignment="1">
      <alignment vertical="center"/>
    </xf>
    <xf numFmtId="0" fontId="10" fillId="19" borderId="5" xfId="0" applyFont="1" applyFill="1" applyBorder="1" applyAlignment="1">
      <alignment horizontal="left" vertical="center"/>
    </xf>
    <xf numFmtId="0" fontId="50" fillId="0" borderId="5" xfId="0" quotePrefix="1" applyFont="1" applyBorder="1" applyAlignment="1">
      <alignment vertical="center"/>
    </xf>
    <xf numFmtId="0" fontId="48" fillId="0" borderId="5" xfId="0" applyFont="1" applyBorder="1" applyAlignment="1">
      <alignment vertical="center"/>
    </xf>
    <xf numFmtId="4" fontId="46" fillId="0" borderId="0" xfId="1" applyNumberFormat="1" applyFont="1" applyFill="1" applyBorder="1" applyAlignment="1">
      <alignment horizontal="right" vertical="center"/>
    </xf>
    <xf numFmtId="39" fontId="47" fillId="0" borderId="0" xfId="0" applyNumberFormat="1" applyFont="1" applyAlignment="1">
      <alignment horizontal="left" vertical="center"/>
    </xf>
    <xf numFmtId="15" fontId="63" fillId="0" borderId="0" xfId="0" applyNumberFormat="1" applyFont="1" applyAlignment="1">
      <alignment horizontal="left" vertical="center"/>
    </xf>
    <xf numFmtId="0" fontId="63" fillId="0" borderId="0" xfId="0" applyFont="1" applyAlignment="1">
      <alignment horizontal="left" vertical="center"/>
    </xf>
    <xf numFmtId="0" fontId="63" fillId="0" borderId="0" xfId="0" applyFont="1" applyAlignment="1">
      <alignment vertical="center"/>
    </xf>
    <xf numFmtId="0" fontId="63" fillId="0" borderId="0" xfId="0" quotePrefix="1" applyFont="1" applyAlignment="1">
      <alignment vertical="center"/>
    </xf>
    <xf numFmtId="0" fontId="6" fillId="0" borderId="0" xfId="0" applyFont="1" applyAlignment="1">
      <alignment horizontal="left" vertical="center"/>
    </xf>
    <xf numFmtId="39" fontId="65" fillId="0" borderId="0" xfId="0" applyNumberFormat="1" applyFont="1" applyAlignment="1">
      <alignment horizontal="left" vertical="center"/>
    </xf>
    <xf numFmtId="0" fontId="66" fillId="0" borderId="0" xfId="0" applyFont="1" applyAlignment="1">
      <alignment horizontal="left" vertical="center"/>
    </xf>
    <xf numFmtId="43" fontId="67" fillId="7" borderId="25" xfId="1" applyFont="1" applyFill="1" applyBorder="1" applyAlignment="1">
      <alignment horizontal="center" vertical="center"/>
    </xf>
    <xf numFmtId="39" fontId="47" fillId="0" borderId="20" xfId="0" applyNumberFormat="1" applyFont="1" applyBorder="1" applyAlignment="1">
      <alignment horizontal="left" vertical="center"/>
    </xf>
    <xf numFmtId="0" fontId="47" fillId="10" borderId="5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173" fontId="46" fillId="0" borderId="0" xfId="0" applyNumberFormat="1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46" fillId="0" borderId="17" xfId="0" applyFont="1" applyBorder="1" applyAlignment="1">
      <alignment horizontal="left" wrapText="1"/>
    </xf>
    <xf numFmtId="0" fontId="68" fillId="0" borderId="0" xfId="0" applyFont="1"/>
    <xf numFmtId="0" fontId="69" fillId="0" borderId="0" xfId="0" applyFont="1"/>
    <xf numFmtId="0" fontId="52" fillId="0" borderId="0" xfId="0" applyFont="1" applyAlignment="1">
      <alignment horizontal="center" vertical="center"/>
    </xf>
    <xf numFmtId="0" fontId="70" fillId="0" borderId="0" xfId="0" applyFont="1" applyAlignment="1">
      <alignment horizontal="left" vertical="center"/>
    </xf>
    <xf numFmtId="0" fontId="70" fillId="0" borderId="0" xfId="0" applyFont="1" applyAlignment="1">
      <alignment vertical="center"/>
    </xf>
    <xf numFmtId="43" fontId="34" fillId="0" borderId="0" xfId="1" applyFont="1" applyFill="1" applyAlignment="1">
      <alignment vertical="center"/>
    </xf>
    <xf numFmtId="43" fontId="34" fillId="0" borderId="0" xfId="1" applyFont="1" applyAlignment="1">
      <alignment horizontal="right" vertical="center"/>
    </xf>
    <xf numFmtId="0" fontId="37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horizontal="center" vertical="center"/>
    </xf>
    <xf numFmtId="43" fontId="61" fillId="0" borderId="0" xfId="1" applyFont="1" applyAlignment="1">
      <alignment horizontal="center" vertical="center"/>
    </xf>
    <xf numFmtId="177" fontId="61" fillId="0" borderId="0" xfId="0" applyNumberFormat="1" applyFont="1" applyAlignment="1">
      <alignment horizontal="center" vertical="center"/>
    </xf>
    <xf numFmtId="43" fontId="10" fillId="19" borderId="5" xfId="1" applyFont="1" applyFill="1" applyBorder="1" applyAlignment="1">
      <alignment vertical="center"/>
    </xf>
    <xf numFmtId="43" fontId="50" fillId="0" borderId="5" xfId="1" applyFont="1" applyFill="1" applyBorder="1" applyAlignment="1">
      <alignment horizontal="right" vertical="center"/>
    </xf>
    <xf numFmtId="0" fontId="46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43" fontId="64" fillId="7" borderId="18" xfId="1" applyFont="1" applyFill="1" applyBorder="1" applyAlignment="1">
      <alignment horizontal="right" vertical="center"/>
    </xf>
    <xf numFmtId="0" fontId="67" fillId="0" borderId="0" xfId="0" applyFont="1" applyAlignment="1">
      <alignment horizontal="left" vertical="center"/>
    </xf>
    <xf numFmtId="0" fontId="72" fillId="0" borderId="0" xfId="0" applyFont="1" applyAlignment="1">
      <alignment vertical="center"/>
    </xf>
    <xf numFmtId="0" fontId="72" fillId="0" borderId="0" xfId="0" applyFont="1" applyAlignment="1">
      <alignment horizontal="center" vertical="center"/>
    </xf>
    <xf numFmtId="15" fontId="37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7" fillId="0" borderId="0" xfId="0" quotePrefix="1" applyFont="1" applyAlignment="1">
      <alignment vertical="center"/>
    </xf>
    <xf numFmtId="0" fontId="71" fillId="0" borderId="0" xfId="0" applyFont="1" applyAlignment="1">
      <alignment horizontal="left" vertical="center"/>
    </xf>
    <xf numFmtId="43" fontId="11" fillId="0" borderId="0" xfId="1" applyFont="1" applyFill="1" applyBorder="1" applyAlignment="1">
      <alignment horizontal="right" vertical="center"/>
    </xf>
    <xf numFmtId="39" fontId="73" fillId="0" borderId="0" xfId="0" applyNumberFormat="1" applyFont="1" applyAlignment="1">
      <alignment horizontal="left" vertical="center"/>
    </xf>
    <xf numFmtId="164" fontId="46" fillId="0" borderId="0" xfId="0" applyNumberFormat="1" applyFont="1" applyAlignment="1">
      <alignment horizontal="left" vertical="center"/>
    </xf>
    <xf numFmtId="164" fontId="46" fillId="0" borderId="0" xfId="0" applyNumberFormat="1" applyFont="1" applyAlignment="1">
      <alignment vertical="center"/>
    </xf>
    <xf numFmtId="4" fontId="46" fillId="0" borderId="0" xfId="0" applyNumberFormat="1" applyFont="1" applyAlignment="1">
      <alignment vertical="center"/>
    </xf>
    <xf numFmtId="0" fontId="34" fillId="0" borderId="0" xfId="0" applyFont="1" applyAlignment="1">
      <alignment horizontal="left" vertical="center"/>
    </xf>
    <xf numFmtId="43" fontId="33" fillId="0" borderId="10" xfId="1" applyFont="1" applyFill="1" applyBorder="1" applyAlignment="1">
      <alignment horizontal="right" vertical="center"/>
    </xf>
    <xf numFmtId="43" fontId="10" fillId="7" borderId="18" xfId="1" applyFont="1" applyFill="1" applyBorder="1" applyAlignment="1">
      <alignment horizontal="left" vertical="center"/>
    </xf>
    <xf numFmtId="43" fontId="10" fillId="7" borderId="18" xfId="1" applyFont="1" applyFill="1" applyBorder="1" applyAlignment="1">
      <alignment horizontal="right" vertical="center"/>
    </xf>
    <xf numFmtId="176" fontId="1" fillId="0" borderId="0" xfId="0" applyNumberFormat="1" applyFont="1"/>
    <xf numFmtId="0" fontId="64" fillId="0" borderId="0" xfId="0" applyFont="1"/>
    <xf numFmtId="43" fontId="10" fillId="4" borderId="0" xfId="1" applyFont="1" applyFill="1" applyAlignment="1">
      <alignment horizontal="center"/>
    </xf>
    <xf numFmtId="43" fontId="1" fillId="0" borderId="0" xfId="1" applyFont="1" applyFill="1" applyBorder="1"/>
    <xf numFmtId="176" fontId="0" fillId="0" borderId="0" xfId="1" applyNumberFormat="1" applyFont="1" applyBorder="1"/>
    <xf numFmtId="43" fontId="0" fillId="0" borderId="0" xfId="1" applyFont="1" applyBorder="1"/>
    <xf numFmtId="0" fontId="0" fillId="4" borderId="0" xfId="1" applyNumberFormat="1" applyFont="1" applyFill="1" applyBorder="1"/>
    <xf numFmtId="176" fontId="3" fillId="0" borderId="0" xfId="1" applyNumberFormat="1" applyFont="1"/>
    <xf numFmtId="43" fontId="3" fillId="0" borderId="0" xfId="1" applyFont="1"/>
    <xf numFmtId="176" fontId="3" fillId="4" borderId="0" xfId="1" applyNumberFormat="1" applyFont="1" applyFill="1"/>
    <xf numFmtId="4" fontId="24" fillId="0" borderId="0" xfId="0" applyNumberFormat="1" applyFont="1"/>
    <xf numFmtId="164" fontId="56" fillId="0" borderId="0" xfId="0" applyNumberFormat="1" applyFont="1" applyAlignment="1">
      <alignment horizontal="center" vertical="center"/>
    </xf>
    <xf numFmtId="43" fontId="9" fillId="4" borderId="0" xfId="1" applyFont="1" applyFill="1" applyAlignment="1">
      <alignment horizontal="center" vertical="top" wrapText="1"/>
    </xf>
    <xf numFmtId="43" fontId="0" fillId="4" borderId="0" xfId="1" applyFont="1" applyFill="1" applyBorder="1"/>
    <xf numFmtId="43" fontId="3" fillId="4" borderId="0" xfId="1" applyFont="1" applyFill="1"/>
    <xf numFmtId="4" fontId="0" fillId="0" borderId="0" xfId="1" applyNumberFormat="1" applyFont="1"/>
    <xf numFmtId="14" fontId="19" fillId="0" borderId="0" xfId="0" applyNumberFormat="1" applyFont="1" applyAlignment="1">
      <alignment horizontal="center"/>
    </xf>
    <xf numFmtId="14" fontId="24" fillId="0" borderId="0" xfId="0" applyNumberFormat="1" applyFont="1" applyAlignment="1">
      <alignment horizontal="center"/>
    </xf>
    <xf numFmtId="14" fontId="24" fillId="0" borderId="0" xfId="0" applyNumberFormat="1" applyFont="1" applyAlignment="1">
      <alignment horizontal="center" wrapText="1"/>
    </xf>
    <xf numFmtId="14" fontId="19" fillId="0" borderId="0" xfId="0" applyNumberFormat="1" applyFont="1" applyAlignment="1">
      <alignment horizontal="center" wrapText="1"/>
    </xf>
    <xf numFmtId="0" fontId="19" fillId="0" borderId="0" xfId="0" applyFont="1" applyAlignment="1">
      <alignment horizontal="center"/>
    </xf>
    <xf numFmtId="164" fontId="19" fillId="0" borderId="0" xfId="1" applyNumberFormat="1" applyFont="1" applyFill="1" applyBorder="1" applyAlignment="1">
      <alignment horizontal="left"/>
    </xf>
    <xf numFmtId="14" fontId="19" fillId="0" borderId="0" xfId="0" applyNumberFormat="1" applyFont="1" applyAlignment="1">
      <alignment horizontal="left"/>
    </xf>
    <xf numFmtId="0" fontId="19" fillId="0" borderId="0" xfId="0" applyFont="1" applyAlignment="1">
      <alignment horizontal="center" vertical="center"/>
    </xf>
    <xf numFmtId="14" fontId="24" fillId="0" borderId="0" xfId="0" applyNumberFormat="1" applyFont="1" applyAlignment="1">
      <alignment horizontal="left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top"/>
    </xf>
    <xf numFmtId="164" fontId="22" fillId="0" borderId="0" xfId="1" applyNumberFormat="1" applyFont="1" applyFill="1" applyBorder="1" applyAlignment="1">
      <alignment vertical="top"/>
    </xf>
    <xf numFmtId="1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4" fillId="0" borderId="0" xfId="0" quotePrefix="1" applyFont="1" applyAlignment="1">
      <alignment horizontal="center"/>
    </xf>
    <xf numFmtId="22" fontId="20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center" vertical="center"/>
    </xf>
    <xf numFmtId="0" fontId="22" fillId="0" borderId="0" xfId="4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4" fontId="24" fillId="0" borderId="0" xfId="0" applyNumberFormat="1" applyFont="1" applyAlignment="1">
      <alignment horizontal="center" vertical="center"/>
    </xf>
    <xf numFmtId="15" fontId="50" fillId="0" borderId="5" xfId="0" applyNumberFormat="1" applyFont="1" applyBorder="1" applyAlignment="1">
      <alignment horizontal="left" vertical="center"/>
    </xf>
    <xf numFmtId="0" fontId="50" fillId="0" borderId="5" xfId="0" applyFont="1" applyBorder="1" applyAlignment="1">
      <alignment vertical="center"/>
    </xf>
    <xf numFmtId="0" fontId="48" fillId="0" borderId="7" xfId="0" applyFont="1" applyBorder="1" applyAlignment="1">
      <alignment vertical="center"/>
    </xf>
    <xf numFmtId="0" fontId="48" fillId="0" borderId="19" xfId="0" applyFont="1" applyBorder="1" applyAlignment="1">
      <alignment vertical="center"/>
    </xf>
    <xf numFmtId="0" fontId="50" fillId="0" borderId="7" xfId="0" applyFont="1" applyBorder="1" applyAlignment="1">
      <alignment vertical="center"/>
    </xf>
    <xf numFmtId="167" fontId="46" fillId="0" borderId="5" xfId="0" applyNumberFormat="1" applyFont="1" applyBorder="1" applyAlignment="1">
      <alignment horizontal="left" vertical="center"/>
    </xf>
    <xf numFmtId="0" fontId="46" fillId="0" borderId="5" xfId="0" quotePrefix="1" applyFont="1" applyBorder="1" applyAlignment="1">
      <alignment vertical="center"/>
    </xf>
    <xf numFmtId="0" fontId="46" fillId="0" borderId="7" xfId="0" applyFont="1" applyBorder="1" applyAlignment="1">
      <alignment horizontal="left" vertical="center"/>
    </xf>
    <xf numFmtId="0" fontId="46" fillId="0" borderId="7" xfId="0" applyFont="1" applyBorder="1" applyAlignment="1">
      <alignment vertical="center"/>
    </xf>
    <xf numFmtId="0" fontId="46" fillId="0" borderId="7" xfId="0" quotePrefix="1" applyFont="1" applyBorder="1" applyAlignment="1">
      <alignment vertical="center"/>
    </xf>
    <xf numFmtId="14" fontId="46" fillId="0" borderId="5" xfId="0" applyNumberFormat="1" applyFont="1" applyBorder="1" applyAlignment="1">
      <alignment horizontal="left" vertical="center"/>
    </xf>
    <xf numFmtId="0" fontId="48" fillId="0" borderId="5" xfId="0" applyFont="1" applyBorder="1" applyAlignment="1">
      <alignment horizontal="left" vertical="center"/>
    </xf>
    <xf numFmtId="172" fontId="48" fillId="0" borderId="5" xfId="0" applyNumberFormat="1" applyFont="1" applyBorder="1" applyAlignment="1">
      <alignment horizontal="left" vertical="center"/>
    </xf>
    <xf numFmtId="172" fontId="48" fillId="0" borderId="5" xfId="0" applyNumberFormat="1" applyFont="1" applyBorder="1" applyAlignment="1">
      <alignment vertical="center"/>
    </xf>
    <xf numFmtId="172" fontId="49" fillId="0" borderId="5" xfId="0" applyNumberFormat="1" applyFont="1" applyBorder="1" applyAlignment="1">
      <alignment horizontal="left" vertical="center"/>
    </xf>
    <xf numFmtId="172" fontId="46" fillId="0" borderId="5" xfId="0" applyNumberFormat="1" applyFont="1" applyBorder="1" applyAlignment="1">
      <alignment horizontal="left" vertical="center"/>
    </xf>
    <xf numFmtId="172" fontId="48" fillId="0" borderId="5" xfId="3" applyNumberFormat="1" applyFont="1" applyBorder="1" applyAlignment="1">
      <alignment horizontal="left" vertical="center"/>
    </xf>
    <xf numFmtId="0" fontId="48" fillId="0" borderId="5" xfId="3" applyFont="1" applyBorder="1" applyAlignment="1">
      <alignment horizontal="left" vertical="center"/>
    </xf>
    <xf numFmtId="0" fontId="48" fillId="0" borderId="5" xfId="3" applyFont="1" applyBorder="1" applyAlignment="1">
      <alignment vertical="center"/>
    </xf>
    <xf numFmtId="0" fontId="48" fillId="0" borderId="7" xfId="3" applyFont="1" applyBorder="1" applyAlignment="1">
      <alignment vertical="center"/>
    </xf>
    <xf numFmtId="39" fontId="46" fillId="0" borderId="5" xfId="0" applyNumberFormat="1" applyFont="1" applyBorder="1" applyAlignment="1">
      <alignment horizontal="left" vertical="center"/>
    </xf>
    <xf numFmtId="172" fontId="48" fillId="0" borderId="7" xfId="3" applyNumberFormat="1" applyFont="1" applyBorder="1" applyAlignment="1">
      <alignment horizontal="left" vertical="center"/>
    </xf>
    <xf numFmtId="0" fontId="48" fillId="0" borderId="20" xfId="3" applyFont="1" applyBorder="1" applyAlignment="1">
      <alignment horizontal="left" vertical="center"/>
    </xf>
    <xf numFmtId="0" fontId="48" fillId="0" borderId="20" xfId="3" applyFont="1" applyBorder="1" applyAlignment="1">
      <alignment vertical="center"/>
    </xf>
    <xf numFmtId="0" fontId="46" fillId="0" borderId="20" xfId="0" applyFont="1" applyBorder="1" applyAlignment="1">
      <alignment vertical="center"/>
    </xf>
    <xf numFmtId="0" fontId="46" fillId="0" borderId="20" xfId="0" applyFont="1" applyBorder="1" applyAlignment="1">
      <alignment horizontal="left" vertical="center"/>
    </xf>
    <xf numFmtId="15" fontId="50" fillId="0" borderId="7" xfId="0" applyNumberFormat="1" applyFont="1" applyBorder="1" applyAlignment="1">
      <alignment horizontal="left" vertical="center"/>
    </xf>
    <xf numFmtId="0" fontId="50" fillId="0" borderId="20" xfId="0" applyFont="1" applyBorder="1" applyAlignment="1">
      <alignment horizontal="left" vertical="center"/>
    </xf>
    <xf numFmtId="0" fontId="50" fillId="0" borderId="20" xfId="0" applyFont="1" applyBorder="1" applyAlignment="1">
      <alignment vertical="center"/>
    </xf>
    <xf numFmtId="0" fontId="50" fillId="0" borderId="20" xfId="0" quotePrefix="1" applyFont="1" applyBorder="1" applyAlignment="1">
      <alignment vertical="center"/>
    </xf>
    <xf numFmtId="4" fontId="46" fillId="0" borderId="5" xfId="0" applyNumberFormat="1" applyFont="1" applyBorder="1" applyAlignment="1">
      <alignment horizontal="right" vertical="center"/>
    </xf>
    <xf numFmtId="172" fontId="33" fillId="0" borderId="0" xfId="3" applyNumberFormat="1" applyAlignment="1">
      <alignment horizontal="left" vertical="center"/>
    </xf>
    <xf numFmtId="0" fontId="33" fillId="0" borderId="0" xfId="3" applyAlignment="1">
      <alignment horizontal="left" vertical="center"/>
    </xf>
    <xf numFmtId="0" fontId="33" fillId="0" borderId="0" xfId="3" applyAlignment="1">
      <alignment vertical="center"/>
    </xf>
    <xf numFmtId="0" fontId="24" fillId="0" borderId="5" xfId="0" applyFont="1" applyBorder="1" applyAlignment="1">
      <alignment vertical="center"/>
    </xf>
    <xf numFmtId="17" fontId="19" fillId="0" borderId="5" xfId="0" applyNumberFormat="1" applyFont="1" applyBorder="1" applyAlignment="1">
      <alignment horizontal="left" wrapText="1"/>
    </xf>
    <xf numFmtId="0" fontId="24" fillId="0" borderId="5" xfId="0" applyFont="1" applyBorder="1" applyAlignment="1">
      <alignment wrapText="1"/>
    </xf>
    <xf numFmtId="0" fontId="24" fillId="0" borderId="5" xfId="0" applyFont="1" applyBorder="1" applyAlignment="1">
      <alignment horizontal="left" wrapText="1"/>
    </xf>
    <xf numFmtId="166" fontId="24" fillId="0" borderId="5" xfId="0" applyNumberFormat="1" applyFont="1" applyBorder="1" applyAlignment="1">
      <alignment horizontal="left"/>
    </xf>
    <xf numFmtId="14" fontId="19" fillId="0" borderId="5" xfId="0" applyNumberFormat="1" applyFont="1" applyBorder="1" applyAlignment="1">
      <alignment horizontal="left"/>
    </xf>
    <xf numFmtId="0" fontId="19" fillId="0" borderId="5" xfId="0" applyFont="1" applyBorder="1" applyAlignment="1">
      <alignment vertical="center"/>
    </xf>
    <xf numFmtId="14" fontId="22" fillId="0" borderId="5" xfId="0" applyNumberFormat="1" applyFont="1" applyBorder="1" applyAlignment="1">
      <alignment horizontal="left" vertical="top"/>
    </xf>
    <xf numFmtId="14" fontId="19" fillId="0" borderId="5" xfId="0" quotePrefix="1" applyNumberFormat="1" applyFont="1" applyBorder="1" applyAlignment="1">
      <alignment vertical="top"/>
    </xf>
    <xf numFmtId="14" fontId="24" fillId="0" borderId="5" xfId="0" applyNumberFormat="1" applyFont="1" applyBorder="1" applyAlignment="1">
      <alignment horizontal="left" vertical="center"/>
    </xf>
    <xf numFmtId="165" fontId="24" fillId="0" borderId="5" xfId="0" applyNumberFormat="1" applyFont="1" applyBorder="1" applyAlignment="1">
      <alignment horizontal="left" vertical="center"/>
    </xf>
    <xf numFmtId="14" fontId="19" fillId="0" borderId="5" xfId="0" applyNumberFormat="1" applyFont="1" applyBorder="1" applyAlignment="1">
      <alignment horizontal="left" vertical="top"/>
    </xf>
    <xf numFmtId="43" fontId="50" fillId="6" borderId="5" xfId="1" applyFont="1" applyFill="1" applyBorder="1" applyAlignment="1">
      <alignment horizontal="right" vertical="center"/>
    </xf>
    <xf numFmtId="43" fontId="50" fillId="17" borderId="5" xfId="1" applyFont="1" applyFill="1" applyBorder="1" applyAlignment="1">
      <alignment horizontal="right" vertical="center"/>
    </xf>
    <xf numFmtId="43" fontId="46" fillId="26" borderId="5" xfId="1" applyFont="1" applyFill="1" applyBorder="1" applyAlignment="1">
      <alignment horizontal="right" vertical="center"/>
    </xf>
    <xf numFmtId="43" fontId="46" fillId="26" borderId="7" xfId="1" applyFont="1" applyFill="1" applyBorder="1" applyAlignment="1">
      <alignment horizontal="right" vertical="center"/>
    </xf>
    <xf numFmtId="43" fontId="50" fillId="26" borderId="5" xfId="1" applyFont="1" applyFill="1" applyBorder="1" applyAlignment="1">
      <alignment horizontal="right" vertical="center"/>
    </xf>
    <xf numFmtId="43" fontId="50" fillId="15" borderId="5" xfId="1" applyFont="1" applyFill="1" applyBorder="1" applyAlignment="1">
      <alignment horizontal="right" vertical="center"/>
    </xf>
    <xf numFmtId="43" fontId="46" fillId="15" borderId="5" xfId="1" applyFont="1" applyFill="1" applyBorder="1" applyAlignment="1">
      <alignment horizontal="right" vertical="center"/>
    </xf>
    <xf numFmtId="43" fontId="48" fillId="15" borderId="5" xfId="1" applyFont="1" applyFill="1" applyBorder="1" applyAlignment="1">
      <alignment horizontal="right" vertical="center"/>
    </xf>
    <xf numFmtId="43" fontId="48" fillId="15" borderId="20" xfId="1" applyFont="1" applyFill="1" applyBorder="1" applyAlignment="1">
      <alignment horizontal="right" vertical="center"/>
    </xf>
    <xf numFmtId="43" fontId="50" fillId="15" borderId="20" xfId="1" applyFont="1" applyFill="1" applyBorder="1" applyAlignment="1">
      <alignment horizontal="right" vertical="center"/>
    </xf>
    <xf numFmtId="22" fontId="49" fillId="10" borderId="5" xfId="0" applyNumberFormat="1" applyFont="1" applyFill="1" applyBorder="1" applyAlignment="1">
      <alignment horizontal="left" vertical="center"/>
    </xf>
    <xf numFmtId="0" fontId="49" fillId="10" borderId="5" xfId="0" applyFont="1" applyFill="1" applyBorder="1" applyAlignment="1">
      <alignment vertical="center"/>
    </xf>
    <xf numFmtId="0" fontId="50" fillId="10" borderId="5" xfId="0" applyFont="1" applyFill="1" applyBorder="1" applyAlignment="1">
      <alignment vertical="center"/>
    </xf>
    <xf numFmtId="12" fontId="49" fillId="10" borderId="5" xfId="0" applyNumberFormat="1" applyFont="1" applyFill="1" applyBorder="1" applyAlignment="1">
      <alignment horizontal="left" vertical="center"/>
    </xf>
    <xf numFmtId="4" fontId="49" fillId="10" borderId="5" xfId="0" applyNumberFormat="1" applyFont="1" applyFill="1" applyBorder="1" applyAlignment="1">
      <alignment vertical="center"/>
    </xf>
    <xf numFmtId="22" fontId="46" fillId="0" borderId="5" xfId="0" applyNumberFormat="1" applyFont="1" applyBorder="1" applyAlignment="1">
      <alignment horizontal="left" vertical="center"/>
    </xf>
    <xf numFmtId="43" fontId="46" fillId="0" borderId="5" xfId="1" applyFont="1" applyBorder="1" applyAlignment="1">
      <alignment horizontal="left" vertical="center"/>
    </xf>
    <xf numFmtId="43" fontId="47" fillId="0" borderId="5" xfId="1" applyFont="1" applyBorder="1" applyAlignment="1">
      <alignment horizontal="left" vertical="center"/>
    </xf>
    <xf numFmtId="0" fontId="46" fillId="0" borderId="15" xfId="0" applyFont="1" applyBorder="1" applyAlignment="1">
      <alignment horizontal="left" vertical="center"/>
    </xf>
    <xf numFmtId="0" fontId="46" fillId="0" borderId="5" xfId="0" quotePrefix="1" applyFont="1" applyBorder="1" applyAlignment="1">
      <alignment horizontal="left" vertical="center"/>
    </xf>
    <xf numFmtId="0" fontId="49" fillId="0" borderId="5" xfId="0" applyFont="1" applyBorder="1" applyAlignment="1">
      <alignment horizontal="left" vertical="center"/>
    </xf>
    <xf numFmtId="0" fontId="49" fillId="0" borderId="15" xfId="0" applyFont="1" applyBorder="1" applyAlignment="1">
      <alignment horizontal="left" vertical="center"/>
    </xf>
    <xf numFmtId="0" fontId="46" fillId="0" borderId="15" xfId="0" applyFont="1" applyBorder="1" applyAlignment="1">
      <alignment vertical="center"/>
    </xf>
    <xf numFmtId="22" fontId="46" fillId="0" borderId="15" xfId="0" applyNumberFormat="1" applyFont="1" applyBorder="1" applyAlignment="1">
      <alignment horizontal="left" vertical="center"/>
    </xf>
    <xf numFmtId="43" fontId="46" fillId="0" borderId="15" xfId="1" applyFont="1" applyBorder="1" applyAlignment="1">
      <alignment horizontal="left" vertical="center"/>
    </xf>
    <xf numFmtId="43" fontId="47" fillId="0" borderId="15" xfId="1" applyFont="1" applyBorder="1" applyAlignment="1">
      <alignment horizontal="left" vertical="center"/>
    </xf>
    <xf numFmtId="0" fontId="47" fillId="0" borderId="15" xfId="0" applyFont="1" applyBorder="1" applyAlignment="1">
      <alignment horizontal="left" vertical="center"/>
    </xf>
    <xf numFmtId="0" fontId="49" fillId="0" borderId="5" xfId="0" quotePrefix="1" applyFont="1" applyBorder="1" applyAlignment="1">
      <alignment horizontal="left" vertical="center"/>
    </xf>
    <xf numFmtId="4" fontId="46" fillId="0" borderId="5" xfId="0" applyNumberFormat="1" applyFont="1" applyBorder="1" applyAlignment="1">
      <alignment horizontal="left" vertical="center"/>
    </xf>
    <xf numFmtId="43" fontId="46" fillId="0" borderId="5" xfId="1" applyFont="1" applyFill="1" applyBorder="1" applyAlignment="1">
      <alignment horizontal="left" vertical="center"/>
    </xf>
    <xf numFmtId="43" fontId="47" fillId="0" borderId="5" xfId="1" applyFont="1" applyFill="1" applyBorder="1" applyAlignment="1">
      <alignment horizontal="left" vertical="center"/>
    </xf>
    <xf numFmtId="22" fontId="49" fillId="0" borderId="5" xfId="0" applyNumberFormat="1" applyFont="1" applyBorder="1" applyAlignment="1">
      <alignment horizontal="left" vertical="center"/>
    </xf>
    <xf numFmtId="43" fontId="46" fillId="0" borderId="5" xfId="1" applyFont="1" applyBorder="1" applyAlignment="1">
      <alignment vertical="center"/>
    </xf>
    <xf numFmtId="43" fontId="47" fillId="0" borderId="5" xfId="1" applyFont="1" applyBorder="1" applyAlignment="1">
      <alignment vertical="center"/>
    </xf>
    <xf numFmtId="0" fontId="47" fillId="0" borderId="5" xfId="0" applyFont="1" applyBorder="1" applyAlignment="1">
      <alignment vertical="center"/>
    </xf>
    <xf numFmtId="0" fontId="46" fillId="0" borderId="5" xfId="1" applyNumberFormat="1" applyFont="1" applyBorder="1" applyAlignment="1">
      <alignment horizontal="left" vertical="center"/>
    </xf>
    <xf numFmtId="43" fontId="46" fillId="0" borderId="5" xfId="1" applyFont="1" applyBorder="1" applyAlignment="1">
      <alignment horizontal="right" vertical="center"/>
    </xf>
    <xf numFmtId="43" fontId="47" fillId="0" borderId="5" xfId="1" applyFont="1" applyBorder="1" applyAlignment="1">
      <alignment horizontal="right" vertical="center"/>
    </xf>
    <xf numFmtId="0" fontId="46" fillId="0" borderId="19" xfId="0" applyFont="1" applyBorder="1" applyAlignment="1">
      <alignment horizontal="left" vertical="center"/>
    </xf>
    <xf numFmtId="0" fontId="46" fillId="0" borderId="5" xfId="1" applyNumberFormat="1" applyFont="1" applyBorder="1" applyAlignment="1">
      <alignment vertical="center"/>
    </xf>
    <xf numFmtId="19" fontId="46" fillId="0" borderId="5" xfId="0" applyNumberFormat="1" applyFont="1" applyBorder="1" applyAlignment="1">
      <alignment horizontal="left" vertical="center"/>
    </xf>
    <xf numFmtId="164" fontId="0" fillId="0" borderId="2" xfId="1" quotePrefix="1" applyNumberFormat="1" applyFont="1" applyBorder="1"/>
    <xf numFmtId="14" fontId="0" fillId="0" borderId="0" xfId="0" applyNumberFormat="1"/>
    <xf numFmtId="0" fontId="14" fillId="0" borderId="5" xfId="0" applyFont="1" applyBorder="1" applyAlignment="1">
      <alignment vertical="center" wrapText="1"/>
    </xf>
    <xf numFmtId="17" fontId="24" fillId="22" borderId="9" xfId="0" quotePrefix="1" applyNumberFormat="1" applyFont="1" applyFill="1" applyBorder="1"/>
    <xf numFmtId="19" fontId="46" fillId="0" borderId="15" xfId="0" applyNumberFormat="1" applyFont="1" applyBorder="1" applyAlignment="1">
      <alignment horizontal="left" vertical="center"/>
    </xf>
    <xf numFmtId="19" fontId="50" fillId="0" borderId="5" xfId="0" applyNumberFormat="1" applyFont="1" applyBorder="1" applyAlignment="1">
      <alignment horizontal="left" vertical="center"/>
    </xf>
    <xf numFmtId="0" fontId="46" fillId="0" borderId="15" xfId="1" applyNumberFormat="1" applyFont="1" applyBorder="1" applyAlignment="1">
      <alignment vertical="center"/>
    </xf>
    <xf numFmtId="0" fontId="46" fillId="0" borderId="5" xfId="1" applyNumberFormat="1" applyFont="1" applyFill="1" applyBorder="1" applyAlignment="1">
      <alignment vertical="center"/>
    </xf>
    <xf numFmtId="0" fontId="46" fillId="0" borderId="19" xfId="0" applyFont="1" applyBorder="1" applyAlignment="1">
      <alignment vertical="center"/>
    </xf>
    <xf numFmtId="0" fontId="47" fillId="0" borderId="19" xfId="0" applyFont="1" applyBorder="1"/>
    <xf numFmtId="0" fontId="47" fillId="0" borderId="5" xfId="0" applyFont="1" applyBorder="1"/>
    <xf numFmtId="164" fontId="34" fillId="0" borderId="0" xfId="0" applyNumberFormat="1" applyFont="1" applyAlignment="1">
      <alignment horizontal="right" vertical="center"/>
    </xf>
    <xf numFmtId="164" fontId="34" fillId="0" borderId="0" xfId="0" applyNumberFormat="1" applyFont="1" applyAlignment="1">
      <alignment vertical="center"/>
    </xf>
    <xf numFmtId="43" fontId="34" fillId="0" borderId="0" xfId="1" applyFont="1" applyAlignment="1">
      <alignment horizontal="center" vertical="center"/>
    </xf>
    <xf numFmtId="0" fontId="75" fillId="25" borderId="16" xfId="0" applyFont="1" applyFill="1" applyBorder="1" applyAlignment="1">
      <alignment vertical="center"/>
    </xf>
    <xf numFmtId="0" fontId="76" fillId="25" borderId="16" xfId="0" applyFont="1" applyFill="1" applyBorder="1" applyAlignment="1">
      <alignment vertical="center"/>
    </xf>
    <xf numFmtId="164" fontId="75" fillId="25" borderId="16" xfId="0" applyNumberFormat="1" applyFont="1" applyFill="1" applyBorder="1" applyAlignment="1">
      <alignment horizontal="right" vertical="center"/>
    </xf>
    <xf numFmtId="43" fontId="75" fillId="25" borderId="16" xfId="1" applyFont="1" applyFill="1" applyBorder="1" applyAlignment="1">
      <alignment horizontal="right" vertical="center"/>
    </xf>
    <xf numFmtId="164" fontId="75" fillId="25" borderId="16" xfId="0" applyNumberFormat="1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1" fillId="0" borderId="0" xfId="0" applyFont="1" applyAlignment="1">
      <alignment horizontal="right" vertical="center"/>
    </xf>
    <xf numFmtId="0" fontId="34" fillId="0" borderId="0" xfId="0" applyFont="1" applyAlignment="1">
      <alignment horizontal="right" vertical="center"/>
    </xf>
    <xf numFmtId="0" fontId="77" fillId="0" borderId="0" xfId="0" applyFont="1" applyAlignment="1">
      <alignment horizontal="left" vertical="center"/>
    </xf>
    <xf numFmtId="0" fontId="37" fillId="27" borderId="0" xfId="0" applyFont="1" applyFill="1" applyAlignment="1">
      <alignment horizontal="center" vertical="center"/>
    </xf>
    <xf numFmtId="0" fontId="75" fillId="25" borderId="0" xfId="0" quotePrefix="1" applyFont="1" applyFill="1" applyAlignment="1">
      <alignment horizontal="center" vertical="center"/>
    </xf>
    <xf numFmtId="43" fontId="75" fillId="25" borderId="0" xfId="1" quotePrefix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3" fontId="11" fillId="0" borderId="0" xfId="1" applyFont="1" applyAlignment="1">
      <alignment horizontal="right" vertical="center"/>
    </xf>
    <xf numFmtId="164" fontId="37" fillId="0" borderId="0" xfId="0" applyNumberFormat="1" applyFont="1" applyAlignment="1">
      <alignment horizontal="right" vertical="center"/>
    </xf>
    <xf numFmtId="43" fontId="37" fillId="0" borderId="0" xfId="0" applyNumberFormat="1" applyFont="1" applyAlignment="1">
      <alignment horizontal="right" vertical="center"/>
    </xf>
    <xf numFmtId="164" fontId="10" fillId="15" borderId="0" xfId="0" applyNumberFormat="1" applyFont="1" applyFill="1" applyAlignment="1">
      <alignment horizontal="center" vertical="center"/>
    </xf>
    <xf numFmtId="43" fontId="0" fillId="0" borderId="6" xfId="0" applyNumberFormat="1" applyBorder="1"/>
    <xf numFmtId="0" fontId="37" fillId="0" borderId="0" xfId="0" quotePrefix="1" applyFont="1" applyAlignment="1">
      <alignment horizontal="center" vertical="center"/>
    </xf>
    <xf numFmtId="164" fontId="37" fillId="0" borderId="0" xfId="0" applyNumberFormat="1" applyFont="1" applyAlignment="1">
      <alignment horizontal="center" vertical="center"/>
    </xf>
    <xf numFmtId="0" fontId="34" fillId="0" borderId="0" xfId="0" quotePrefix="1" applyFont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164" fontId="71" fillId="0" borderId="0" xfId="0" applyNumberFormat="1" applyFont="1" applyAlignment="1">
      <alignment horizontal="center" vertical="center"/>
    </xf>
    <xf numFmtId="177" fontId="34" fillId="0" borderId="0" xfId="0" applyNumberFormat="1" applyFont="1" applyAlignment="1">
      <alignment horizontal="center" vertical="center"/>
    </xf>
    <xf numFmtId="43" fontId="77" fillId="0" borderId="0" xfId="1" applyFont="1" applyFill="1" applyBorder="1" applyAlignment="1">
      <alignment vertical="center"/>
    </xf>
    <xf numFmtId="0" fontId="44" fillId="9" borderId="5" xfId="0" applyFont="1" applyFill="1" applyBorder="1" applyAlignment="1">
      <alignment horizontal="left" vertical="center"/>
    </xf>
    <xf numFmtId="0" fontId="45" fillId="9" borderId="5" xfId="0" applyFont="1" applyFill="1" applyBorder="1" applyAlignment="1">
      <alignment horizontal="left" vertical="center"/>
    </xf>
    <xf numFmtId="43" fontId="45" fillId="9" borderId="5" xfId="1" applyFont="1" applyFill="1" applyBorder="1" applyAlignment="1">
      <alignment horizontal="left" vertical="center"/>
    </xf>
    <xf numFmtId="43" fontId="44" fillId="9" borderId="5" xfId="1" applyFont="1" applyFill="1" applyBorder="1" applyAlignment="1">
      <alignment horizontal="left" vertical="center"/>
    </xf>
    <xf numFmtId="0" fontId="45" fillId="9" borderId="15" xfId="0" applyFont="1" applyFill="1" applyBorder="1" applyAlignment="1">
      <alignment horizontal="left" vertical="center"/>
    </xf>
    <xf numFmtId="176" fontId="0" fillId="0" borderId="0" xfId="1" applyNumberFormat="1" applyFont="1"/>
    <xf numFmtId="1" fontId="68" fillId="0" borderId="0" xfId="0" applyNumberFormat="1" applyFont="1"/>
    <xf numFmtId="176" fontId="78" fillId="0" borderId="0" xfId="1" applyNumberFormat="1" applyFont="1" applyBorder="1" applyAlignment="1">
      <alignment vertical="top"/>
    </xf>
    <xf numFmtId="0" fontId="1" fillId="4" borderId="0" xfId="0" applyFont="1" applyFill="1"/>
    <xf numFmtId="43" fontId="1" fillId="0" borderId="0" xfId="1" applyFont="1" applyFill="1"/>
    <xf numFmtId="176" fontId="1" fillId="4" borderId="0" xfId="0" applyNumberFormat="1" applyFont="1" applyFill="1"/>
    <xf numFmtId="0" fontId="78" fillId="0" borderId="0" xfId="1" applyNumberFormat="1" applyFont="1" applyBorder="1" applyAlignment="1">
      <alignment vertical="top"/>
    </xf>
    <xf numFmtId="43" fontId="78" fillId="0" borderId="0" xfId="1" applyFont="1" applyBorder="1" applyAlignment="1">
      <alignment vertical="top"/>
    </xf>
    <xf numFmtId="4" fontId="78" fillId="0" borderId="0" xfId="1" applyNumberFormat="1" applyFont="1" applyBorder="1" applyAlignment="1">
      <alignment vertical="top"/>
    </xf>
    <xf numFmtId="0" fontId="17" fillId="4" borderId="0" xfId="0" applyFont="1" applyFill="1"/>
    <xf numFmtId="3" fontId="78" fillId="0" borderId="0" xfId="1" applyNumberFormat="1" applyFont="1" applyBorder="1" applyAlignment="1">
      <alignment vertical="top"/>
    </xf>
    <xf numFmtId="164" fontId="1" fillId="4" borderId="0" xfId="0" applyNumberFormat="1" applyFont="1" applyFill="1"/>
    <xf numFmtId="0" fontId="1" fillId="4" borderId="8" xfId="0" applyFont="1" applyFill="1" applyBorder="1"/>
    <xf numFmtId="176" fontId="1" fillId="0" borderId="8" xfId="0" applyNumberFormat="1" applyFont="1" applyBorder="1"/>
    <xf numFmtId="43" fontId="1" fillId="0" borderId="8" xfId="1" applyFont="1" applyFill="1" applyBorder="1"/>
    <xf numFmtId="176" fontId="10" fillId="0" borderId="0" xfId="0" applyNumberFormat="1" applyFont="1"/>
    <xf numFmtId="43" fontId="10" fillId="0" borderId="0" xfId="1" applyFont="1" applyFill="1" applyBorder="1"/>
    <xf numFmtId="43" fontId="10" fillId="0" borderId="0" xfId="1" applyFont="1" applyFill="1"/>
    <xf numFmtId="176" fontId="0" fillId="4" borderId="0" xfId="1" applyNumberFormat="1" applyFont="1" applyFill="1"/>
    <xf numFmtId="176" fontId="0" fillId="0" borderId="0" xfId="0" applyNumberFormat="1"/>
    <xf numFmtId="0" fontId="47" fillId="0" borderId="5" xfId="0" applyFont="1" applyBorder="1" applyAlignment="1">
      <alignment horizontal="left" vertical="top"/>
    </xf>
    <xf numFmtId="43" fontId="46" fillId="0" borderId="5" xfId="1" quotePrefix="1" applyFont="1" applyBorder="1" applyAlignment="1">
      <alignment horizontal="left" vertical="center"/>
    </xf>
    <xf numFmtId="43" fontId="47" fillId="0" borderId="5" xfId="1" quotePrefix="1" applyFont="1" applyBorder="1" applyAlignment="1">
      <alignment horizontal="left" vertical="center"/>
    </xf>
    <xf numFmtId="0" fontId="9" fillId="4" borderId="0" xfId="1" applyNumberFormat="1" applyFont="1" applyFill="1" applyAlignment="1">
      <alignment horizontal="center" vertical="top" wrapText="1"/>
    </xf>
    <xf numFmtId="0" fontId="10" fillId="3" borderId="0" xfId="1" applyNumberFormat="1" applyFont="1" applyFill="1" applyBorder="1" applyAlignment="1">
      <alignment horizontal="center"/>
    </xf>
    <xf numFmtId="0" fontId="10" fillId="3" borderId="0" xfId="1" applyNumberFormat="1" applyFont="1" applyFill="1" applyAlignment="1">
      <alignment horizontal="center"/>
    </xf>
    <xf numFmtId="0" fontId="10" fillId="4" borderId="0" xfId="1" applyNumberFormat="1" applyFont="1" applyFill="1" applyAlignment="1">
      <alignment horizontal="center"/>
    </xf>
    <xf numFmtId="0" fontId="11" fillId="3" borderId="0" xfId="1" applyNumberFormat="1" applyFont="1" applyFill="1" applyAlignment="1">
      <alignment horizontal="center"/>
    </xf>
    <xf numFmtId="0" fontId="1" fillId="0" borderId="0" xfId="0" applyFont="1"/>
    <xf numFmtId="0" fontId="1" fillId="0" borderId="0" xfId="1" applyNumberFormat="1" applyFont="1" applyFill="1"/>
    <xf numFmtId="43" fontId="9" fillId="2" borderId="1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0" xfId="1" applyFont="1" applyFill="1" applyAlignment="1">
      <alignment horizontal="center" vertical="center"/>
    </xf>
    <xf numFmtId="43" fontId="9" fillId="2" borderId="0" xfId="1" applyFont="1" applyFill="1" applyAlignment="1">
      <alignment horizontal="center" vertical="top" wrapText="1"/>
    </xf>
    <xf numFmtId="43" fontId="9" fillId="2" borderId="0" xfId="1" applyFont="1" applyFill="1" applyAlignment="1">
      <alignment horizontal="center"/>
    </xf>
    <xf numFmtId="0" fontId="9" fillId="2" borderId="1" xfId="1" applyNumberFormat="1" applyFont="1" applyFill="1" applyBorder="1" applyAlignment="1">
      <alignment horizontal="center"/>
    </xf>
    <xf numFmtId="0" fontId="9" fillId="2" borderId="0" xfId="1" applyNumberFormat="1" applyFont="1" applyFill="1" applyBorder="1" applyAlignment="1">
      <alignment horizontal="center"/>
    </xf>
    <xf numFmtId="0" fontId="9" fillId="2" borderId="0" xfId="1" applyNumberFormat="1" applyFont="1" applyFill="1" applyAlignment="1">
      <alignment horizontal="center" vertical="center"/>
    </xf>
    <xf numFmtId="0" fontId="9" fillId="2" borderId="0" xfId="1" applyNumberFormat="1" applyFont="1" applyFill="1" applyAlignment="1">
      <alignment horizontal="center" vertical="top" wrapText="1"/>
    </xf>
    <xf numFmtId="0" fontId="9" fillId="2" borderId="0" xfId="1" applyNumberFormat="1" applyFont="1" applyFill="1" applyAlignment="1">
      <alignment horizontal="center"/>
    </xf>
    <xf numFmtId="17" fontId="3" fillId="20" borderId="21" xfId="0" quotePrefix="1" applyNumberFormat="1" applyFont="1" applyFill="1" applyBorder="1" applyAlignment="1">
      <alignment horizontal="center" vertical="center"/>
    </xf>
    <xf numFmtId="0" fontId="3" fillId="20" borderId="22" xfId="0" applyFont="1" applyFill="1" applyBorder="1" applyAlignment="1">
      <alignment horizontal="center" vertical="center"/>
    </xf>
    <xf numFmtId="0" fontId="36" fillId="0" borderId="13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/>
    </xf>
    <xf numFmtId="0" fontId="41" fillId="0" borderId="5" xfId="3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14" fontId="74" fillId="25" borderId="0" xfId="0" applyNumberFormat="1" applyFont="1" applyFill="1" applyAlignment="1">
      <alignment horizontal="center" vertical="center" wrapText="1"/>
    </xf>
    <xf numFmtId="164" fontId="74" fillId="25" borderId="0" xfId="0" applyNumberFormat="1" applyFont="1" applyFill="1" applyAlignment="1">
      <alignment horizontal="center" vertical="center" wrapText="1"/>
    </xf>
    <xf numFmtId="15" fontId="74" fillId="25" borderId="0" xfId="0" quotePrefix="1" applyNumberFormat="1" applyFont="1" applyFill="1" applyAlignment="1">
      <alignment horizontal="center" vertical="center"/>
    </xf>
    <xf numFmtId="15" fontId="74" fillId="25" borderId="0" xfId="0" quotePrefix="1" applyNumberFormat="1" applyFont="1" applyFill="1" applyAlignment="1">
      <alignment horizontal="center" vertical="center" wrapText="1"/>
    </xf>
    <xf numFmtId="43" fontId="74" fillId="25" borderId="0" xfId="1" quotePrefix="1" applyFont="1" applyFill="1" applyAlignment="1">
      <alignment horizontal="center" vertical="center" wrapText="1"/>
    </xf>
    <xf numFmtId="0" fontId="74" fillId="25" borderId="0" xfId="0" applyFont="1" applyFill="1" applyAlignment="1">
      <alignment horizontal="center" vertical="center" wrapText="1"/>
    </xf>
    <xf numFmtId="4" fontId="0" fillId="0" borderId="6" xfId="0" applyNumberFormat="1" applyBorder="1"/>
    <xf numFmtId="14" fontId="46" fillId="0" borderId="5" xfId="0" applyNumberFormat="1" applyFont="1" applyBorder="1" applyAlignment="1">
      <alignment vertical="center"/>
    </xf>
    <xf numFmtId="14" fontId="46" fillId="0" borderId="15" xfId="0" applyNumberFormat="1" applyFont="1" applyBorder="1" applyAlignment="1">
      <alignment vertical="center"/>
    </xf>
    <xf numFmtId="4" fontId="46" fillId="0" borderId="5" xfId="0" applyNumberFormat="1" applyFont="1" applyBorder="1" applyAlignment="1">
      <alignment vertical="center"/>
    </xf>
    <xf numFmtId="4" fontId="47" fillId="0" borderId="5" xfId="0" applyNumberFormat="1" applyFont="1" applyBorder="1" applyAlignment="1">
      <alignment vertical="center"/>
    </xf>
    <xf numFmtId="171" fontId="46" fillId="0" borderId="5" xfId="0" applyNumberFormat="1" applyFont="1" applyBorder="1" applyAlignment="1">
      <alignment horizontal="left" vertical="center"/>
    </xf>
    <xf numFmtId="164" fontId="34" fillId="0" borderId="0" xfId="1" applyNumberFormat="1" applyFont="1" applyAlignment="1">
      <alignment horizontal="right" vertical="center"/>
    </xf>
    <xf numFmtId="164" fontId="34" fillId="0" borderId="0" xfId="1" applyNumberFormat="1" applyFont="1" applyFill="1" applyAlignment="1">
      <alignment horizontal="right" vertical="center"/>
    </xf>
    <xf numFmtId="164" fontId="34" fillId="0" borderId="0" xfId="1" applyNumberFormat="1" applyFont="1" applyBorder="1" applyAlignment="1">
      <alignment horizontal="right" vertical="center"/>
    </xf>
    <xf numFmtId="164" fontId="37" fillId="0" borderId="0" xfId="1" applyNumberFormat="1" applyFont="1" applyAlignment="1">
      <alignment horizontal="right" vertical="center"/>
    </xf>
    <xf numFmtId="164" fontId="34" fillId="0" borderId="0" xfId="1" applyNumberFormat="1" applyFont="1" applyAlignment="1">
      <alignment horizontal="center" vertical="center"/>
    </xf>
    <xf numFmtId="4" fontId="34" fillId="0" borderId="0" xfId="1" applyNumberFormat="1" applyFont="1" applyAlignment="1">
      <alignment horizontal="right" vertical="center"/>
    </xf>
  </cellXfs>
  <cellStyles count="6">
    <cellStyle name="Comma" xfId="1" builtinId="3"/>
    <cellStyle name="Normal" xfId="0" builtinId="0"/>
    <cellStyle name="Normal 2 10" xfId="3" xr:uid="{00000000-0005-0000-0000-000002000000}"/>
    <cellStyle name="Normal 2 2 125" xfId="4" xr:uid="{00000000-0005-0000-0000-000003000000}"/>
    <cellStyle name="Normal 3 2 10" xfId="5" xr:uid="{00000000-0005-0000-0000-000004000000}"/>
    <cellStyle name="Normal 4 10" xfId="2" xr:uid="{00000000-0005-0000-0000-000005000000}"/>
  </cellStyles>
  <dxfs count="2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none"/>
      </font>
      <fill>
        <patternFill patternType="solid">
          <fgColor rgb="FF000000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none"/>
      </font>
      <fill>
        <patternFill patternType="solid">
          <fgColor rgb="FF000000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none"/>
      </font>
      <fill>
        <patternFill patternType="solid">
          <fgColor rgb="FF000000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none"/>
      </font>
      <fill>
        <patternFill patternType="solid">
          <fgColor rgb="FF000000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none"/>
      </font>
      <fill>
        <patternFill patternType="solid">
          <fgColor rgb="FF000000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none"/>
      </font>
      <fill>
        <patternFill patternType="solid">
          <fgColor rgb="FF000000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none"/>
      </font>
      <fill>
        <patternFill patternType="solid">
          <fgColor rgb="FF000000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none"/>
      </font>
      <fill>
        <patternFill patternType="solid">
          <fgColor rgb="FF000000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none"/>
      </font>
      <fill>
        <patternFill patternType="solid">
          <fgColor rgb="FF000000"/>
          <bgColor rgb="FFFFC7CE"/>
        </patternFill>
      </fill>
    </dxf>
    <dxf>
      <fill>
        <patternFill patternType="solid">
          <fgColor rgb="FFB6DDE8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613F-4B23-4E75-867C-AF7DB02F69D0}">
  <dimension ref="A1:W792"/>
  <sheetViews>
    <sheetView zoomScale="85" zoomScaleNormal="85" workbookViewId="0">
      <selection activeCell="R6" sqref="R6"/>
    </sheetView>
  </sheetViews>
  <sheetFormatPr defaultRowHeight="15" x14ac:dyDescent="0.25"/>
  <cols>
    <col min="1" max="1" width="6.28515625" customWidth="1"/>
    <col min="2" max="2" width="34.140625" customWidth="1"/>
    <col min="3" max="3" width="13.140625" customWidth="1"/>
    <col min="5" max="5" width="0.7109375" style="7" customWidth="1"/>
    <col min="6" max="6" width="10.5703125" style="260" customWidth="1"/>
    <col min="7" max="7" width="16.85546875" style="12" customWidth="1"/>
    <col min="8" max="8" width="13.85546875" style="12" customWidth="1"/>
    <col min="9" max="9" width="0.7109375" style="7" customWidth="1"/>
    <col min="10" max="10" width="9.28515625" style="260" customWidth="1"/>
    <col min="11" max="11" width="12.42578125" style="12" customWidth="1"/>
    <col min="12" max="12" width="9.28515625" style="12" customWidth="1"/>
    <col min="13" max="13" width="0.7109375" style="7" customWidth="1"/>
    <col min="14" max="14" width="11.5703125" style="260" bestFit="1" customWidth="1"/>
    <col min="15" max="15" width="18.85546875" style="12" bestFit="1" customWidth="1"/>
    <col min="16" max="16" width="15" style="12" bestFit="1" customWidth="1"/>
    <col min="17" max="17" width="0.85546875" style="257" customWidth="1"/>
    <col min="18" max="18" width="11.5703125" style="260" customWidth="1"/>
    <col min="19" max="19" width="16.85546875" style="12" customWidth="1"/>
    <col min="20" max="20" width="11.5703125" style="12" customWidth="1"/>
    <col min="21" max="21" width="0.7109375" style="7" customWidth="1"/>
    <col min="22" max="22" width="10.5703125" style="260" customWidth="1"/>
    <col min="23" max="23" width="17.85546875" style="12" customWidth="1"/>
  </cols>
  <sheetData>
    <row r="1" spans="1:23" x14ac:dyDescent="0.25">
      <c r="A1" s="1" t="s">
        <v>0</v>
      </c>
    </row>
    <row r="2" spans="1:23" x14ac:dyDescent="0.25">
      <c r="A2" s="2" t="s">
        <v>1</v>
      </c>
    </row>
    <row r="3" spans="1:23" x14ac:dyDescent="0.25">
      <c r="A3" s="3" t="s">
        <v>3301</v>
      </c>
    </row>
    <row r="4" spans="1:23" ht="15.75" x14ac:dyDescent="0.25">
      <c r="F4" s="544" t="s">
        <v>2</v>
      </c>
      <c r="G4" s="545"/>
      <c r="H4" s="545"/>
      <c r="J4" s="546" t="s">
        <v>3</v>
      </c>
      <c r="K4" s="546"/>
      <c r="L4" s="546"/>
      <c r="N4" s="547" t="s">
        <v>4</v>
      </c>
      <c r="O4" s="547"/>
      <c r="P4" s="547"/>
      <c r="Q4" s="354"/>
      <c r="R4" s="548" t="s">
        <v>5</v>
      </c>
      <c r="S4" s="548"/>
      <c r="T4" s="548"/>
      <c r="V4" s="548" t="s">
        <v>6</v>
      </c>
      <c r="W4" s="548"/>
    </row>
    <row r="5" spans="1:23" x14ac:dyDescent="0.25">
      <c r="A5" t="s">
        <v>7</v>
      </c>
      <c r="B5" s="343" t="s">
        <v>8</v>
      </c>
      <c r="C5" s="343" t="s">
        <v>9</v>
      </c>
      <c r="D5" s="343" t="s">
        <v>3302</v>
      </c>
      <c r="F5" s="4" t="s">
        <v>10</v>
      </c>
      <c r="G5" s="4" t="s">
        <v>11</v>
      </c>
      <c r="H5" s="4" t="s">
        <v>12</v>
      </c>
      <c r="J5" s="5" t="s">
        <v>10</v>
      </c>
      <c r="K5" s="5" t="s">
        <v>11</v>
      </c>
      <c r="L5" s="5" t="s">
        <v>12</v>
      </c>
      <c r="N5" s="5" t="s">
        <v>10</v>
      </c>
      <c r="O5" s="5" t="s">
        <v>11</v>
      </c>
      <c r="P5" s="5" t="s">
        <v>12</v>
      </c>
      <c r="Q5" s="344"/>
      <c r="R5" s="6" t="s">
        <v>10</v>
      </c>
      <c r="S5" s="6" t="s">
        <v>13</v>
      </c>
      <c r="T5" s="6" t="s">
        <v>12</v>
      </c>
      <c r="V5" s="6" t="s">
        <v>10</v>
      </c>
      <c r="W5" s="6" t="s">
        <v>13</v>
      </c>
    </row>
    <row r="6" spans="1:23" x14ac:dyDescent="0.25">
      <c r="A6" s="515">
        <v>1</v>
      </c>
      <c r="B6" t="s">
        <v>14</v>
      </c>
      <c r="C6" s="308" t="s">
        <v>15</v>
      </c>
      <c r="D6" s="308" t="s">
        <v>16</v>
      </c>
      <c r="F6" s="516">
        <v>8</v>
      </c>
      <c r="G6" s="516">
        <v>109814</v>
      </c>
      <c r="H6" s="516">
        <v>800</v>
      </c>
      <c r="I6" s="517"/>
      <c r="J6" s="516">
        <v>0</v>
      </c>
      <c r="K6" s="516">
        <v>0</v>
      </c>
      <c r="L6" s="516">
        <v>0</v>
      </c>
      <c r="M6" s="517"/>
      <c r="N6" s="342">
        <v>8</v>
      </c>
      <c r="O6" s="518">
        <v>109814</v>
      </c>
      <c r="P6" s="518">
        <v>800</v>
      </c>
      <c r="Q6" s="519"/>
      <c r="R6" s="516">
        <v>0</v>
      </c>
      <c r="S6" s="516">
        <v>0</v>
      </c>
      <c r="T6" s="516">
        <v>0</v>
      </c>
      <c r="U6" s="517"/>
      <c r="V6" s="342">
        <v>8</v>
      </c>
      <c r="W6" s="518">
        <v>109814</v>
      </c>
    </row>
    <row r="7" spans="1:23" x14ac:dyDescent="0.25">
      <c r="A7" s="515">
        <v>2</v>
      </c>
      <c r="B7" t="s">
        <v>17</v>
      </c>
      <c r="C7" s="308" t="s">
        <v>18</v>
      </c>
      <c r="D7" s="308" t="s">
        <v>16</v>
      </c>
      <c r="F7" s="516">
        <v>4</v>
      </c>
      <c r="G7" s="516">
        <v>651400</v>
      </c>
      <c r="H7" s="516">
        <v>350</v>
      </c>
      <c r="I7" s="517"/>
      <c r="J7" s="516">
        <v>0</v>
      </c>
      <c r="K7" s="516">
        <v>0</v>
      </c>
      <c r="L7" s="516">
        <v>0</v>
      </c>
      <c r="M7" s="517"/>
      <c r="N7" s="342">
        <v>4</v>
      </c>
      <c r="O7" s="518">
        <v>651400</v>
      </c>
      <c r="P7" s="518">
        <v>350</v>
      </c>
      <c r="Q7" s="519"/>
      <c r="R7" s="516">
        <v>0</v>
      </c>
      <c r="S7" s="516">
        <v>0</v>
      </c>
      <c r="T7" s="516">
        <v>0</v>
      </c>
      <c r="U7" s="517"/>
      <c r="V7" s="342">
        <v>4</v>
      </c>
      <c r="W7" s="518">
        <v>651400</v>
      </c>
    </row>
    <row r="8" spans="1:23" x14ac:dyDescent="0.25">
      <c r="A8" s="515">
        <v>3</v>
      </c>
      <c r="B8" t="s">
        <v>19</v>
      </c>
      <c r="C8" s="308" t="s">
        <v>18</v>
      </c>
      <c r="D8" s="308" t="s">
        <v>20</v>
      </c>
      <c r="F8" s="516">
        <v>6</v>
      </c>
      <c r="G8" s="516">
        <v>97977.82</v>
      </c>
      <c r="H8" s="516">
        <v>300</v>
      </c>
      <c r="I8" s="517"/>
      <c r="J8" s="516">
        <v>0</v>
      </c>
      <c r="K8" s="516">
        <v>0</v>
      </c>
      <c r="L8" s="516">
        <v>0</v>
      </c>
      <c r="M8" s="517"/>
      <c r="N8" s="342">
        <v>6</v>
      </c>
      <c r="O8" s="518">
        <v>97977.82</v>
      </c>
      <c r="P8" s="518">
        <v>300</v>
      </c>
      <c r="Q8" s="519"/>
      <c r="R8" s="516">
        <v>0</v>
      </c>
      <c r="S8" s="516">
        <v>0</v>
      </c>
      <c r="T8" s="516">
        <v>0</v>
      </c>
      <c r="U8" s="517"/>
      <c r="V8" s="342">
        <v>6</v>
      </c>
      <c r="W8" s="518">
        <v>97977.82</v>
      </c>
    </row>
    <row r="9" spans="1:23" x14ac:dyDescent="0.25">
      <c r="A9" s="515">
        <v>4</v>
      </c>
      <c r="B9" t="s">
        <v>21</v>
      </c>
      <c r="C9" s="308" t="s">
        <v>22</v>
      </c>
      <c r="D9" s="308" t="s">
        <v>16</v>
      </c>
      <c r="F9" s="516">
        <v>0</v>
      </c>
      <c r="G9" s="516">
        <v>0</v>
      </c>
      <c r="H9" s="516">
        <v>0</v>
      </c>
      <c r="I9" s="517"/>
      <c r="J9" s="516">
        <v>0</v>
      </c>
      <c r="K9" s="516">
        <v>0</v>
      </c>
      <c r="L9" s="516">
        <v>0</v>
      </c>
      <c r="M9" s="517"/>
      <c r="N9" s="342">
        <v>0</v>
      </c>
      <c r="O9" s="518">
        <v>0</v>
      </c>
      <c r="P9" s="518">
        <v>0</v>
      </c>
      <c r="Q9" s="519"/>
      <c r="R9" s="516">
        <v>0</v>
      </c>
      <c r="S9" s="516">
        <v>0</v>
      </c>
      <c r="T9" s="516">
        <v>0</v>
      </c>
      <c r="U9" s="517"/>
      <c r="V9" s="342">
        <v>0</v>
      </c>
      <c r="W9" s="518">
        <v>0</v>
      </c>
    </row>
    <row r="10" spans="1:23" x14ac:dyDescent="0.25">
      <c r="A10" s="515">
        <v>5</v>
      </c>
      <c r="B10" t="s">
        <v>23</v>
      </c>
      <c r="C10" s="308" t="s">
        <v>24</v>
      </c>
      <c r="D10" s="308" t="s">
        <v>16</v>
      </c>
      <c r="F10" s="516">
        <v>0</v>
      </c>
      <c r="G10" s="516">
        <v>0</v>
      </c>
      <c r="H10" s="516">
        <v>0</v>
      </c>
      <c r="I10" s="517"/>
      <c r="J10" s="516">
        <v>0</v>
      </c>
      <c r="K10" s="516">
        <v>0</v>
      </c>
      <c r="L10" s="516">
        <v>0</v>
      </c>
      <c r="M10" s="517"/>
      <c r="N10" s="342">
        <v>0</v>
      </c>
      <c r="O10" s="518">
        <v>0</v>
      </c>
      <c r="P10" s="518">
        <v>0</v>
      </c>
      <c r="Q10" s="519"/>
      <c r="R10" s="516">
        <v>0</v>
      </c>
      <c r="S10" s="516">
        <v>0</v>
      </c>
      <c r="T10" s="516">
        <v>0</v>
      </c>
      <c r="U10" s="517"/>
      <c r="V10" s="342">
        <v>0</v>
      </c>
      <c r="W10" s="518">
        <v>0</v>
      </c>
    </row>
    <row r="11" spans="1:23" x14ac:dyDescent="0.25">
      <c r="A11" s="515">
        <v>6</v>
      </c>
      <c r="B11" t="s">
        <v>28</v>
      </c>
      <c r="C11" s="308" t="s">
        <v>18</v>
      </c>
      <c r="D11" s="308" t="s">
        <v>16</v>
      </c>
      <c r="F11" s="516">
        <v>7</v>
      </c>
      <c r="G11" s="516">
        <v>17562.38</v>
      </c>
      <c r="H11" s="516">
        <v>105</v>
      </c>
      <c r="I11" s="517"/>
      <c r="J11" s="516">
        <v>0</v>
      </c>
      <c r="K11" s="516">
        <v>0</v>
      </c>
      <c r="L11" s="516">
        <v>0</v>
      </c>
      <c r="M11" s="517"/>
      <c r="N11" s="342">
        <v>7</v>
      </c>
      <c r="O11" s="518">
        <v>17562.38</v>
      </c>
      <c r="P11" s="518">
        <v>105</v>
      </c>
      <c r="Q11" s="519"/>
      <c r="R11" s="516">
        <v>0</v>
      </c>
      <c r="S11" s="516">
        <v>0</v>
      </c>
      <c r="T11" s="516">
        <v>0</v>
      </c>
      <c r="U11" s="517"/>
      <c r="V11" s="342">
        <v>7</v>
      </c>
      <c r="W11" s="518">
        <v>17562.38</v>
      </c>
    </row>
    <row r="12" spans="1:23" x14ac:dyDescent="0.25">
      <c r="A12" s="515">
        <v>7</v>
      </c>
      <c r="B12" t="s">
        <v>29</v>
      </c>
      <c r="C12" s="308" t="s">
        <v>27</v>
      </c>
      <c r="D12" s="308" t="s">
        <v>16</v>
      </c>
      <c r="F12" s="516">
        <v>0</v>
      </c>
      <c r="G12" s="516">
        <v>0</v>
      </c>
      <c r="H12" s="516">
        <v>0</v>
      </c>
      <c r="I12" s="517"/>
      <c r="J12" s="516">
        <v>0</v>
      </c>
      <c r="K12" s="516">
        <v>0</v>
      </c>
      <c r="L12" s="516">
        <v>0</v>
      </c>
      <c r="M12" s="517"/>
      <c r="N12" s="342">
        <v>0</v>
      </c>
      <c r="O12" s="518">
        <v>0</v>
      </c>
      <c r="P12" s="518">
        <v>0</v>
      </c>
      <c r="Q12" s="519"/>
      <c r="R12" s="516">
        <v>0</v>
      </c>
      <c r="S12" s="516">
        <v>0</v>
      </c>
      <c r="T12" s="516">
        <v>0</v>
      </c>
      <c r="U12" s="517"/>
      <c r="V12" s="342">
        <v>0</v>
      </c>
      <c r="W12" s="518">
        <v>0</v>
      </c>
    </row>
    <row r="13" spans="1:23" x14ac:dyDescent="0.25">
      <c r="A13" s="515">
        <v>8</v>
      </c>
      <c r="B13" t="s">
        <v>30</v>
      </c>
      <c r="C13" s="308" t="s">
        <v>25</v>
      </c>
      <c r="D13" s="308" t="s">
        <v>16</v>
      </c>
      <c r="F13" s="516">
        <v>8</v>
      </c>
      <c r="G13" s="516">
        <v>79687</v>
      </c>
      <c r="H13" s="516">
        <v>200</v>
      </c>
      <c r="I13" s="517"/>
      <c r="J13" s="516">
        <v>0</v>
      </c>
      <c r="K13" s="516">
        <v>0</v>
      </c>
      <c r="L13" s="516">
        <v>0</v>
      </c>
      <c r="M13" s="517"/>
      <c r="N13" s="342">
        <v>8</v>
      </c>
      <c r="O13" s="518">
        <v>79687</v>
      </c>
      <c r="P13" s="518">
        <v>200</v>
      </c>
      <c r="Q13" s="519"/>
      <c r="R13" s="516">
        <v>0</v>
      </c>
      <c r="S13" s="516">
        <v>0</v>
      </c>
      <c r="T13" s="516">
        <v>0</v>
      </c>
      <c r="U13" s="517"/>
      <c r="V13" s="342">
        <v>8</v>
      </c>
      <c r="W13" s="518">
        <v>79687</v>
      </c>
    </row>
    <row r="14" spans="1:23" x14ac:dyDescent="0.25">
      <c r="A14" s="515">
        <v>9</v>
      </c>
      <c r="B14" t="s">
        <v>31</v>
      </c>
      <c r="C14" s="308" t="s">
        <v>15</v>
      </c>
      <c r="D14" s="308" t="s">
        <v>20</v>
      </c>
      <c r="F14" s="516">
        <v>4</v>
      </c>
      <c r="G14" s="516">
        <v>17588.96</v>
      </c>
      <c r="H14" s="516">
        <v>80</v>
      </c>
      <c r="I14" s="517"/>
      <c r="J14" s="516">
        <v>0</v>
      </c>
      <c r="K14" s="516">
        <v>0</v>
      </c>
      <c r="L14" s="516">
        <v>0</v>
      </c>
      <c r="M14" s="517"/>
      <c r="N14" s="342">
        <v>4</v>
      </c>
      <c r="O14" s="518">
        <v>17588.96</v>
      </c>
      <c r="P14" s="518">
        <v>80</v>
      </c>
      <c r="Q14" s="519"/>
      <c r="R14" s="516">
        <v>0</v>
      </c>
      <c r="S14" s="516">
        <v>0</v>
      </c>
      <c r="T14" s="516">
        <v>0</v>
      </c>
      <c r="U14" s="517"/>
      <c r="V14" s="342">
        <v>4</v>
      </c>
      <c r="W14" s="518">
        <v>17588.96</v>
      </c>
    </row>
    <row r="15" spans="1:23" x14ac:dyDescent="0.25">
      <c r="A15" s="515">
        <v>10</v>
      </c>
      <c r="B15" t="s">
        <v>32</v>
      </c>
      <c r="C15" s="308" t="s">
        <v>15</v>
      </c>
      <c r="D15" s="308" t="s">
        <v>16</v>
      </c>
      <c r="F15" s="516">
        <v>0</v>
      </c>
      <c r="G15" s="516">
        <v>0</v>
      </c>
      <c r="H15" s="516">
        <v>0</v>
      </c>
      <c r="I15" s="517"/>
      <c r="J15" s="516">
        <v>0</v>
      </c>
      <c r="K15" s="516">
        <v>0</v>
      </c>
      <c r="L15" s="516">
        <v>0</v>
      </c>
      <c r="M15" s="517"/>
      <c r="N15" s="342">
        <v>0</v>
      </c>
      <c r="O15" s="518">
        <v>0</v>
      </c>
      <c r="P15" s="518">
        <v>0</v>
      </c>
      <c r="Q15" s="519"/>
      <c r="R15" s="516">
        <v>0</v>
      </c>
      <c r="S15" s="516">
        <v>0</v>
      </c>
      <c r="T15" s="516">
        <v>0</v>
      </c>
      <c r="U15" s="517"/>
      <c r="V15" s="342">
        <v>0</v>
      </c>
      <c r="W15" s="518">
        <v>0</v>
      </c>
    </row>
    <row r="16" spans="1:23" x14ac:dyDescent="0.25">
      <c r="A16" s="515">
        <v>11</v>
      </c>
      <c r="B16" t="s">
        <v>33</v>
      </c>
      <c r="C16" s="308"/>
      <c r="D16" s="308" t="s">
        <v>16</v>
      </c>
      <c r="F16" s="516">
        <v>0</v>
      </c>
      <c r="G16" s="516">
        <v>0</v>
      </c>
      <c r="H16" s="516">
        <v>0</v>
      </c>
      <c r="I16" s="517"/>
      <c r="J16" s="516">
        <v>0</v>
      </c>
      <c r="K16" s="516">
        <v>0</v>
      </c>
      <c r="L16" s="516">
        <v>0</v>
      </c>
      <c r="M16" s="517"/>
      <c r="N16" s="342">
        <v>0</v>
      </c>
      <c r="O16" s="518">
        <v>0</v>
      </c>
      <c r="P16" s="518">
        <v>0</v>
      </c>
      <c r="Q16" s="519"/>
      <c r="R16" s="516">
        <v>0</v>
      </c>
      <c r="S16" s="516">
        <v>0</v>
      </c>
      <c r="T16" s="516">
        <v>0</v>
      </c>
      <c r="U16" s="517"/>
      <c r="V16" s="342">
        <v>0</v>
      </c>
      <c r="W16" s="518">
        <v>0</v>
      </c>
    </row>
    <row r="17" spans="1:23" x14ac:dyDescent="0.25">
      <c r="A17" s="515">
        <v>12</v>
      </c>
      <c r="B17" t="s">
        <v>34</v>
      </c>
      <c r="C17" s="308" t="s">
        <v>18</v>
      </c>
      <c r="D17" s="308" t="s">
        <v>16</v>
      </c>
      <c r="F17" s="516">
        <v>0</v>
      </c>
      <c r="G17" s="516">
        <v>0</v>
      </c>
      <c r="H17" s="516">
        <v>0</v>
      </c>
      <c r="I17" s="517"/>
      <c r="J17" s="516">
        <v>0</v>
      </c>
      <c r="K17" s="516">
        <v>0</v>
      </c>
      <c r="L17" s="516">
        <v>0</v>
      </c>
      <c r="M17" s="517"/>
      <c r="N17" s="342">
        <v>0</v>
      </c>
      <c r="O17" s="518">
        <v>0</v>
      </c>
      <c r="P17" s="518">
        <v>0</v>
      </c>
      <c r="Q17" s="519"/>
      <c r="R17" s="516">
        <v>0</v>
      </c>
      <c r="S17" s="516">
        <v>0</v>
      </c>
      <c r="T17" s="516">
        <v>0</v>
      </c>
      <c r="U17" s="517"/>
      <c r="V17" s="342">
        <v>0</v>
      </c>
      <c r="W17" s="518">
        <v>0</v>
      </c>
    </row>
    <row r="18" spans="1:23" x14ac:dyDescent="0.25">
      <c r="A18" s="515">
        <v>13</v>
      </c>
      <c r="B18" t="s">
        <v>35</v>
      </c>
      <c r="C18" s="308" t="s">
        <v>18</v>
      </c>
      <c r="D18" s="308" t="s">
        <v>20</v>
      </c>
      <c r="F18" s="516">
        <v>56</v>
      </c>
      <c r="G18" s="516">
        <v>1155780.3</v>
      </c>
      <c r="H18" s="516">
        <v>1650</v>
      </c>
      <c r="I18" s="517"/>
      <c r="J18" s="516">
        <v>0</v>
      </c>
      <c r="K18" s="516">
        <v>0</v>
      </c>
      <c r="L18" s="516">
        <v>0</v>
      </c>
      <c r="M18" s="517"/>
      <c r="N18" s="342">
        <v>56</v>
      </c>
      <c r="O18" s="518">
        <v>1155780.3</v>
      </c>
      <c r="P18" s="518">
        <v>1650</v>
      </c>
      <c r="Q18" s="519"/>
      <c r="R18" s="516">
        <v>0</v>
      </c>
      <c r="S18" s="516">
        <v>0</v>
      </c>
      <c r="T18" s="516">
        <v>0</v>
      </c>
      <c r="U18" s="517"/>
      <c r="V18" s="342">
        <v>56</v>
      </c>
      <c r="W18" s="518">
        <v>1155780.3</v>
      </c>
    </row>
    <row r="19" spans="1:23" x14ac:dyDescent="0.25">
      <c r="A19" s="515">
        <v>14</v>
      </c>
      <c r="B19" t="s">
        <v>36</v>
      </c>
      <c r="C19" s="308" t="s">
        <v>25</v>
      </c>
      <c r="D19" s="308" t="s">
        <v>16</v>
      </c>
      <c r="F19" s="516">
        <v>11</v>
      </c>
      <c r="G19" s="516">
        <v>36783.03</v>
      </c>
      <c r="H19" s="516">
        <v>55</v>
      </c>
      <c r="I19" s="517"/>
      <c r="J19" s="516">
        <v>0</v>
      </c>
      <c r="K19" s="516">
        <v>0</v>
      </c>
      <c r="L19" s="516">
        <v>0</v>
      </c>
      <c r="M19" s="517"/>
      <c r="N19" s="342">
        <v>11</v>
      </c>
      <c r="O19" s="518">
        <v>36783.03</v>
      </c>
      <c r="P19" s="518">
        <v>55</v>
      </c>
      <c r="Q19" s="519"/>
      <c r="R19" s="516">
        <v>0</v>
      </c>
      <c r="S19" s="516">
        <v>0</v>
      </c>
      <c r="T19" s="516">
        <v>0</v>
      </c>
      <c r="U19" s="517"/>
      <c r="V19" s="342">
        <v>11</v>
      </c>
      <c r="W19" s="518">
        <v>36783.03</v>
      </c>
    </row>
    <row r="20" spans="1:23" x14ac:dyDescent="0.25">
      <c r="A20" s="515">
        <v>15</v>
      </c>
      <c r="B20" t="s">
        <v>37</v>
      </c>
      <c r="C20" s="308" t="s">
        <v>25</v>
      </c>
      <c r="D20" s="308" t="s">
        <v>16</v>
      </c>
      <c r="F20" s="516">
        <v>0</v>
      </c>
      <c r="G20" s="516">
        <v>0</v>
      </c>
      <c r="H20" s="516">
        <v>0</v>
      </c>
      <c r="I20" s="517"/>
      <c r="J20" s="516">
        <v>0</v>
      </c>
      <c r="K20" s="516">
        <v>0</v>
      </c>
      <c r="L20" s="516">
        <v>0</v>
      </c>
      <c r="M20" s="517"/>
      <c r="N20" s="342">
        <v>0</v>
      </c>
      <c r="O20" s="518">
        <v>0</v>
      </c>
      <c r="P20" s="518">
        <v>0</v>
      </c>
      <c r="Q20" s="519"/>
      <c r="R20" s="516">
        <v>0</v>
      </c>
      <c r="S20" s="516">
        <v>0</v>
      </c>
      <c r="T20" s="516">
        <v>0</v>
      </c>
      <c r="U20" s="517"/>
      <c r="V20" s="342">
        <v>0</v>
      </c>
      <c r="W20" s="518">
        <v>0</v>
      </c>
    </row>
    <row r="21" spans="1:23" x14ac:dyDescent="0.25">
      <c r="A21" s="515">
        <v>16</v>
      </c>
      <c r="B21" t="s">
        <v>38</v>
      </c>
      <c r="C21" s="308" t="s">
        <v>39</v>
      </c>
      <c r="D21" s="308" t="s">
        <v>16</v>
      </c>
      <c r="F21" s="516">
        <v>0</v>
      </c>
      <c r="G21" s="516">
        <v>0</v>
      </c>
      <c r="H21" s="516">
        <v>0</v>
      </c>
      <c r="I21" s="517"/>
      <c r="J21" s="516">
        <v>0</v>
      </c>
      <c r="K21" s="516">
        <v>0</v>
      </c>
      <c r="L21" s="516">
        <v>0</v>
      </c>
      <c r="M21" s="517"/>
      <c r="N21" s="342">
        <v>0</v>
      </c>
      <c r="O21" s="518">
        <v>0</v>
      </c>
      <c r="P21" s="518">
        <v>0</v>
      </c>
      <c r="Q21" s="519"/>
      <c r="R21" s="516">
        <v>0</v>
      </c>
      <c r="S21" s="516">
        <v>0</v>
      </c>
      <c r="T21" s="516">
        <v>0</v>
      </c>
      <c r="U21" s="517"/>
      <c r="V21" s="342">
        <v>0</v>
      </c>
      <c r="W21" s="518">
        <v>0</v>
      </c>
    </row>
    <row r="22" spans="1:23" x14ac:dyDescent="0.25">
      <c r="A22" s="515">
        <v>17</v>
      </c>
      <c r="B22" t="s">
        <v>42</v>
      </c>
      <c r="C22" s="308" t="s">
        <v>22</v>
      </c>
      <c r="D22" s="308" t="s">
        <v>43</v>
      </c>
      <c r="F22" s="516">
        <v>0</v>
      </c>
      <c r="G22" s="516">
        <v>0</v>
      </c>
      <c r="H22" s="516">
        <v>0</v>
      </c>
      <c r="I22" s="517"/>
      <c r="J22" s="516">
        <v>0</v>
      </c>
      <c r="K22" s="516">
        <v>0</v>
      </c>
      <c r="L22" s="516">
        <v>0</v>
      </c>
      <c r="M22" s="517"/>
      <c r="N22" s="342">
        <v>0</v>
      </c>
      <c r="O22" s="518">
        <v>0</v>
      </c>
      <c r="P22" s="518">
        <v>0</v>
      </c>
      <c r="Q22" s="519"/>
      <c r="R22" s="516">
        <v>0</v>
      </c>
      <c r="S22" s="516">
        <v>0</v>
      </c>
      <c r="T22" s="516">
        <v>0</v>
      </c>
      <c r="U22" s="517"/>
      <c r="V22" s="342">
        <v>0</v>
      </c>
      <c r="W22" s="518">
        <v>0</v>
      </c>
    </row>
    <row r="23" spans="1:23" x14ac:dyDescent="0.25">
      <c r="A23" s="515">
        <v>18</v>
      </c>
      <c r="B23" t="s">
        <v>44</v>
      </c>
      <c r="C23" s="308" t="s">
        <v>15</v>
      </c>
      <c r="D23" s="308" t="s">
        <v>45</v>
      </c>
      <c r="F23" s="516">
        <v>605</v>
      </c>
      <c r="G23" s="516">
        <v>12351942.57</v>
      </c>
      <c r="H23" s="516">
        <v>10176</v>
      </c>
      <c r="I23" s="517"/>
      <c r="J23" s="516">
        <v>0</v>
      </c>
      <c r="K23" s="516">
        <v>0</v>
      </c>
      <c r="L23" s="516">
        <v>0</v>
      </c>
      <c r="M23" s="517"/>
      <c r="N23" s="342">
        <v>605</v>
      </c>
      <c r="O23" s="518">
        <v>12351942.57</v>
      </c>
      <c r="P23" s="518">
        <v>10176</v>
      </c>
      <c r="Q23" s="519"/>
      <c r="R23" s="516">
        <v>0</v>
      </c>
      <c r="S23" s="516">
        <v>0</v>
      </c>
      <c r="T23" s="516">
        <v>0</v>
      </c>
      <c r="U23" s="517"/>
      <c r="V23" s="342">
        <v>605</v>
      </c>
      <c r="W23" s="518">
        <v>12351942.57</v>
      </c>
    </row>
    <row r="24" spans="1:23" x14ac:dyDescent="0.25">
      <c r="A24" s="515">
        <v>19</v>
      </c>
      <c r="B24" t="s">
        <v>46</v>
      </c>
      <c r="C24" s="308" t="s">
        <v>22</v>
      </c>
      <c r="D24" s="308" t="s">
        <v>16</v>
      </c>
      <c r="F24" s="516">
        <v>0</v>
      </c>
      <c r="G24" s="516">
        <v>0</v>
      </c>
      <c r="H24" s="516">
        <v>0</v>
      </c>
      <c r="I24" s="517"/>
      <c r="J24" s="516">
        <v>0</v>
      </c>
      <c r="K24" s="516">
        <v>0</v>
      </c>
      <c r="L24" s="516">
        <v>0</v>
      </c>
      <c r="M24" s="517"/>
      <c r="N24" s="342">
        <v>0</v>
      </c>
      <c r="O24" s="518">
        <v>0</v>
      </c>
      <c r="P24" s="518">
        <v>0</v>
      </c>
      <c r="Q24" s="519"/>
      <c r="R24" s="516">
        <v>0</v>
      </c>
      <c r="S24" s="516">
        <v>0</v>
      </c>
      <c r="T24" s="516">
        <v>0</v>
      </c>
      <c r="U24" s="517"/>
      <c r="V24" s="342">
        <v>0</v>
      </c>
      <c r="W24" s="518">
        <v>0</v>
      </c>
    </row>
    <row r="25" spans="1:23" x14ac:dyDescent="0.25">
      <c r="A25" s="515">
        <v>20</v>
      </c>
      <c r="B25" t="s">
        <v>47</v>
      </c>
      <c r="C25" s="308"/>
      <c r="D25" s="308" t="s">
        <v>16</v>
      </c>
      <c r="F25" s="516">
        <v>0</v>
      </c>
      <c r="G25" s="516">
        <v>0</v>
      </c>
      <c r="H25" s="516">
        <v>0</v>
      </c>
      <c r="I25" s="517"/>
      <c r="J25" s="516">
        <v>0</v>
      </c>
      <c r="K25" s="516">
        <v>0</v>
      </c>
      <c r="L25" s="516">
        <v>0</v>
      </c>
      <c r="M25" s="517"/>
      <c r="N25" s="342">
        <v>0</v>
      </c>
      <c r="O25" s="518">
        <v>0</v>
      </c>
      <c r="P25" s="518">
        <v>0</v>
      </c>
      <c r="Q25" s="519"/>
      <c r="R25" s="516">
        <v>0</v>
      </c>
      <c r="S25" s="516">
        <v>0</v>
      </c>
      <c r="T25" s="516">
        <v>0</v>
      </c>
      <c r="U25" s="517"/>
      <c r="V25" s="342">
        <v>0</v>
      </c>
      <c r="W25" s="518">
        <v>0</v>
      </c>
    </row>
    <row r="26" spans="1:23" x14ac:dyDescent="0.25">
      <c r="A26" s="515">
        <v>21</v>
      </c>
      <c r="B26" t="s">
        <v>48</v>
      </c>
      <c r="C26" s="308" t="s">
        <v>18</v>
      </c>
      <c r="D26" s="308" t="s">
        <v>16</v>
      </c>
      <c r="F26" s="516">
        <v>0</v>
      </c>
      <c r="G26" s="516">
        <v>0</v>
      </c>
      <c r="H26" s="516">
        <v>0</v>
      </c>
      <c r="I26" s="517"/>
      <c r="J26" s="516">
        <v>0</v>
      </c>
      <c r="K26" s="516">
        <v>0</v>
      </c>
      <c r="L26" s="516">
        <v>0</v>
      </c>
      <c r="M26" s="517"/>
      <c r="N26" s="342">
        <v>0</v>
      </c>
      <c r="O26" s="518">
        <v>0</v>
      </c>
      <c r="P26" s="518">
        <v>0</v>
      </c>
      <c r="Q26" s="519"/>
      <c r="R26" s="516">
        <v>0</v>
      </c>
      <c r="S26" s="516">
        <v>0</v>
      </c>
      <c r="T26" s="516">
        <v>0</v>
      </c>
      <c r="U26" s="517"/>
      <c r="V26" s="342">
        <v>0</v>
      </c>
      <c r="W26" s="518">
        <v>0</v>
      </c>
    </row>
    <row r="27" spans="1:23" x14ac:dyDescent="0.25">
      <c r="A27" s="515">
        <v>22</v>
      </c>
      <c r="B27" t="s">
        <v>50</v>
      </c>
      <c r="C27" s="308" t="s">
        <v>51</v>
      </c>
      <c r="D27" s="308" t="s">
        <v>16</v>
      </c>
      <c r="F27" s="516">
        <v>0</v>
      </c>
      <c r="G27" s="516">
        <v>0</v>
      </c>
      <c r="H27" s="516">
        <v>0</v>
      </c>
      <c r="I27" s="517"/>
      <c r="J27" s="516">
        <v>0</v>
      </c>
      <c r="K27" s="516">
        <v>0</v>
      </c>
      <c r="L27" s="516">
        <v>0</v>
      </c>
      <c r="M27" s="517"/>
      <c r="N27" s="342">
        <v>0</v>
      </c>
      <c r="O27" s="518">
        <v>0</v>
      </c>
      <c r="P27" s="518">
        <v>0</v>
      </c>
      <c r="Q27" s="519"/>
      <c r="R27" s="516">
        <v>0</v>
      </c>
      <c r="S27" s="516">
        <v>0</v>
      </c>
      <c r="T27" s="516">
        <v>0</v>
      </c>
      <c r="U27" s="517"/>
      <c r="V27" s="342">
        <v>0</v>
      </c>
      <c r="W27" s="518">
        <v>0</v>
      </c>
    </row>
    <row r="28" spans="1:23" x14ac:dyDescent="0.25">
      <c r="A28" s="515">
        <v>23</v>
      </c>
      <c r="B28" t="s">
        <v>52</v>
      </c>
      <c r="C28" s="308" t="s">
        <v>18</v>
      </c>
      <c r="D28" s="308" t="s">
        <v>16</v>
      </c>
      <c r="F28" s="516">
        <v>0</v>
      </c>
      <c r="G28" s="516">
        <v>0</v>
      </c>
      <c r="H28" s="516">
        <v>0</v>
      </c>
      <c r="I28" s="517"/>
      <c r="J28" s="516">
        <v>0</v>
      </c>
      <c r="K28" s="516">
        <v>0</v>
      </c>
      <c r="L28" s="516">
        <v>0</v>
      </c>
      <c r="M28" s="517"/>
      <c r="N28" s="342">
        <v>0</v>
      </c>
      <c r="O28" s="518">
        <v>0</v>
      </c>
      <c r="P28" s="518">
        <v>0</v>
      </c>
      <c r="Q28" s="519"/>
      <c r="R28" s="516">
        <v>0</v>
      </c>
      <c r="S28" s="516">
        <v>0</v>
      </c>
      <c r="T28" s="516">
        <v>0</v>
      </c>
      <c r="U28" s="517"/>
      <c r="V28" s="342">
        <v>0</v>
      </c>
      <c r="W28" s="518">
        <v>0</v>
      </c>
    </row>
    <row r="29" spans="1:23" x14ac:dyDescent="0.25">
      <c r="A29" s="515">
        <v>24</v>
      </c>
      <c r="B29" t="s">
        <v>53</v>
      </c>
      <c r="C29" s="308" t="s">
        <v>24</v>
      </c>
      <c r="D29" s="308" t="s">
        <v>16</v>
      </c>
      <c r="F29" s="516">
        <v>6</v>
      </c>
      <c r="G29" s="516">
        <v>239025</v>
      </c>
      <c r="H29" s="516">
        <v>300</v>
      </c>
      <c r="I29" s="517"/>
      <c r="J29" s="516">
        <v>0</v>
      </c>
      <c r="K29" s="516">
        <v>0</v>
      </c>
      <c r="L29" s="516">
        <v>0</v>
      </c>
      <c r="M29" s="517"/>
      <c r="N29" s="342">
        <v>6</v>
      </c>
      <c r="O29" s="518">
        <v>239025</v>
      </c>
      <c r="P29" s="518">
        <v>300</v>
      </c>
      <c r="Q29" s="519"/>
      <c r="R29" s="516">
        <v>0</v>
      </c>
      <c r="S29" s="516">
        <v>0</v>
      </c>
      <c r="T29" s="516">
        <v>0</v>
      </c>
      <c r="U29" s="517"/>
      <c r="V29" s="342">
        <v>6</v>
      </c>
      <c r="W29" s="518">
        <v>239025</v>
      </c>
    </row>
    <row r="30" spans="1:23" x14ac:dyDescent="0.25">
      <c r="A30" s="515">
        <v>25</v>
      </c>
      <c r="B30" t="s">
        <v>54</v>
      </c>
      <c r="C30" s="308" t="s">
        <v>25</v>
      </c>
      <c r="D30" s="308" t="s">
        <v>16</v>
      </c>
      <c r="F30" s="516">
        <v>3</v>
      </c>
      <c r="G30" s="516">
        <v>18925</v>
      </c>
      <c r="H30" s="516">
        <v>90</v>
      </c>
      <c r="I30" s="517"/>
      <c r="J30" s="516">
        <v>0</v>
      </c>
      <c r="K30" s="516">
        <v>0</v>
      </c>
      <c r="L30" s="516">
        <v>0</v>
      </c>
      <c r="M30" s="517"/>
      <c r="N30" s="342">
        <v>3</v>
      </c>
      <c r="O30" s="518">
        <v>18925</v>
      </c>
      <c r="P30" s="518">
        <v>90</v>
      </c>
      <c r="Q30" s="519"/>
      <c r="R30" s="516">
        <v>0</v>
      </c>
      <c r="S30" s="516">
        <v>0</v>
      </c>
      <c r="T30" s="516">
        <v>0</v>
      </c>
      <c r="U30" s="517"/>
      <c r="V30" s="342">
        <v>3</v>
      </c>
      <c r="W30" s="518">
        <v>18925</v>
      </c>
    </row>
    <row r="31" spans="1:23" x14ac:dyDescent="0.25">
      <c r="A31" s="515">
        <v>26</v>
      </c>
      <c r="B31" t="s">
        <v>55</v>
      </c>
      <c r="C31" s="308"/>
      <c r="D31" s="308" t="s">
        <v>26</v>
      </c>
      <c r="F31" s="516">
        <v>0</v>
      </c>
      <c r="G31" s="516">
        <v>0</v>
      </c>
      <c r="H31" s="516">
        <v>0</v>
      </c>
      <c r="I31" s="517"/>
      <c r="J31" s="516">
        <v>0</v>
      </c>
      <c r="K31" s="516">
        <v>0</v>
      </c>
      <c r="L31" s="516">
        <v>0</v>
      </c>
      <c r="M31" s="517"/>
      <c r="N31" s="342">
        <v>0</v>
      </c>
      <c r="O31" s="518">
        <v>0</v>
      </c>
      <c r="P31" s="518">
        <v>0</v>
      </c>
      <c r="Q31" s="519"/>
      <c r="R31" s="516">
        <v>0</v>
      </c>
      <c r="S31" s="516">
        <v>0</v>
      </c>
      <c r="T31" s="516">
        <v>0</v>
      </c>
      <c r="U31" s="517"/>
      <c r="V31" s="342">
        <v>0</v>
      </c>
      <c r="W31" s="518">
        <v>0</v>
      </c>
    </row>
    <row r="32" spans="1:23" x14ac:dyDescent="0.25">
      <c r="A32" s="515">
        <v>27</v>
      </c>
      <c r="B32" t="s">
        <v>56</v>
      </c>
      <c r="C32" s="308" t="s">
        <v>39</v>
      </c>
      <c r="D32" s="308" t="s">
        <v>16</v>
      </c>
      <c r="F32" s="516">
        <v>14</v>
      </c>
      <c r="G32" s="516">
        <v>8218.85</v>
      </c>
      <c r="H32" s="516">
        <v>140</v>
      </c>
      <c r="I32" s="517"/>
      <c r="J32" s="516">
        <v>0</v>
      </c>
      <c r="K32" s="516">
        <v>0</v>
      </c>
      <c r="L32" s="516">
        <v>0</v>
      </c>
      <c r="M32" s="517"/>
      <c r="N32" s="342">
        <v>14</v>
      </c>
      <c r="O32" s="518">
        <v>8218.85</v>
      </c>
      <c r="P32" s="518">
        <v>140</v>
      </c>
      <c r="Q32" s="519"/>
      <c r="R32" s="516">
        <v>0</v>
      </c>
      <c r="S32" s="516">
        <v>0</v>
      </c>
      <c r="T32" s="516">
        <v>0</v>
      </c>
      <c r="U32" s="517"/>
      <c r="V32" s="342">
        <v>14</v>
      </c>
      <c r="W32" s="518">
        <v>8218.85</v>
      </c>
    </row>
    <row r="33" spans="1:23" x14ac:dyDescent="0.25">
      <c r="A33" s="515">
        <v>28</v>
      </c>
      <c r="B33" t="s">
        <v>57</v>
      </c>
      <c r="C33" s="308" t="s">
        <v>18</v>
      </c>
      <c r="D33" s="308" t="s">
        <v>20</v>
      </c>
      <c r="F33" s="516">
        <v>0</v>
      </c>
      <c r="G33" s="516">
        <v>0</v>
      </c>
      <c r="H33" s="516">
        <v>0</v>
      </c>
      <c r="I33" s="517"/>
      <c r="J33" s="516">
        <v>0</v>
      </c>
      <c r="K33" s="516">
        <v>0</v>
      </c>
      <c r="L33" s="516">
        <v>0</v>
      </c>
      <c r="M33" s="517"/>
      <c r="N33" s="342">
        <v>0</v>
      </c>
      <c r="O33" s="518">
        <v>0</v>
      </c>
      <c r="P33" s="518">
        <v>0</v>
      </c>
      <c r="Q33" s="519"/>
      <c r="R33" s="516">
        <v>0</v>
      </c>
      <c r="S33" s="516">
        <v>0</v>
      </c>
      <c r="T33" s="516">
        <v>0</v>
      </c>
      <c r="U33" s="517"/>
      <c r="V33" s="342">
        <v>0</v>
      </c>
      <c r="W33" s="518">
        <v>0</v>
      </c>
    </row>
    <row r="34" spans="1:23" x14ac:dyDescent="0.25">
      <c r="A34" s="515">
        <v>29</v>
      </c>
      <c r="B34" t="s">
        <v>58</v>
      </c>
      <c r="C34" s="308"/>
      <c r="D34" s="308" t="s">
        <v>16</v>
      </c>
      <c r="F34" s="516">
        <v>0</v>
      </c>
      <c r="G34" s="516">
        <v>0</v>
      </c>
      <c r="H34" s="516">
        <v>0</v>
      </c>
      <c r="I34" s="517"/>
      <c r="J34" s="516">
        <v>0</v>
      </c>
      <c r="K34" s="516">
        <v>0</v>
      </c>
      <c r="L34" s="516">
        <v>0</v>
      </c>
      <c r="M34" s="517"/>
      <c r="N34" s="342">
        <v>0</v>
      </c>
      <c r="O34" s="518">
        <v>0</v>
      </c>
      <c r="P34" s="518">
        <v>0</v>
      </c>
      <c r="Q34" s="519"/>
      <c r="R34" s="516">
        <v>0</v>
      </c>
      <c r="S34" s="516">
        <v>0</v>
      </c>
      <c r="T34" s="516">
        <v>0</v>
      </c>
      <c r="U34" s="517"/>
      <c r="V34" s="342">
        <v>0</v>
      </c>
      <c r="W34" s="518">
        <v>0</v>
      </c>
    </row>
    <row r="35" spans="1:23" x14ac:dyDescent="0.25">
      <c r="A35" s="515">
        <v>30</v>
      </c>
      <c r="B35" t="s">
        <v>59</v>
      </c>
      <c r="C35" s="308"/>
      <c r="D35" s="308" t="s">
        <v>16</v>
      </c>
      <c r="F35" s="516">
        <v>0</v>
      </c>
      <c r="G35" s="516">
        <v>0</v>
      </c>
      <c r="H35" s="516">
        <v>0</v>
      </c>
      <c r="I35" s="517"/>
      <c r="J35" s="516">
        <v>0</v>
      </c>
      <c r="K35" s="516">
        <v>0</v>
      </c>
      <c r="L35" s="516">
        <v>0</v>
      </c>
      <c r="M35" s="517"/>
      <c r="N35" s="342">
        <v>0</v>
      </c>
      <c r="O35" s="518">
        <v>0</v>
      </c>
      <c r="P35" s="518">
        <v>0</v>
      </c>
      <c r="Q35" s="519"/>
      <c r="R35" s="516">
        <v>0</v>
      </c>
      <c r="S35" s="516">
        <v>0</v>
      </c>
      <c r="T35" s="516">
        <v>0</v>
      </c>
      <c r="U35" s="517"/>
      <c r="V35" s="342">
        <v>0</v>
      </c>
      <c r="W35" s="518">
        <v>0</v>
      </c>
    </row>
    <row r="36" spans="1:23" x14ac:dyDescent="0.25">
      <c r="A36" s="515">
        <v>31</v>
      </c>
      <c r="B36" t="s">
        <v>60</v>
      </c>
      <c r="C36" s="308"/>
      <c r="D36" s="308" t="s">
        <v>26</v>
      </c>
      <c r="F36" s="516">
        <v>0</v>
      </c>
      <c r="G36" s="516">
        <v>0</v>
      </c>
      <c r="H36" s="516">
        <v>0</v>
      </c>
      <c r="I36" s="517"/>
      <c r="J36" s="516">
        <v>0</v>
      </c>
      <c r="K36" s="516">
        <v>0</v>
      </c>
      <c r="L36" s="516">
        <v>0</v>
      </c>
      <c r="M36" s="517"/>
      <c r="N36" s="342">
        <v>0</v>
      </c>
      <c r="O36" s="518">
        <v>0</v>
      </c>
      <c r="P36" s="518">
        <v>0</v>
      </c>
      <c r="Q36" s="519"/>
      <c r="R36" s="516">
        <v>0</v>
      </c>
      <c r="S36" s="516">
        <v>0</v>
      </c>
      <c r="T36" s="516">
        <v>0</v>
      </c>
      <c r="U36" s="517"/>
      <c r="V36" s="342">
        <v>0</v>
      </c>
      <c r="W36" s="518">
        <v>0</v>
      </c>
    </row>
    <row r="37" spans="1:23" x14ac:dyDescent="0.25">
      <c r="A37" s="515">
        <v>32</v>
      </c>
      <c r="B37" t="s">
        <v>61</v>
      </c>
      <c r="C37" s="308" t="s">
        <v>15</v>
      </c>
      <c r="D37" s="308" t="s">
        <v>43</v>
      </c>
      <c r="F37" s="516">
        <v>0</v>
      </c>
      <c r="G37" s="516">
        <v>0</v>
      </c>
      <c r="H37" s="516">
        <v>0</v>
      </c>
      <c r="I37" s="517"/>
      <c r="J37" s="516">
        <v>0</v>
      </c>
      <c r="K37" s="516">
        <v>0</v>
      </c>
      <c r="L37" s="516">
        <v>0</v>
      </c>
      <c r="M37" s="517"/>
      <c r="N37" s="342">
        <v>0</v>
      </c>
      <c r="O37" s="518">
        <v>0</v>
      </c>
      <c r="P37" s="518">
        <v>0</v>
      </c>
      <c r="Q37" s="519"/>
      <c r="R37" s="516">
        <v>0</v>
      </c>
      <c r="S37" s="516">
        <v>0</v>
      </c>
      <c r="T37" s="516">
        <v>0</v>
      </c>
      <c r="U37" s="517"/>
      <c r="V37" s="342">
        <v>0</v>
      </c>
      <c r="W37" s="518">
        <v>0</v>
      </c>
    </row>
    <row r="38" spans="1:23" x14ac:dyDescent="0.25">
      <c r="A38" s="515">
        <v>33</v>
      </c>
      <c r="B38" t="s">
        <v>62</v>
      </c>
      <c r="C38" s="308" t="s">
        <v>41</v>
      </c>
      <c r="D38" s="308" t="s">
        <v>16</v>
      </c>
      <c r="F38" s="516">
        <v>1</v>
      </c>
      <c r="G38" s="516">
        <v>9835</v>
      </c>
      <c r="H38" s="516">
        <v>30</v>
      </c>
      <c r="I38" s="517"/>
      <c r="J38" s="516">
        <v>0</v>
      </c>
      <c r="K38" s="516">
        <v>0</v>
      </c>
      <c r="L38" s="516">
        <v>0</v>
      </c>
      <c r="M38" s="517"/>
      <c r="N38" s="342">
        <v>1</v>
      </c>
      <c r="O38" s="518">
        <v>9835</v>
      </c>
      <c r="P38" s="518">
        <v>30</v>
      </c>
      <c r="Q38" s="519"/>
      <c r="R38" s="516">
        <v>0</v>
      </c>
      <c r="S38" s="516">
        <v>0</v>
      </c>
      <c r="T38" s="516">
        <v>0</v>
      </c>
      <c r="U38" s="517"/>
      <c r="V38" s="342">
        <v>1</v>
      </c>
      <c r="W38" s="518">
        <v>9835</v>
      </c>
    </row>
    <row r="39" spans="1:23" x14ac:dyDescent="0.25">
      <c r="A39" s="515">
        <v>34</v>
      </c>
      <c r="B39" t="s">
        <v>63</v>
      </c>
      <c r="C39" s="308" t="s">
        <v>41</v>
      </c>
      <c r="D39" s="308" t="s">
        <v>16</v>
      </c>
      <c r="F39" s="516">
        <v>0</v>
      </c>
      <c r="G39" s="516">
        <v>0</v>
      </c>
      <c r="H39" s="516">
        <v>0</v>
      </c>
      <c r="I39" s="517"/>
      <c r="J39" s="516">
        <v>0</v>
      </c>
      <c r="K39" s="516">
        <v>0</v>
      </c>
      <c r="L39" s="516">
        <v>0</v>
      </c>
      <c r="M39" s="517"/>
      <c r="N39" s="342">
        <v>0</v>
      </c>
      <c r="O39" s="518">
        <v>0</v>
      </c>
      <c r="P39" s="518">
        <v>0</v>
      </c>
      <c r="Q39" s="519"/>
      <c r="R39" s="516">
        <v>0</v>
      </c>
      <c r="S39" s="516">
        <v>0</v>
      </c>
      <c r="T39" s="516">
        <v>0</v>
      </c>
      <c r="U39" s="517"/>
      <c r="V39" s="342">
        <v>0</v>
      </c>
      <c r="W39" s="518">
        <v>0</v>
      </c>
    </row>
    <row r="40" spans="1:23" x14ac:dyDescent="0.25">
      <c r="A40" s="515">
        <v>35</v>
      </c>
      <c r="B40" t="s">
        <v>64</v>
      </c>
      <c r="C40" s="308" t="s">
        <v>41</v>
      </c>
      <c r="D40" s="308" t="s">
        <v>16</v>
      </c>
      <c r="F40" s="516">
        <v>0</v>
      </c>
      <c r="G40" s="516">
        <v>0</v>
      </c>
      <c r="H40" s="516">
        <v>0</v>
      </c>
      <c r="I40" s="517"/>
      <c r="J40" s="516">
        <v>0</v>
      </c>
      <c r="K40" s="516">
        <v>0</v>
      </c>
      <c r="L40" s="516">
        <v>0</v>
      </c>
      <c r="M40" s="517"/>
      <c r="N40" s="342">
        <v>0</v>
      </c>
      <c r="O40" s="518">
        <v>0</v>
      </c>
      <c r="P40" s="518">
        <v>0</v>
      </c>
      <c r="Q40" s="519"/>
      <c r="R40" s="516">
        <v>0</v>
      </c>
      <c r="S40" s="516">
        <v>0</v>
      </c>
      <c r="T40" s="516">
        <v>0</v>
      </c>
      <c r="U40" s="517"/>
      <c r="V40" s="342">
        <v>0</v>
      </c>
      <c r="W40" s="518">
        <v>0</v>
      </c>
    </row>
    <row r="41" spans="1:23" x14ac:dyDescent="0.25">
      <c r="A41" s="515">
        <v>36</v>
      </c>
      <c r="B41" t="s">
        <v>65</v>
      </c>
      <c r="C41" s="308" t="s">
        <v>41</v>
      </c>
      <c r="D41" s="308" t="s">
        <v>16</v>
      </c>
      <c r="F41" s="516">
        <v>1</v>
      </c>
      <c r="G41" s="516">
        <v>10720</v>
      </c>
      <c r="H41" s="516">
        <v>30</v>
      </c>
      <c r="I41" s="517"/>
      <c r="J41" s="516">
        <v>0</v>
      </c>
      <c r="K41" s="516">
        <v>0</v>
      </c>
      <c r="L41" s="516">
        <v>0</v>
      </c>
      <c r="M41" s="517"/>
      <c r="N41" s="342">
        <v>1</v>
      </c>
      <c r="O41" s="518">
        <v>10720</v>
      </c>
      <c r="P41" s="518">
        <v>30</v>
      </c>
      <c r="Q41" s="519"/>
      <c r="R41" s="516">
        <v>0</v>
      </c>
      <c r="S41" s="516">
        <v>0</v>
      </c>
      <c r="T41" s="516">
        <v>0</v>
      </c>
      <c r="U41" s="517"/>
      <c r="V41" s="342">
        <v>1</v>
      </c>
      <c r="W41" s="518">
        <v>10720</v>
      </c>
    </row>
    <row r="42" spans="1:23" x14ac:dyDescent="0.25">
      <c r="A42" s="515">
        <v>37</v>
      </c>
      <c r="B42" t="s">
        <v>66</v>
      </c>
      <c r="C42" s="308" t="s">
        <v>41</v>
      </c>
      <c r="D42" s="308" t="s">
        <v>16</v>
      </c>
      <c r="F42" s="516">
        <v>0</v>
      </c>
      <c r="G42" s="516">
        <v>0</v>
      </c>
      <c r="H42" s="516">
        <v>0</v>
      </c>
      <c r="I42" s="517"/>
      <c r="J42" s="516">
        <v>0</v>
      </c>
      <c r="K42" s="516">
        <v>0</v>
      </c>
      <c r="L42" s="516">
        <v>0</v>
      </c>
      <c r="M42" s="517"/>
      <c r="N42" s="342">
        <v>0</v>
      </c>
      <c r="O42" s="518">
        <v>0</v>
      </c>
      <c r="P42" s="518">
        <v>0</v>
      </c>
      <c r="Q42" s="519"/>
      <c r="R42" s="516">
        <v>0</v>
      </c>
      <c r="S42" s="516">
        <v>0</v>
      </c>
      <c r="T42" s="516">
        <v>0</v>
      </c>
      <c r="U42" s="517"/>
      <c r="V42" s="342">
        <v>0</v>
      </c>
      <c r="W42" s="518">
        <v>0</v>
      </c>
    </row>
    <row r="43" spans="1:23" x14ac:dyDescent="0.25">
      <c r="A43" s="515">
        <v>38</v>
      </c>
      <c r="B43" t="s">
        <v>67</v>
      </c>
      <c r="C43" s="308" t="s">
        <v>41</v>
      </c>
      <c r="D43" s="308" t="s">
        <v>16</v>
      </c>
      <c r="F43" s="516">
        <v>0</v>
      </c>
      <c r="G43" s="516">
        <v>0</v>
      </c>
      <c r="H43" s="516">
        <v>0</v>
      </c>
      <c r="I43" s="517"/>
      <c r="J43" s="516">
        <v>0</v>
      </c>
      <c r="K43" s="516">
        <v>0</v>
      </c>
      <c r="L43" s="516">
        <v>0</v>
      </c>
      <c r="M43" s="517"/>
      <c r="N43" s="342">
        <v>0</v>
      </c>
      <c r="O43" s="518">
        <v>0</v>
      </c>
      <c r="P43" s="518">
        <v>0</v>
      </c>
      <c r="Q43" s="519"/>
      <c r="R43" s="516">
        <v>0</v>
      </c>
      <c r="S43" s="516">
        <v>0</v>
      </c>
      <c r="T43" s="516">
        <v>0</v>
      </c>
      <c r="U43" s="517"/>
      <c r="V43" s="342">
        <v>0</v>
      </c>
      <c r="W43" s="518">
        <v>0</v>
      </c>
    </row>
    <row r="44" spans="1:23" x14ac:dyDescent="0.25">
      <c r="A44" s="515">
        <v>39</v>
      </c>
      <c r="B44" t="s">
        <v>68</v>
      </c>
      <c r="C44" s="308" t="s">
        <v>15</v>
      </c>
      <c r="D44" s="308" t="s">
        <v>16</v>
      </c>
      <c r="F44" s="516">
        <v>0</v>
      </c>
      <c r="G44" s="516">
        <v>0</v>
      </c>
      <c r="H44" s="516">
        <v>0</v>
      </c>
      <c r="I44" s="517"/>
      <c r="J44" s="516">
        <v>0</v>
      </c>
      <c r="K44" s="516">
        <v>0</v>
      </c>
      <c r="L44" s="516">
        <v>0</v>
      </c>
      <c r="M44" s="517"/>
      <c r="N44" s="342">
        <v>0</v>
      </c>
      <c r="O44" s="518">
        <v>0</v>
      </c>
      <c r="P44" s="518">
        <v>0</v>
      </c>
      <c r="Q44" s="519"/>
      <c r="R44" s="516">
        <v>0</v>
      </c>
      <c r="S44" s="516">
        <v>0</v>
      </c>
      <c r="T44" s="516">
        <v>0</v>
      </c>
      <c r="U44" s="517"/>
      <c r="V44" s="342">
        <v>0</v>
      </c>
      <c r="W44" s="518">
        <v>0</v>
      </c>
    </row>
    <row r="45" spans="1:23" x14ac:dyDescent="0.25">
      <c r="A45" s="515">
        <v>40</v>
      </c>
      <c r="B45" t="s">
        <v>69</v>
      </c>
      <c r="C45" s="308" t="s">
        <v>25</v>
      </c>
      <c r="D45" s="308" t="s">
        <v>16</v>
      </c>
      <c r="F45" s="516">
        <v>0</v>
      </c>
      <c r="G45" s="516">
        <v>0</v>
      </c>
      <c r="H45" s="516">
        <v>0</v>
      </c>
      <c r="I45" s="517"/>
      <c r="J45" s="516">
        <v>0</v>
      </c>
      <c r="K45" s="516">
        <v>0</v>
      </c>
      <c r="L45" s="516">
        <v>0</v>
      </c>
      <c r="M45" s="517"/>
      <c r="N45" s="342">
        <v>0</v>
      </c>
      <c r="O45" s="518">
        <v>0</v>
      </c>
      <c r="P45" s="518">
        <v>0</v>
      </c>
      <c r="Q45" s="519"/>
      <c r="R45" s="516">
        <v>0</v>
      </c>
      <c r="S45" s="516">
        <v>0</v>
      </c>
      <c r="T45" s="516">
        <v>0</v>
      </c>
      <c r="U45" s="517"/>
      <c r="V45" s="342">
        <v>0</v>
      </c>
      <c r="W45" s="518">
        <v>0</v>
      </c>
    </row>
    <row r="46" spans="1:23" x14ac:dyDescent="0.25">
      <c r="A46" s="515">
        <v>41</v>
      </c>
      <c r="B46" t="s">
        <v>70</v>
      </c>
      <c r="C46" s="308" t="s">
        <v>51</v>
      </c>
      <c r="D46" s="308" t="s">
        <v>16</v>
      </c>
      <c r="F46" s="516">
        <v>0</v>
      </c>
      <c r="G46" s="516">
        <v>0</v>
      </c>
      <c r="H46" s="516">
        <v>0</v>
      </c>
      <c r="I46" s="517"/>
      <c r="J46" s="516">
        <v>0</v>
      </c>
      <c r="K46" s="516">
        <v>0</v>
      </c>
      <c r="L46" s="516">
        <v>0</v>
      </c>
      <c r="M46" s="517"/>
      <c r="N46" s="342">
        <v>0</v>
      </c>
      <c r="O46" s="518">
        <v>0</v>
      </c>
      <c r="P46" s="518">
        <v>0</v>
      </c>
      <c r="Q46" s="519"/>
      <c r="R46" s="516">
        <v>0</v>
      </c>
      <c r="S46" s="516">
        <v>0</v>
      </c>
      <c r="T46" s="516">
        <v>0</v>
      </c>
      <c r="U46" s="517"/>
      <c r="V46" s="342">
        <v>0</v>
      </c>
      <c r="W46" s="518">
        <v>0</v>
      </c>
    </row>
    <row r="47" spans="1:23" x14ac:dyDescent="0.25">
      <c r="A47" s="515">
        <v>42</v>
      </c>
      <c r="B47" t="s">
        <v>71</v>
      </c>
      <c r="C47" s="308" t="s">
        <v>41</v>
      </c>
      <c r="D47" s="308" t="s">
        <v>16</v>
      </c>
      <c r="F47" s="516">
        <v>22</v>
      </c>
      <c r="G47" s="516">
        <v>208356</v>
      </c>
      <c r="H47" s="516">
        <v>660</v>
      </c>
      <c r="I47" s="517"/>
      <c r="J47" s="516">
        <v>0</v>
      </c>
      <c r="K47" s="516">
        <v>0</v>
      </c>
      <c r="L47" s="516">
        <v>0</v>
      </c>
      <c r="M47" s="517"/>
      <c r="N47" s="342">
        <v>22</v>
      </c>
      <c r="O47" s="518">
        <v>208356</v>
      </c>
      <c r="P47" s="518">
        <v>660</v>
      </c>
      <c r="Q47" s="519"/>
      <c r="R47" s="516">
        <v>0</v>
      </c>
      <c r="S47" s="516">
        <v>0</v>
      </c>
      <c r="T47" s="516">
        <v>0</v>
      </c>
      <c r="U47" s="517"/>
      <c r="V47" s="342">
        <v>22</v>
      </c>
      <c r="W47" s="518">
        <v>208356</v>
      </c>
    </row>
    <row r="48" spans="1:23" x14ac:dyDescent="0.25">
      <c r="A48" s="515">
        <v>43</v>
      </c>
      <c r="B48" t="s">
        <v>72</v>
      </c>
      <c r="C48" s="308" t="s">
        <v>41</v>
      </c>
      <c r="D48" s="308" t="s">
        <v>16</v>
      </c>
      <c r="F48" s="516">
        <v>14</v>
      </c>
      <c r="G48" s="516">
        <v>170643</v>
      </c>
      <c r="H48" s="516">
        <v>420</v>
      </c>
      <c r="I48" s="517"/>
      <c r="J48" s="516">
        <v>0</v>
      </c>
      <c r="K48" s="516">
        <v>0</v>
      </c>
      <c r="L48" s="516">
        <v>0</v>
      </c>
      <c r="M48" s="517"/>
      <c r="N48" s="342">
        <v>14</v>
      </c>
      <c r="O48" s="518">
        <v>170643</v>
      </c>
      <c r="P48" s="518">
        <v>420</v>
      </c>
      <c r="Q48" s="519"/>
      <c r="R48" s="516">
        <v>0</v>
      </c>
      <c r="S48" s="516">
        <v>0</v>
      </c>
      <c r="T48" s="516">
        <v>0</v>
      </c>
      <c r="U48" s="517"/>
      <c r="V48" s="342">
        <v>14</v>
      </c>
      <c r="W48" s="518">
        <v>170643</v>
      </c>
    </row>
    <row r="49" spans="1:23" x14ac:dyDescent="0.25">
      <c r="A49" s="515">
        <v>44</v>
      </c>
      <c r="B49" t="s">
        <v>73</v>
      </c>
      <c r="C49" s="308" t="s">
        <v>18</v>
      </c>
      <c r="D49" s="308" t="s">
        <v>16</v>
      </c>
      <c r="F49" s="516">
        <v>0</v>
      </c>
      <c r="G49" s="516">
        <v>0</v>
      </c>
      <c r="H49" s="516">
        <v>0</v>
      </c>
      <c r="I49" s="517"/>
      <c r="J49" s="516">
        <v>0</v>
      </c>
      <c r="K49" s="516">
        <v>0</v>
      </c>
      <c r="L49" s="516">
        <v>0</v>
      </c>
      <c r="M49" s="517"/>
      <c r="N49" s="342">
        <v>0</v>
      </c>
      <c r="O49" s="518">
        <v>0</v>
      </c>
      <c r="P49" s="518">
        <v>0</v>
      </c>
      <c r="Q49" s="519"/>
      <c r="R49" s="516">
        <v>0</v>
      </c>
      <c r="S49" s="516">
        <v>0</v>
      </c>
      <c r="T49" s="516">
        <v>0</v>
      </c>
      <c r="U49" s="517"/>
      <c r="V49" s="342">
        <v>0</v>
      </c>
      <c r="W49" s="518">
        <v>0</v>
      </c>
    </row>
    <row r="50" spans="1:23" x14ac:dyDescent="0.25">
      <c r="A50" s="515">
        <v>45</v>
      </c>
      <c r="B50" t="s">
        <v>74</v>
      </c>
      <c r="C50" s="308" t="s">
        <v>51</v>
      </c>
      <c r="D50" s="308" t="s">
        <v>16</v>
      </c>
      <c r="F50" s="516">
        <v>0</v>
      </c>
      <c r="G50" s="516">
        <v>0</v>
      </c>
      <c r="H50" s="516">
        <v>0</v>
      </c>
      <c r="I50" s="517"/>
      <c r="J50" s="516">
        <v>0</v>
      </c>
      <c r="K50" s="516">
        <v>0</v>
      </c>
      <c r="L50" s="516">
        <v>0</v>
      </c>
      <c r="M50" s="517"/>
      <c r="N50" s="342">
        <v>0</v>
      </c>
      <c r="O50" s="518">
        <v>0</v>
      </c>
      <c r="P50" s="518">
        <v>0</v>
      </c>
      <c r="Q50" s="519"/>
      <c r="R50" s="516">
        <v>0</v>
      </c>
      <c r="S50" s="516">
        <v>0</v>
      </c>
      <c r="T50" s="516">
        <v>0</v>
      </c>
      <c r="U50" s="517"/>
      <c r="V50" s="342">
        <v>0</v>
      </c>
      <c r="W50" s="518">
        <v>0</v>
      </c>
    </row>
    <row r="51" spans="1:23" x14ac:dyDescent="0.25">
      <c r="A51" s="515">
        <v>46</v>
      </c>
      <c r="B51" t="s">
        <v>75</v>
      </c>
      <c r="C51" s="308" t="s">
        <v>41</v>
      </c>
      <c r="D51" s="308" t="s">
        <v>16</v>
      </c>
      <c r="F51" s="516">
        <v>0</v>
      </c>
      <c r="G51" s="516">
        <v>0</v>
      </c>
      <c r="H51" s="516">
        <v>0</v>
      </c>
      <c r="I51" s="517"/>
      <c r="J51" s="516">
        <v>0</v>
      </c>
      <c r="K51" s="516">
        <v>0</v>
      </c>
      <c r="L51" s="516">
        <v>0</v>
      </c>
      <c r="M51" s="517"/>
      <c r="N51" s="342">
        <v>0</v>
      </c>
      <c r="O51" s="518">
        <v>0</v>
      </c>
      <c r="P51" s="518">
        <v>0</v>
      </c>
      <c r="Q51" s="519"/>
      <c r="R51" s="516">
        <v>0</v>
      </c>
      <c r="S51" s="516">
        <v>0</v>
      </c>
      <c r="T51" s="516">
        <v>0</v>
      </c>
      <c r="U51" s="517"/>
      <c r="V51" s="342">
        <v>0</v>
      </c>
      <c r="W51" s="518">
        <v>0</v>
      </c>
    </row>
    <row r="52" spans="1:23" x14ac:dyDescent="0.25">
      <c r="A52" s="515">
        <v>47</v>
      </c>
      <c r="B52" t="s">
        <v>76</v>
      </c>
      <c r="C52" s="308" t="s">
        <v>41</v>
      </c>
      <c r="D52" s="308" t="s">
        <v>16</v>
      </c>
      <c r="F52" s="516">
        <v>0</v>
      </c>
      <c r="G52" s="516">
        <v>0</v>
      </c>
      <c r="H52" s="516">
        <v>0</v>
      </c>
      <c r="I52" s="517"/>
      <c r="J52" s="516">
        <v>0</v>
      </c>
      <c r="K52" s="516">
        <v>0</v>
      </c>
      <c r="L52" s="516">
        <v>0</v>
      </c>
      <c r="M52" s="517"/>
      <c r="N52" s="342">
        <v>0</v>
      </c>
      <c r="O52" s="518">
        <v>0</v>
      </c>
      <c r="P52" s="518">
        <v>0</v>
      </c>
      <c r="Q52" s="519"/>
      <c r="R52" s="516">
        <v>0</v>
      </c>
      <c r="S52" s="516">
        <v>0</v>
      </c>
      <c r="T52" s="516">
        <v>0</v>
      </c>
      <c r="U52" s="517"/>
      <c r="V52" s="342">
        <v>0</v>
      </c>
      <c r="W52" s="518">
        <v>0</v>
      </c>
    </row>
    <row r="53" spans="1:23" x14ac:dyDescent="0.25">
      <c r="A53" s="515">
        <v>48</v>
      </c>
      <c r="B53" t="s">
        <v>77</v>
      </c>
      <c r="C53" s="308" t="s">
        <v>78</v>
      </c>
      <c r="D53" s="308" t="s">
        <v>16</v>
      </c>
      <c r="F53" s="516">
        <v>0</v>
      </c>
      <c r="G53" s="516">
        <v>0</v>
      </c>
      <c r="H53" s="516">
        <v>0</v>
      </c>
      <c r="I53" s="517"/>
      <c r="J53" s="516">
        <v>0</v>
      </c>
      <c r="K53" s="516">
        <v>0</v>
      </c>
      <c r="L53" s="516">
        <v>0</v>
      </c>
      <c r="M53" s="517"/>
      <c r="N53" s="342">
        <v>0</v>
      </c>
      <c r="O53" s="518">
        <v>0</v>
      </c>
      <c r="P53" s="518">
        <v>0</v>
      </c>
      <c r="Q53" s="519"/>
      <c r="R53" s="516">
        <v>0</v>
      </c>
      <c r="S53" s="516">
        <v>0</v>
      </c>
      <c r="T53" s="516">
        <v>0</v>
      </c>
      <c r="U53" s="517"/>
      <c r="V53" s="342">
        <v>0</v>
      </c>
      <c r="W53" s="518">
        <v>0</v>
      </c>
    </row>
    <row r="54" spans="1:23" x14ac:dyDescent="0.25">
      <c r="A54" s="515">
        <v>49</v>
      </c>
      <c r="B54" t="s">
        <v>79</v>
      </c>
      <c r="C54" s="308" t="s">
        <v>15</v>
      </c>
      <c r="D54" s="308" t="s">
        <v>16</v>
      </c>
      <c r="F54" s="516">
        <v>0</v>
      </c>
      <c r="G54" s="516">
        <v>0</v>
      </c>
      <c r="H54" s="516">
        <v>0</v>
      </c>
      <c r="I54" s="517"/>
      <c r="J54" s="516">
        <v>0</v>
      </c>
      <c r="K54" s="516">
        <v>0</v>
      </c>
      <c r="L54" s="516">
        <v>0</v>
      </c>
      <c r="M54" s="517"/>
      <c r="N54" s="342">
        <v>0</v>
      </c>
      <c r="O54" s="518">
        <v>0</v>
      </c>
      <c r="P54" s="518">
        <v>0</v>
      </c>
      <c r="Q54" s="519"/>
      <c r="R54" s="516">
        <v>0</v>
      </c>
      <c r="S54" s="516">
        <v>0</v>
      </c>
      <c r="T54" s="516">
        <v>0</v>
      </c>
      <c r="U54" s="517"/>
      <c r="V54" s="342">
        <v>0</v>
      </c>
      <c r="W54" s="518">
        <v>0</v>
      </c>
    </row>
    <row r="55" spans="1:23" x14ac:dyDescent="0.25">
      <c r="A55" s="515">
        <v>50</v>
      </c>
      <c r="B55" t="s">
        <v>80</v>
      </c>
      <c r="C55" s="308"/>
      <c r="D55" s="308" t="s">
        <v>16</v>
      </c>
      <c r="F55" s="516">
        <v>0</v>
      </c>
      <c r="G55" s="516">
        <v>0</v>
      </c>
      <c r="H55" s="516">
        <v>0</v>
      </c>
      <c r="I55" s="517"/>
      <c r="J55" s="516">
        <v>0</v>
      </c>
      <c r="K55" s="516">
        <v>0</v>
      </c>
      <c r="L55" s="516">
        <v>0</v>
      </c>
      <c r="M55" s="517"/>
      <c r="N55" s="342">
        <v>0</v>
      </c>
      <c r="O55" s="518">
        <v>0</v>
      </c>
      <c r="P55" s="518">
        <v>0</v>
      </c>
      <c r="Q55" s="519"/>
      <c r="R55" s="516">
        <v>0</v>
      </c>
      <c r="S55" s="516">
        <v>0</v>
      </c>
      <c r="T55" s="516">
        <v>0</v>
      </c>
      <c r="U55" s="517"/>
      <c r="V55" s="342">
        <v>0</v>
      </c>
      <c r="W55" s="518">
        <v>0</v>
      </c>
    </row>
    <row r="56" spans="1:23" x14ac:dyDescent="0.25">
      <c r="A56" s="515">
        <v>51</v>
      </c>
      <c r="B56" t="s">
        <v>81</v>
      </c>
      <c r="C56" s="308" t="s">
        <v>18</v>
      </c>
      <c r="D56" s="308" t="s">
        <v>16</v>
      </c>
      <c r="F56" s="516">
        <v>0</v>
      </c>
      <c r="G56" s="516">
        <v>0</v>
      </c>
      <c r="H56" s="516">
        <v>0</v>
      </c>
      <c r="I56" s="517"/>
      <c r="J56" s="516">
        <v>0</v>
      </c>
      <c r="K56" s="516">
        <v>0</v>
      </c>
      <c r="L56" s="516">
        <v>0</v>
      </c>
      <c r="M56" s="517"/>
      <c r="N56" s="342">
        <v>0</v>
      </c>
      <c r="O56" s="518">
        <v>0</v>
      </c>
      <c r="P56" s="518">
        <v>0</v>
      </c>
      <c r="Q56" s="519"/>
      <c r="R56" s="516">
        <v>0</v>
      </c>
      <c r="S56" s="516">
        <v>0</v>
      </c>
      <c r="T56" s="516">
        <v>0</v>
      </c>
      <c r="U56" s="517"/>
      <c r="V56" s="342">
        <v>0</v>
      </c>
      <c r="W56" s="518">
        <v>0</v>
      </c>
    </row>
    <row r="57" spans="1:23" x14ac:dyDescent="0.25">
      <c r="A57" s="515">
        <v>52</v>
      </c>
      <c r="B57" t="s">
        <v>82</v>
      </c>
      <c r="C57" s="308" t="s">
        <v>51</v>
      </c>
      <c r="D57" s="308" t="s">
        <v>16</v>
      </c>
      <c r="F57" s="516">
        <v>0</v>
      </c>
      <c r="G57" s="516">
        <v>0</v>
      </c>
      <c r="H57" s="516">
        <v>0</v>
      </c>
      <c r="I57" s="517"/>
      <c r="J57" s="516">
        <v>0</v>
      </c>
      <c r="K57" s="516">
        <v>0</v>
      </c>
      <c r="L57" s="516">
        <v>0</v>
      </c>
      <c r="M57" s="517"/>
      <c r="N57" s="342">
        <v>0</v>
      </c>
      <c r="O57" s="518">
        <v>0</v>
      </c>
      <c r="P57" s="518">
        <v>0</v>
      </c>
      <c r="Q57" s="519"/>
      <c r="R57" s="516">
        <v>0</v>
      </c>
      <c r="S57" s="516">
        <v>0</v>
      </c>
      <c r="T57" s="516">
        <v>0</v>
      </c>
      <c r="U57" s="517"/>
      <c r="V57" s="342">
        <v>0</v>
      </c>
      <c r="W57" s="518">
        <v>0</v>
      </c>
    </row>
    <row r="58" spans="1:23" x14ac:dyDescent="0.25">
      <c r="A58" s="515">
        <v>53</v>
      </c>
      <c r="B58" t="s">
        <v>83</v>
      </c>
      <c r="C58" s="308"/>
      <c r="D58" s="308" t="s">
        <v>16</v>
      </c>
      <c r="F58" s="516">
        <v>0</v>
      </c>
      <c r="G58" s="516">
        <v>0</v>
      </c>
      <c r="H58" s="516">
        <v>0</v>
      </c>
      <c r="I58" s="517"/>
      <c r="J58" s="516">
        <v>0</v>
      </c>
      <c r="K58" s="516">
        <v>0</v>
      </c>
      <c r="L58" s="516">
        <v>0</v>
      </c>
      <c r="M58" s="517"/>
      <c r="N58" s="342">
        <v>0</v>
      </c>
      <c r="O58" s="518">
        <v>0</v>
      </c>
      <c r="P58" s="518">
        <v>0</v>
      </c>
      <c r="Q58" s="519"/>
      <c r="R58" s="516">
        <v>0</v>
      </c>
      <c r="S58" s="516">
        <v>0</v>
      </c>
      <c r="T58" s="516">
        <v>0</v>
      </c>
      <c r="U58" s="517"/>
      <c r="V58" s="342">
        <v>0</v>
      </c>
      <c r="W58" s="518">
        <v>0</v>
      </c>
    </row>
    <row r="59" spans="1:23" x14ac:dyDescent="0.25">
      <c r="A59" s="515">
        <v>54</v>
      </c>
      <c r="B59" t="s">
        <v>84</v>
      </c>
      <c r="C59" s="308" t="s">
        <v>18</v>
      </c>
      <c r="D59" s="308" t="s">
        <v>20</v>
      </c>
      <c r="F59" s="516">
        <v>0</v>
      </c>
      <c r="G59" s="516">
        <v>0</v>
      </c>
      <c r="H59" s="516">
        <v>0</v>
      </c>
      <c r="I59" s="517"/>
      <c r="J59" s="516">
        <v>0</v>
      </c>
      <c r="K59" s="516">
        <v>0</v>
      </c>
      <c r="L59" s="516">
        <v>0</v>
      </c>
      <c r="M59" s="517"/>
      <c r="N59" s="342">
        <v>0</v>
      </c>
      <c r="O59" s="518">
        <v>0</v>
      </c>
      <c r="P59" s="518">
        <v>0</v>
      </c>
      <c r="Q59" s="519"/>
      <c r="R59" s="516">
        <v>0</v>
      </c>
      <c r="S59" s="516">
        <v>0</v>
      </c>
      <c r="T59" s="516">
        <v>0</v>
      </c>
      <c r="U59" s="517"/>
      <c r="V59" s="342">
        <v>0</v>
      </c>
      <c r="W59" s="518">
        <v>0</v>
      </c>
    </row>
    <row r="60" spans="1:23" x14ac:dyDescent="0.25">
      <c r="A60" s="515">
        <v>55</v>
      </c>
      <c r="B60" t="s">
        <v>85</v>
      </c>
      <c r="C60" s="308" t="s">
        <v>86</v>
      </c>
      <c r="D60" s="308" t="s">
        <v>87</v>
      </c>
      <c r="F60" s="516">
        <v>1</v>
      </c>
      <c r="G60" s="516">
        <v>660</v>
      </c>
      <c r="H60" s="516">
        <v>20</v>
      </c>
      <c r="I60" s="517"/>
      <c r="J60" s="516">
        <v>0</v>
      </c>
      <c r="K60" s="516">
        <v>0</v>
      </c>
      <c r="L60" s="516">
        <v>0</v>
      </c>
      <c r="M60" s="517"/>
      <c r="N60" s="342">
        <v>1</v>
      </c>
      <c r="O60" s="518">
        <v>660</v>
      </c>
      <c r="P60" s="518">
        <v>20</v>
      </c>
      <c r="Q60" s="519"/>
      <c r="R60" s="516">
        <v>0</v>
      </c>
      <c r="S60" s="516">
        <v>0</v>
      </c>
      <c r="T60" s="516">
        <v>0</v>
      </c>
      <c r="U60" s="517"/>
      <c r="V60" s="342">
        <v>1</v>
      </c>
      <c r="W60" s="518">
        <v>660</v>
      </c>
    </row>
    <row r="61" spans="1:23" x14ac:dyDescent="0.25">
      <c r="A61" s="515">
        <v>56</v>
      </c>
      <c r="B61" t="s">
        <v>2961</v>
      </c>
      <c r="C61" s="308" t="s">
        <v>25</v>
      </c>
      <c r="D61" s="308" t="s">
        <v>16</v>
      </c>
      <c r="F61" s="516">
        <v>2</v>
      </c>
      <c r="G61" s="516">
        <v>18950</v>
      </c>
      <c r="H61" s="516">
        <v>100</v>
      </c>
      <c r="I61" s="517"/>
      <c r="J61" s="516">
        <v>0</v>
      </c>
      <c r="K61" s="516">
        <v>0</v>
      </c>
      <c r="L61" s="516">
        <v>0</v>
      </c>
      <c r="M61" s="517"/>
      <c r="N61" s="342">
        <v>2</v>
      </c>
      <c r="O61" s="518">
        <v>18950</v>
      </c>
      <c r="P61" s="518">
        <v>100</v>
      </c>
      <c r="Q61" s="519"/>
      <c r="R61" s="516">
        <v>0</v>
      </c>
      <c r="S61" s="516">
        <v>0</v>
      </c>
      <c r="T61" s="516">
        <v>0</v>
      </c>
      <c r="U61" s="517"/>
      <c r="V61" s="342">
        <v>2</v>
      </c>
      <c r="W61" s="518">
        <v>18950</v>
      </c>
    </row>
    <row r="62" spans="1:23" x14ac:dyDescent="0.25">
      <c r="A62" s="515">
        <v>57</v>
      </c>
      <c r="B62" t="s">
        <v>88</v>
      </c>
      <c r="C62" s="308"/>
      <c r="D62" s="308" t="s">
        <v>16</v>
      </c>
      <c r="F62" s="516">
        <v>0</v>
      </c>
      <c r="G62" s="516">
        <v>0</v>
      </c>
      <c r="H62" s="516">
        <v>0</v>
      </c>
      <c r="I62" s="517"/>
      <c r="J62" s="516">
        <v>0</v>
      </c>
      <c r="K62" s="516">
        <v>0</v>
      </c>
      <c r="L62" s="516">
        <v>0</v>
      </c>
      <c r="M62" s="517"/>
      <c r="N62" s="342">
        <v>0</v>
      </c>
      <c r="O62" s="518">
        <v>0</v>
      </c>
      <c r="P62" s="518">
        <v>0</v>
      </c>
      <c r="Q62" s="519"/>
      <c r="R62" s="516">
        <v>0</v>
      </c>
      <c r="S62" s="516">
        <v>0</v>
      </c>
      <c r="T62" s="516">
        <v>0</v>
      </c>
      <c r="U62" s="517"/>
      <c r="V62" s="342">
        <v>0</v>
      </c>
      <c r="W62" s="518">
        <v>0</v>
      </c>
    </row>
    <row r="63" spans="1:23" x14ac:dyDescent="0.25">
      <c r="A63" s="515">
        <v>58</v>
      </c>
      <c r="B63" t="s">
        <v>89</v>
      </c>
      <c r="C63" s="308" t="s">
        <v>90</v>
      </c>
      <c r="D63" s="308" t="s">
        <v>16</v>
      </c>
      <c r="F63" s="516">
        <v>0</v>
      </c>
      <c r="G63" s="516">
        <v>0</v>
      </c>
      <c r="H63" s="516">
        <v>0</v>
      </c>
      <c r="I63" s="517"/>
      <c r="J63" s="516">
        <v>0</v>
      </c>
      <c r="K63" s="516">
        <v>0</v>
      </c>
      <c r="L63" s="516">
        <v>0</v>
      </c>
      <c r="M63" s="517"/>
      <c r="N63" s="342">
        <v>0</v>
      </c>
      <c r="O63" s="518">
        <v>0</v>
      </c>
      <c r="P63" s="518">
        <v>0</v>
      </c>
      <c r="Q63" s="519"/>
      <c r="R63" s="516">
        <v>0</v>
      </c>
      <c r="S63" s="516">
        <v>0</v>
      </c>
      <c r="T63" s="516">
        <v>0</v>
      </c>
      <c r="U63" s="517"/>
      <c r="V63" s="342">
        <v>0</v>
      </c>
      <c r="W63" s="518">
        <v>0</v>
      </c>
    </row>
    <row r="64" spans="1:23" x14ac:dyDescent="0.25">
      <c r="A64" s="515">
        <v>59</v>
      </c>
      <c r="B64" t="s">
        <v>91</v>
      </c>
      <c r="C64" s="308" t="s">
        <v>92</v>
      </c>
      <c r="D64" s="308" t="s">
        <v>16</v>
      </c>
      <c r="F64" s="516">
        <v>69</v>
      </c>
      <c r="G64" s="516">
        <v>168070.44</v>
      </c>
      <c r="H64" s="516">
        <v>690</v>
      </c>
      <c r="I64" s="517"/>
      <c r="J64" s="516">
        <v>0</v>
      </c>
      <c r="K64" s="516">
        <v>0</v>
      </c>
      <c r="L64" s="516">
        <v>0</v>
      </c>
      <c r="M64" s="517"/>
      <c r="N64" s="342">
        <v>69</v>
      </c>
      <c r="O64" s="518">
        <v>168070.44</v>
      </c>
      <c r="P64" s="518">
        <v>690</v>
      </c>
      <c r="Q64" s="519"/>
      <c r="R64" s="516">
        <v>0</v>
      </c>
      <c r="S64" s="516">
        <v>0</v>
      </c>
      <c r="T64" s="516">
        <v>0</v>
      </c>
      <c r="U64" s="517"/>
      <c r="V64" s="342">
        <v>69</v>
      </c>
      <c r="W64" s="518">
        <v>168070.44</v>
      </c>
    </row>
    <row r="65" spans="1:23" x14ac:dyDescent="0.25">
      <c r="A65" s="515">
        <v>60</v>
      </c>
      <c r="B65" t="s">
        <v>93</v>
      </c>
      <c r="C65" s="308" t="s">
        <v>18</v>
      </c>
      <c r="D65" s="308" t="s">
        <v>16</v>
      </c>
      <c r="F65" s="516">
        <v>14</v>
      </c>
      <c r="G65" s="516">
        <v>22461.52</v>
      </c>
      <c r="H65" s="516">
        <v>70</v>
      </c>
      <c r="I65" s="517"/>
      <c r="J65" s="516">
        <v>0</v>
      </c>
      <c r="K65" s="516">
        <v>0</v>
      </c>
      <c r="L65" s="516">
        <v>0</v>
      </c>
      <c r="M65" s="517"/>
      <c r="N65" s="342">
        <v>14</v>
      </c>
      <c r="O65" s="518">
        <v>22461.52</v>
      </c>
      <c r="P65" s="518">
        <v>70</v>
      </c>
      <c r="Q65" s="519"/>
      <c r="R65" s="516">
        <v>0</v>
      </c>
      <c r="S65" s="516">
        <v>0</v>
      </c>
      <c r="T65" s="516">
        <v>0</v>
      </c>
      <c r="U65" s="517"/>
      <c r="V65" s="342">
        <v>14</v>
      </c>
      <c r="W65" s="518">
        <v>22461.52</v>
      </c>
    </row>
    <row r="66" spans="1:23" x14ac:dyDescent="0.25">
      <c r="A66" s="515">
        <v>61</v>
      </c>
      <c r="B66" t="s">
        <v>94</v>
      </c>
      <c r="C66" s="308" t="s">
        <v>92</v>
      </c>
      <c r="D66" s="308" t="s">
        <v>16</v>
      </c>
      <c r="F66" s="516">
        <v>215</v>
      </c>
      <c r="G66" s="516">
        <v>808215.41999999993</v>
      </c>
      <c r="H66" s="516">
        <v>2150</v>
      </c>
      <c r="I66" s="517"/>
      <c r="J66" s="516">
        <v>-2</v>
      </c>
      <c r="K66" s="516">
        <v>-7037.27</v>
      </c>
      <c r="L66" s="516">
        <v>-20</v>
      </c>
      <c r="M66" s="517"/>
      <c r="N66" s="342">
        <v>213</v>
      </c>
      <c r="O66" s="518">
        <v>801178.14999999991</v>
      </c>
      <c r="P66" s="518">
        <v>2130</v>
      </c>
      <c r="Q66" s="519"/>
      <c r="R66" s="516">
        <v>0</v>
      </c>
      <c r="S66" s="516">
        <v>0</v>
      </c>
      <c r="T66" s="516">
        <v>0</v>
      </c>
      <c r="U66" s="517"/>
      <c r="V66" s="342">
        <v>213</v>
      </c>
      <c r="W66" s="518">
        <v>801178.14999999991</v>
      </c>
    </row>
    <row r="67" spans="1:23" x14ac:dyDescent="0.25">
      <c r="A67" s="515">
        <v>62</v>
      </c>
      <c r="B67" t="s">
        <v>95</v>
      </c>
      <c r="C67" s="308"/>
      <c r="D67" s="308" t="s">
        <v>16</v>
      </c>
      <c r="F67" s="516">
        <v>0</v>
      </c>
      <c r="G67" s="516">
        <v>0</v>
      </c>
      <c r="H67" s="516">
        <v>0</v>
      </c>
      <c r="I67" s="517"/>
      <c r="J67" s="516">
        <v>0</v>
      </c>
      <c r="K67" s="516">
        <v>0</v>
      </c>
      <c r="L67" s="516">
        <v>0</v>
      </c>
      <c r="M67" s="517"/>
      <c r="N67" s="342">
        <v>0</v>
      </c>
      <c r="O67" s="518">
        <v>0</v>
      </c>
      <c r="P67" s="518">
        <v>0</v>
      </c>
      <c r="Q67" s="519"/>
      <c r="R67" s="516">
        <v>0</v>
      </c>
      <c r="S67" s="516">
        <v>0</v>
      </c>
      <c r="T67" s="516">
        <v>0</v>
      </c>
      <c r="U67" s="517"/>
      <c r="V67" s="342">
        <v>0</v>
      </c>
      <c r="W67" s="518">
        <v>0</v>
      </c>
    </row>
    <row r="68" spans="1:23" x14ac:dyDescent="0.25">
      <c r="A68" s="515">
        <v>63</v>
      </c>
      <c r="B68" t="s">
        <v>96</v>
      </c>
      <c r="C68" s="308" t="s">
        <v>92</v>
      </c>
      <c r="D68" s="308" t="s">
        <v>16</v>
      </c>
      <c r="F68" s="516">
        <v>55</v>
      </c>
      <c r="G68" s="516">
        <v>43853.460000000006</v>
      </c>
      <c r="H68" s="516">
        <v>550</v>
      </c>
      <c r="I68" s="517"/>
      <c r="J68" s="516">
        <v>0</v>
      </c>
      <c r="K68" s="516">
        <v>0</v>
      </c>
      <c r="L68" s="516">
        <v>0</v>
      </c>
      <c r="M68" s="517"/>
      <c r="N68" s="342">
        <v>55</v>
      </c>
      <c r="O68" s="518">
        <v>43853.460000000006</v>
      </c>
      <c r="P68" s="518">
        <v>550</v>
      </c>
      <c r="Q68" s="519"/>
      <c r="R68" s="516">
        <v>0</v>
      </c>
      <c r="S68" s="516">
        <v>0</v>
      </c>
      <c r="T68" s="516">
        <v>0</v>
      </c>
      <c r="U68" s="517"/>
      <c r="V68" s="342">
        <v>55</v>
      </c>
      <c r="W68" s="518">
        <v>43853.460000000006</v>
      </c>
    </row>
    <row r="69" spans="1:23" x14ac:dyDescent="0.25">
      <c r="A69" s="515">
        <v>64</v>
      </c>
      <c r="B69" t="s">
        <v>97</v>
      </c>
      <c r="C69" s="308" t="s">
        <v>98</v>
      </c>
      <c r="D69" s="308" t="s">
        <v>20</v>
      </c>
      <c r="F69" s="516">
        <v>0</v>
      </c>
      <c r="G69" s="516">
        <v>0</v>
      </c>
      <c r="H69" s="516">
        <v>0</v>
      </c>
      <c r="I69" s="517"/>
      <c r="J69" s="516">
        <v>0</v>
      </c>
      <c r="K69" s="516">
        <v>0</v>
      </c>
      <c r="L69" s="516">
        <v>0</v>
      </c>
      <c r="M69" s="517"/>
      <c r="N69" s="342">
        <v>0</v>
      </c>
      <c r="O69" s="518">
        <v>0</v>
      </c>
      <c r="P69" s="518">
        <v>0</v>
      </c>
      <c r="Q69" s="519"/>
      <c r="R69" s="516">
        <v>0</v>
      </c>
      <c r="S69" s="516">
        <v>0</v>
      </c>
      <c r="T69" s="516">
        <v>0</v>
      </c>
      <c r="U69" s="517"/>
      <c r="V69" s="342">
        <v>0</v>
      </c>
      <c r="W69" s="518">
        <v>0</v>
      </c>
    </row>
    <row r="70" spans="1:23" x14ac:dyDescent="0.25">
      <c r="A70" s="515">
        <v>65</v>
      </c>
      <c r="B70" t="s">
        <v>99</v>
      </c>
      <c r="C70" s="308" t="s">
        <v>24</v>
      </c>
      <c r="D70" s="308" t="s">
        <v>16</v>
      </c>
      <c r="F70" s="516">
        <v>0</v>
      </c>
      <c r="G70" s="516">
        <v>0</v>
      </c>
      <c r="H70" s="516">
        <v>0</v>
      </c>
      <c r="I70" s="517"/>
      <c r="J70" s="516">
        <v>0</v>
      </c>
      <c r="K70" s="516">
        <v>0</v>
      </c>
      <c r="L70" s="516">
        <v>0</v>
      </c>
      <c r="M70" s="517"/>
      <c r="N70" s="342">
        <v>0</v>
      </c>
      <c r="O70" s="518">
        <v>0</v>
      </c>
      <c r="P70" s="518">
        <v>0</v>
      </c>
      <c r="Q70" s="519"/>
      <c r="R70" s="516">
        <v>0</v>
      </c>
      <c r="S70" s="516">
        <v>0</v>
      </c>
      <c r="T70" s="516">
        <v>0</v>
      </c>
      <c r="U70" s="517"/>
      <c r="V70" s="342">
        <v>0</v>
      </c>
      <c r="W70" s="518">
        <v>0</v>
      </c>
    </row>
    <row r="71" spans="1:23" x14ac:dyDescent="0.25">
      <c r="A71" s="515">
        <v>66</v>
      </c>
      <c r="B71" t="s">
        <v>100</v>
      </c>
      <c r="C71" s="308" t="s">
        <v>25</v>
      </c>
      <c r="D71" s="308" t="s">
        <v>20</v>
      </c>
      <c r="F71" s="516">
        <v>2</v>
      </c>
      <c r="G71" s="516">
        <v>17311</v>
      </c>
      <c r="H71" s="516">
        <v>60</v>
      </c>
      <c r="I71" s="517"/>
      <c r="J71" s="516">
        <v>0</v>
      </c>
      <c r="K71" s="516">
        <v>0</v>
      </c>
      <c r="L71" s="516">
        <v>0</v>
      </c>
      <c r="M71" s="517"/>
      <c r="N71" s="342">
        <v>2</v>
      </c>
      <c r="O71" s="518">
        <v>17311</v>
      </c>
      <c r="P71" s="518">
        <v>60</v>
      </c>
      <c r="Q71" s="519"/>
      <c r="R71" s="516">
        <v>0</v>
      </c>
      <c r="S71" s="516">
        <v>0</v>
      </c>
      <c r="T71" s="516">
        <v>0</v>
      </c>
      <c r="U71" s="517"/>
      <c r="V71" s="342">
        <v>2</v>
      </c>
      <c r="W71" s="518">
        <v>17311</v>
      </c>
    </row>
    <row r="72" spans="1:23" x14ac:dyDescent="0.25">
      <c r="A72" s="515">
        <v>67</v>
      </c>
      <c r="B72" t="s">
        <v>2958</v>
      </c>
      <c r="C72" s="308" t="s">
        <v>27</v>
      </c>
      <c r="D72" s="308" t="s">
        <v>2959</v>
      </c>
      <c r="F72" s="516">
        <v>0</v>
      </c>
      <c r="G72" s="516">
        <v>0</v>
      </c>
      <c r="H72" s="516">
        <v>0</v>
      </c>
      <c r="I72" s="517"/>
      <c r="J72" s="516">
        <v>0</v>
      </c>
      <c r="K72" s="516">
        <v>0</v>
      </c>
      <c r="L72" s="516">
        <v>0</v>
      </c>
      <c r="M72" s="517"/>
      <c r="N72" s="342">
        <v>0</v>
      </c>
      <c r="O72" s="518">
        <v>0</v>
      </c>
      <c r="P72" s="518">
        <v>0</v>
      </c>
      <c r="Q72" s="519"/>
      <c r="R72" s="516">
        <v>0</v>
      </c>
      <c r="S72" s="516">
        <v>0</v>
      </c>
      <c r="T72" s="516">
        <v>0</v>
      </c>
      <c r="U72" s="517"/>
      <c r="V72" s="342">
        <v>0</v>
      </c>
      <c r="W72" s="518">
        <v>0</v>
      </c>
    </row>
    <row r="73" spans="1:23" x14ac:dyDescent="0.25">
      <c r="A73" s="515">
        <v>68</v>
      </c>
      <c r="B73" t="s">
        <v>2417</v>
      </c>
      <c r="C73" s="308" t="s">
        <v>92</v>
      </c>
      <c r="D73" s="308" t="s">
        <v>20</v>
      </c>
      <c r="F73" s="516">
        <v>17</v>
      </c>
      <c r="G73" s="516">
        <v>1287851.83</v>
      </c>
      <c r="H73" s="516">
        <v>1400</v>
      </c>
      <c r="I73" s="517"/>
      <c r="J73" s="516">
        <v>0</v>
      </c>
      <c r="K73" s="516">
        <v>0</v>
      </c>
      <c r="L73" s="516">
        <v>0</v>
      </c>
      <c r="M73" s="517"/>
      <c r="N73" s="342">
        <v>17</v>
      </c>
      <c r="O73" s="518">
        <v>1287851.83</v>
      </c>
      <c r="P73" s="518">
        <v>1400</v>
      </c>
      <c r="Q73" s="519"/>
      <c r="R73" s="516">
        <v>0</v>
      </c>
      <c r="S73" s="516">
        <v>0</v>
      </c>
      <c r="T73" s="516">
        <v>0</v>
      </c>
      <c r="U73" s="517"/>
      <c r="V73" s="342">
        <v>17</v>
      </c>
      <c r="W73" s="518">
        <v>1287851.83</v>
      </c>
    </row>
    <row r="74" spans="1:23" x14ac:dyDescent="0.25">
      <c r="A74" s="515">
        <v>69</v>
      </c>
      <c r="B74" t="s">
        <v>2418</v>
      </c>
      <c r="C74" s="308" t="s">
        <v>136</v>
      </c>
      <c r="D74" s="308" t="s">
        <v>20</v>
      </c>
      <c r="F74" s="516">
        <v>54</v>
      </c>
      <c r="G74" s="516">
        <v>1986273.75</v>
      </c>
      <c r="H74" s="516">
        <v>3000</v>
      </c>
      <c r="I74" s="517"/>
      <c r="J74" s="516">
        <v>0</v>
      </c>
      <c r="K74" s="516">
        <v>0</v>
      </c>
      <c r="L74" s="516">
        <v>0</v>
      </c>
      <c r="M74" s="517"/>
      <c r="N74" s="342">
        <v>54</v>
      </c>
      <c r="O74" s="518">
        <v>1986273.75</v>
      </c>
      <c r="P74" s="518">
        <v>3000</v>
      </c>
      <c r="Q74" s="519"/>
      <c r="R74" s="516">
        <v>0</v>
      </c>
      <c r="S74" s="516">
        <v>0</v>
      </c>
      <c r="T74" s="516">
        <v>0</v>
      </c>
      <c r="U74" s="517"/>
      <c r="V74" s="342">
        <v>54</v>
      </c>
      <c r="W74" s="518">
        <v>1986273.75</v>
      </c>
    </row>
    <row r="75" spans="1:23" x14ac:dyDescent="0.25">
      <c r="A75" s="515">
        <v>70</v>
      </c>
      <c r="B75" t="s">
        <v>102</v>
      </c>
      <c r="C75" s="308" t="s">
        <v>15</v>
      </c>
      <c r="D75" s="308" t="s">
        <v>45</v>
      </c>
      <c r="F75" s="516">
        <v>114</v>
      </c>
      <c r="G75" s="516">
        <v>83383.19</v>
      </c>
      <c r="H75" s="516">
        <v>912</v>
      </c>
      <c r="I75" s="517"/>
      <c r="J75" s="516">
        <v>0</v>
      </c>
      <c r="K75" s="516">
        <v>0</v>
      </c>
      <c r="L75" s="516">
        <v>0</v>
      </c>
      <c r="M75" s="517"/>
      <c r="N75" s="342">
        <v>114</v>
      </c>
      <c r="O75" s="518">
        <v>83383.19</v>
      </c>
      <c r="P75" s="518">
        <v>912</v>
      </c>
      <c r="Q75" s="519"/>
      <c r="R75" s="516">
        <v>0</v>
      </c>
      <c r="S75" s="516">
        <v>0</v>
      </c>
      <c r="T75" s="516">
        <v>0</v>
      </c>
      <c r="U75" s="517"/>
      <c r="V75" s="342">
        <v>114</v>
      </c>
      <c r="W75" s="518">
        <v>83383.19</v>
      </c>
    </row>
    <row r="76" spans="1:23" x14ac:dyDescent="0.25">
      <c r="A76" s="515">
        <v>71</v>
      </c>
      <c r="B76" t="s">
        <v>103</v>
      </c>
      <c r="C76" s="308" t="s">
        <v>18</v>
      </c>
      <c r="D76" s="308" t="s">
        <v>20</v>
      </c>
      <c r="F76" s="516">
        <v>15</v>
      </c>
      <c r="G76" s="516">
        <v>397726</v>
      </c>
      <c r="H76" s="516">
        <v>450</v>
      </c>
      <c r="I76" s="517"/>
      <c r="J76" s="516">
        <v>0</v>
      </c>
      <c r="K76" s="516">
        <v>0</v>
      </c>
      <c r="L76" s="516">
        <v>0</v>
      </c>
      <c r="M76" s="517"/>
      <c r="N76" s="342">
        <v>15</v>
      </c>
      <c r="O76" s="518">
        <v>397726</v>
      </c>
      <c r="P76" s="518">
        <v>450</v>
      </c>
      <c r="Q76" s="519"/>
      <c r="R76" s="516">
        <v>0</v>
      </c>
      <c r="S76" s="516">
        <v>0</v>
      </c>
      <c r="T76" s="516">
        <v>0</v>
      </c>
      <c r="U76" s="517"/>
      <c r="V76" s="342">
        <v>15</v>
      </c>
      <c r="W76" s="518">
        <v>397726</v>
      </c>
    </row>
    <row r="77" spans="1:23" x14ac:dyDescent="0.25">
      <c r="A77" s="515">
        <v>72</v>
      </c>
      <c r="B77" t="s">
        <v>104</v>
      </c>
      <c r="C77" s="308" t="s">
        <v>18</v>
      </c>
      <c r="D77" s="308" t="s">
        <v>20</v>
      </c>
      <c r="F77" s="516">
        <v>0</v>
      </c>
      <c r="G77" s="516">
        <v>0</v>
      </c>
      <c r="H77" s="516">
        <v>0</v>
      </c>
      <c r="I77" s="517"/>
      <c r="J77" s="516">
        <v>0</v>
      </c>
      <c r="K77" s="516">
        <v>0</v>
      </c>
      <c r="L77" s="516">
        <v>0</v>
      </c>
      <c r="M77" s="517"/>
      <c r="N77" s="342">
        <v>0</v>
      </c>
      <c r="O77" s="518">
        <v>0</v>
      </c>
      <c r="P77" s="518">
        <v>0</v>
      </c>
      <c r="Q77" s="519"/>
      <c r="R77" s="516">
        <v>0</v>
      </c>
      <c r="S77" s="516">
        <v>0</v>
      </c>
      <c r="T77" s="516">
        <v>0</v>
      </c>
      <c r="U77" s="517"/>
      <c r="V77" s="342">
        <v>0</v>
      </c>
      <c r="W77" s="518">
        <v>0</v>
      </c>
    </row>
    <row r="78" spans="1:23" x14ac:dyDescent="0.25">
      <c r="A78" s="515">
        <v>73</v>
      </c>
      <c r="B78" t="s">
        <v>105</v>
      </c>
      <c r="C78" s="308" t="s">
        <v>24</v>
      </c>
      <c r="D78" s="308" t="s">
        <v>20</v>
      </c>
      <c r="F78" s="516">
        <v>22</v>
      </c>
      <c r="G78" s="516">
        <v>156205</v>
      </c>
      <c r="H78" s="516">
        <v>660</v>
      </c>
      <c r="I78" s="517"/>
      <c r="J78" s="516">
        <v>0</v>
      </c>
      <c r="K78" s="516">
        <v>0</v>
      </c>
      <c r="L78" s="516">
        <v>0</v>
      </c>
      <c r="M78" s="517"/>
      <c r="N78" s="342">
        <v>22</v>
      </c>
      <c r="O78" s="518">
        <v>156205</v>
      </c>
      <c r="P78" s="518">
        <v>660</v>
      </c>
      <c r="Q78" s="519"/>
      <c r="R78" s="516">
        <v>0</v>
      </c>
      <c r="S78" s="516">
        <v>0</v>
      </c>
      <c r="T78" s="516">
        <v>0</v>
      </c>
      <c r="U78" s="517"/>
      <c r="V78" s="342">
        <v>22</v>
      </c>
      <c r="W78" s="518">
        <v>156205</v>
      </c>
    </row>
    <row r="79" spans="1:23" x14ac:dyDescent="0.25">
      <c r="A79" s="515">
        <v>74</v>
      </c>
      <c r="B79" t="s">
        <v>106</v>
      </c>
      <c r="C79" s="308" t="s">
        <v>18</v>
      </c>
      <c r="D79" s="308" t="s">
        <v>16</v>
      </c>
      <c r="F79" s="516">
        <v>26</v>
      </c>
      <c r="G79" s="516">
        <v>252950</v>
      </c>
      <c r="H79" s="516">
        <v>1040</v>
      </c>
      <c r="I79" s="517"/>
      <c r="J79" s="516">
        <v>0</v>
      </c>
      <c r="K79" s="516">
        <v>0</v>
      </c>
      <c r="L79" s="516">
        <v>0</v>
      </c>
      <c r="M79" s="517"/>
      <c r="N79" s="342">
        <v>26</v>
      </c>
      <c r="O79" s="518">
        <v>252950</v>
      </c>
      <c r="P79" s="518">
        <v>1040</v>
      </c>
      <c r="Q79" s="519"/>
      <c r="R79" s="516">
        <v>0</v>
      </c>
      <c r="S79" s="516">
        <v>0</v>
      </c>
      <c r="T79" s="516">
        <v>0</v>
      </c>
      <c r="U79" s="517"/>
      <c r="V79" s="342">
        <v>26</v>
      </c>
      <c r="W79" s="518">
        <v>252950</v>
      </c>
    </row>
    <row r="80" spans="1:23" x14ac:dyDescent="0.25">
      <c r="A80" s="515">
        <v>75</v>
      </c>
      <c r="B80" t="s">
        <v>107</v>
      </c>
      <c r="C80" s="308" t="s">
        <v>108</v>
      </c>
      <c r="D80" s="308" t="s">
        <v>16</v>
      </c>
      <c r="F80" s="516">
        <v>0</v>
      </c>
      <c r="G80" s="516">
        <v>0</v>
      </c>
      <c r="H80" s="516">
        <v>0</v>
      </c>
      <c r="I80" s="517"/>
      <c r="J80" s="516">
        <v>0</v>
      </c>
      <c r="K80" s="516">
        <v>0</v>
      </c>
      <c r="L80" s="516">
        <v>0</v>
      </c>
      <c r="M80" s="517"/>
      <c r="N80" s="342">
        <v>0</v>
      </c>
      <c r="O80" s="518">
        <v>0</v>
      </c>
      <c r="P80" s="518">
        <v>0</v>
      </c>
      <c r="Q80" s="519"/>
      <c r="R80" s="516">
        <v>0</v>
      </c>
      <c r="S80" s="516">
        <v>0</v>
      </c>
      <c r="T80" s="516">
        <v>0</v>
      </c>
      <c r="U80" s="517"/>
      <c r="V80" s="342">
        <v>0</v>
      </c>
      <c r="W80" s="518">
        <v>0</v>
      </c>
    </row>
    <row r="81" spans="1:23" x14ac:dyDescent="0.25">
      <c r="A81" s="515">
        <v>76</v>
      </c>
      <c r="B81" t="s">
        <v>109</v>
      </c>
      <c r="C81" s="308" t="s">
        <v>25</v>
      </c>
      <c r="D81" s="308" t="s">
        <v>16</v>
      </c>
      <c r="F81" s="516">
        <v>3</v>
      </c>
      <c r="G81" s="516">
        <v>3999</v>
      </c>
      <c r="H81" s="516">
        <v>30</v>
      </c>
      <c r="I81" s="517"/>
      <c r="J81" s="516">
        <v>0</v>
      </c>
      <c r="K81" s="516">
        <v>0</v>
      </c>
      <c r="L81" s="516">
        <v>0</v>
      </c>
      <c r="M81" s="517"/>
      <c r="N81" s="342">
        <v>3</v>
      </c>
      <c r="O81" s="518">
        <v>3999</v>
      </c>
      <c r="P81" s="518">
        <v>30</v>
      </c>
      <c r="Q81" s="519"/>
      <c r="R81" s="516">
        <v>0</v>
      </c>
      <c r="S81" s="516">
        <v>0</v>
      </c>
      <c r="T81" s="516">
        <v>0</v>
      </c>
      <c r="U81" s="517"/>
      <c r="V81" s="342">
        <v>3</v>
      </c>
      <c r="W81" s="518">
        <v>3999</v>
      </c>
    </row>
    <row r="82" spans="1:23" x14ac:dyDescent="0.25">
      <c r="A82" s="515">
        <v>77</v>
      </c>
      <c r="B82" t="s">
        <v>110</v>
      </c>
      <c r="C82" s="308" t="s">
        <v>25</v>
      </c>
      <c r="D82" s="308" t="s">
        <v>45</v>
      </c>
      <c r="F82" s="516">
        <v>0</v>
      </c>
      <c r="G82" s="516">
        <v>0</v>
      </c>
      <c r="H82" s="516">
        <v>0</v>
      </c>
      <c r="I82" s="517"/>
      <c r="J82" s="516">
        <v>0</v>
      </c>
      <c r="K82" s="516">
        <v>0</v>
      </c>
      <c r="L82" s="516">
        <v>0</v>
      </c>
      <c r="M82" s="517"/>
      <c r="N82" s="342">
        <v>0</v>
      </c>
      <c r="O82" s="518">
        <v>0</v>
      </c>
      <c r="P82" s="518">
        <v>0</v>
      </c>
      <c r="Q82" s="519"/>
      <c r="R82" s="516">
        <v>0</v>
      </c>
      <c r="S82" s="516">
        <v>0</v>
      </c>
      <c r="T82" s="516">
        <v>0</v>
      </c>
      <c r="U82" s="517"/>
      <c r="V82" s="342">
        <v>0</v>
      </c>
      <c r="W82" s="518">
        <v>0</v>
      </c>
    </row>
    <row r="83" spans="1:23" x14ac:dyDescent="0.25">
      <c r="A83" s="515">
        <v>78</v>
      </c>
      <c r="B83" t="s">
        <v>111</v>
      </c>
      <c r="C83" s="308" t="s">
        <v>98</v>
      </c>
      <c r="D83" s="308" t="s">
        <v>43</v>
      </c>
      <c r="F83" s="516">
        <v>0</v>
      </c>
      <c r="G83" s="516">
        <v>0</v>
      </c>
      <c r="H83" s="516">
        <v>0</v>
      </c>
      <c r="I83" s="517"/>
      <c r="J83" s="516">
        <v>0</v>
      </c>
      <c r="K83" s="516">
        <v>0</v>
      </c>
      <c r="L83" s="516">
        <v>0</v>
      </c>
      <c r="M83" s="517"/>
      <c r="N83" s="342">
        <v>0</v>
      </c>
      <c r="O83" s="518">
        <v>0</v>
      </c>
      <c r="P83" s="518">
        <v>0</v>
      </c>
      <c r="Q83" s="519"/>
      <c r="R83" s="516">
        <v>0</v>
      </c>
      <c r="S83" s="516">
        <v>0</v>
      </c>
      <c r="T83" s="516">
        <v>0</v>
      </c>
      <c r="U83" s="517"/>
      <c r="V83" s="342">
        <v>0</v>
      </c>
      <c r="W83" s="518">
        <v>0</v>
      </c>
    </row>
    <row r="84" spans="1:23" x14ac:dyDescent="0.25">
      <c r="A84" s="515">
        <v>79</v>
      </c>
      <c r="B84" t="s">
        <v>113</v>
      </c>
      <c r="C84" s="308" t="s">
        <v>98</v>
      </c>
      <c r="D84" s="308" t="s">
        <v>43</v>
      </c>
      <c r="F84" s="516">
        <v>33</v>
      </c>
      <c r="G84" s="516">
        <v>26344.52</v>
      </c>
      <c r="H84" s="516">
        <v>330</v>
      </c>
      <c r="I84" s="517"/>
      <c r="J84" s="516">
        <v>0</v>
      </c>
      <c r="K84" s="516">
        <v>0</v>
      </c>
      <c r="L84" s="516">
        <v>0</v>
      </c>
      <c r="M84" s="517"/>
      <c r="N84" s="342">
        <v>33</v>
      </c>
      <c r="O84" s="518">
        <v>26344.52</v>
      </c>
      <c r="P84" s="518">
        <v>330</v>
      </c>
      <c r="Q84" s="519"/>
      <c r="R84" s="516">
        <v>0</v>
      </c>
      <c r="S84" s="516">
        <v>0</v>
      </c>
      <c r="T84" s="516">
        <v>0</v>
      </c>
      <c r="U84" s="517"/>
      <c r="V84" s="342">
        <v>33</v>
      </c>
      <c r="W84" s="518">
        <v>26344.52</v>
      </c>
    </row>
    <row r="85" spans="1:23" x14ac:dyDescent="0.25">
      <c r="A85" s="515">
        <v>80</v>
      </c>
      <c r="B85" t="s">
        <v>114</v>
      </c>
      <c r="C85" s="308" t="s">
        <v>18</v>
      </c>
      <c r="D85" s="308" t="s">
        <v>45</v>
      </c>
      <c r="F85" s="516">
        <v>66</v>
      </c>
      <c r="G85" s="516">
        <v>67628.640000000014</v>
      </c>
      <c r="H85" s="516">
        <v>462</v>
      </c>
      <c r="I85" s="517"/>
      <c r="J85" s="516">
        <v>0</v>
      </c>
      <c r="K85" s="516">
        <v>0</v>
      </c>
      <c r="L85" s="516">
        <v>0</v>
      </c>
      <c r="M85" s="517"/>
      <c r="N85" s="342">
        <v>66</v>
      </c>
      <c r="O85" s="518">
        <v>67628.640000000014</v>
      </c>
      <c r="P85" s="518">
        <v>462</v>
      </c>
      <c r="Q85" s="519"/>
      <c r="R85" s="516">
        <v>0</v>
      </c>
      <c r="S85" s="516">
        <v>0</v>
      </c>
      <c r="T85" s="516">
        <v>0</v>
      </c>
      <c r="U85" s="517"/>
      <c r="V85" s="342">
        <v>66</v>
      </c>
      <c r="W85" s="518">
        <v>67628.640000000014</v>
      </c>
    </row>
    <row r="86" spans="1:23" x14ac:dyDescent="0.25">
      <c r="A86" s="515">
        <v>81</v>
      </c>
      <c r="B86" t="s">
        <v>2992</v>
      </c>
      <c r="C86" s="308" t="s">
        <v>135</v>
      </c>
      <c r="D86" s="308" t="s">
        <v>16</v>
      </c>
      <c r="F86" s="516">
        <v>0</v>
      </c>
      <c r="G86" s="516">
        <v>0</v>
      </c>
      <c r="H86" s="516">
        <v>0</v>
      </c>
      <c r="I86" s="517"/>
      <c r="J86" s="516">
        <v>0</v>
      </c>
      <c r="K86" s="516">
        <v>0</v>
      </c>
      <c r="L86" s="516">
        <v>0</v>
      </c>
      <c r="M86" s="517"/>
      <c r="N86" s="342">
        <v>0</v>
      </c>
      <c r="O86" s="518">
        <v>0</v>
      </c>
      <c r="P86" s="518">
        <v>0</v>
      </c>
      <c r="Q86" s="519"/>
      <c r="R86" s="516">
        <v>0</v>
      </c>
      <c r="S86" s="516">
        <v>0</v>
      </c>
      <c r="T86" s="516">
        <v>0</v>
      </c>
      <c r="U86" s="517"/>
      <c r="V86" s="342">
        <v>0</v>
      </c>
      <c r="W86" s="518">
        <v>0</v>
      </c>
    </row>
    <row r="87" spans="1:23" x14ac:dyDescent="0.25">
      <c r="A87" s="515">
        <v>82</v>
      </c>
      <c r="B87" t="s">
        <v>115</v>
      </c>
      <c r="C87" s="308" t="s">
        <v>41</v>
      </c>
      <c r="D87" s="308" t="s">
        <v>16</v>
      </c>
      <c r="F87" s="516">
        <v>0</v>
      </c>
      <c r="G87" s="516">
        <v>0</v>
      </c>
      <c r="H87" s="516">
        <v>0</v>
      </c>
      <c r="I87" s="517"/>
      <c r="J87" s="516">
        <v>0</v>
      </c>
      <c r="K87" s="516">
        <v>0</v>
      </c>
      <c r="L87" s="516">
        <v>0</v>
      </c>
      <c r="M87" s="517"/>
      <c r="N87" s="342">
        <v>0</v>
      </c>
      <c r="O87" s="518">
        <v>0</v>
      </c>
      <c r="P87" s="518">
        <v>0</v>
      </c>
      <c r="Q87" s="519"/>
      <c r="R87" s="516">
        <v>0</v>
      </c>
      <c r="S87" s="516">
        <v>0</v>
      </c>
      <c r="T87" s="516">
        <v>0</v>
      </c>
      <c r="U87" s="517"/>
      <c r="V87" s="342">
        <v>0</v>
      </c>
      <c r="W87" s="518">
        <v>0</v>
      </c>
    </row>
    <row r="88" spans="1:23" x14ac:dyDescent="0.25">
      <c r="A88" s="515">
        <v>83</v>
      </c>
      <c r="B88" t="s">
        <v>116</v>
      </c>
      <c r="C88" s="308" t="s">
        <v>39</v>
      </c>
      <c r="D88" s="308" t="s">
        <v>16</v>
      </c>
      <c r="F88" s="516">
        <v>0</v>
      </c>
      <c r="G88" s="516">
        <v>0</v>
      </c>
      <c r="H88" s="516">
        <v>0</v>
      </c>
      <c r="I88" s="517"/>
      <c r="J88" s="516">
        <v>0</v>
      </c>
      <c r="K88" s="516">
        <v>0</v>
      </c>
      <c r="L88" s="516">
        <v>0</v>
      </c>
      <c r="M88" s="517"/>
      <c r="N88" s="342">
        <v>0</v>
      </c>
      <c r="O88" s="518">
        <v>0</v>
      </c>
      <c r="P88" s="518">
        <v>0</v>
      </c>
      <c r="Q88" s="519"/>
      <c r="R88" s="516">
        <v>0</v>
      </c>
      <c r="S88" s="516">
        <v>0</v>
      </c>
      <c r="T88" s="516">
        <v>0</v>
      </c>
      <c r="U88" s="517"/>
      <c r="V88" s="342">
        <v>0</v>
      </c>
      <c r="W88" s="518">
        <v>0</v>
      </c>
    </row>
    <row r="89" spans="1:23" x14ac:dyDescent="0.25">
      <c r="A89" s="515">
        <v>84</v>
      </c>
      <c r="B89" t="s">
        <v>117</v>
      </c>
      <c r="C89" s="308" t="s">
        <v>25</v>
      </c>
      <c r="D89" s="308" t="s">
        <v>20</v>
      </c>
      <c r="F89" s="516">
        <v>245</v>
      </c>
      <c r="G89" s="516">
        <v>7312672.4900000002</v>
      </c>
      <c r="H89" s="516">
        <v>7350</v>
      </c>
      <c r="I89" s="517"/>
      <c r="J89" s="516">
        <v>0</v>
      </c>
      <c r="K89" s="516">
        <v>0</v>
      </c>
      <c r="L89" s="516">
        <v>0</v>
      </c>
      <c r="M89" s="517"/>
      <c r="N89" s="342">
        <v>245</v>
      </c>
      <c r="O89" s="518">
        <v>7312672.4900000002</v>
      </c>
      <c r="P89" s="518">
        <v>7350</v>
      </c>
      <c r="Q89" s="519"/>
      <c r="R89" s="516">
        <v>0</v>
      </c>
      <c r="S89" s="516">
        <v>0</v>
      </c>
      <c r="T89" s="516">
        <v>0</v>
      </c>
      <c r="U89" s="517"/>
      <c r="V89" s="342">
        <v>245</v>
      </c>
      <c r="W89" s="518">
        <v>7312672.4900000002</v>
      </c>
    </row>
    <row r="90" spans="1:23" x14ac:dyDescent="0.25">
      <c r="A90" s="515">
        <v>85</v>
      </c>
      <c r="B90" t="s">
        <v>118</v>
      </c>
      <c r="C90" s="308" t="s">
        <v>25</v>
      </c>
      <c r="D90" s="308" t="s">
        <v>20</v>
      </c>
      <c r="F90" s="516">
        <v>36</v>
      </c>
      <c r="G90" s="516">
        <v>355780</v>
      </c>
      <c r="H90" s="516">
        <v>360</v>
      </c>
      <c r="I90" s="517"/>
      <c r="J90" s="516">
        <v>0</v>
      </c>
      <c r="K90" s="516">
        <v>0</v>
      </c>
      <c r="L90" s="516">
        <v>0</v>
      </c>
      <c r="M90" s="517"/>
      <c r="N90" s="342">
        <v>36</v>
      </c>
      <c r="O90" s="518">
        <v>355780</v>
      </c>
      <c r="P90" s="518">
        <v>360</v>
      </c>
      <c r="Q90" s="519"/>
      <c r="R90" s="520">
        <v>0</v>
      </c>
      <c r="S90" s="521">
        <v>0</v>
      </c>
      <c r="T90" s="516">
        <v>0</v>
      </c>
      <c r="U90" s="517"/>
      <c r="V90" s="342">
        <v>36</v>
      </c>
      <c r="W90" s="518">
        <v>355780</v>
      </c>
    </row>
    <row r="91" spans="1:23" x14ac:dyDescent="0.25">
      <c r="A91" s="515">
        <v>86</v>
      </c>
      <c r="B91" t="s">
        <v>119</v>
      </c>
      <c r="C91" s="308" t="s">
        <v>25</v>
      </c>
      <c r="D91" s="308" t="s">
        <v>20</v>
      </c>
      <c r="F91" s="516">
        <v>0</v>
      </c>
      <c r="G91" s="516">
        <v>0</v>
      </c>
      <c r="H91" s="516">
        <v>0</v>
      </c>
      <c r="I91" s="517"/>
      <c r="J91" s="516">
        <v>0</v>
      </c>
      <c r="K91" s="516">
        <v>0</v>
      </c>
      <c r="L91" s="516">
        <v>0</v>
      </c>
      <c r="M91" s="517"/>
      <c r="N91" s="342">
        <v>0</v>
      </c>
      <c r="O91" s="518">
        <v>0</v>
      </c>
      <c r="P91" s="518">
        <v>0</v>
      </c>
      <c r="Q91" s="519"/>
      <c r="R91" s="516">
        <v>0</v>
      </c>
      <c r="S91" s="516">
        <v>0</v>
      </c>
      <c r="T91" s="516">
        <v>0</v>
      </c>
      <c r="U91" s="517"/>
      <c r="V91" s="342">
        <v>0</v>
      </c>
      <c r="W91" s="518">
        <v>0</v>
      </c>
    </row>
    <row r="92" spans="1:23" x14ac:dyDescent="0.25">
      <c r="A92" s="515">
        <v>87</v>
      </c>
      <c r="B92" t="s">
        <v>120</v>
      </c>
      <c r="C92" s="308" t="s">
        <v>39</v>
      </c>
      <c r="D92" s="308" t="s">
        <v>16</v>
      </c>
      <c r="F92" s="516">
        <v>20</v>
      </c>
      <c r="G92" s="516">
        <v>20698.410000000003</v>
      </c>
      <c r="H92" s="516">
        <v>200</v>
      </c>
      <c r="I92" s="517"/>
      <c r="J92" s="516">
        <v>0</v>
      </c>
      <c r="K92" s="516">
        <v>0</v>
      </c>
      <c r="L92" s="516">
        <v>0</v>
      </c>
      <c r="M92" s="517"/>
      <c r="N92" s="342">
        <v>20</v>
      </c>
      <c r="O92" s="518">
        <v>20698.410000000003</v>
      </c>
      <c r="P92" s="518">
        <v>200</v>
      </c>
      <c r="Q92" s="519"/>
      <c r="R92" s="516">
        <v>0</v>
      </c>
      <c r="S92" s="516">
        <v>0</v>
      </c>
      <c r="T92" s="516">
        <v>0</v>
      </c>
      <c r="U92" s="517"/>
      <c r="V92" s="342">
        <v>20</v>
      </c>
      <c r="W92" s="518">
        <v>20698.410000000003</v>
      </c>
    </row>
    <row r="93" spans="1:23" x14ac:dyDescent="0.25">
      <c r="A93" s="515">
        <v>88</v>
      </c>
      <c r="B93" t="s">
        <v>121</v>
      </c>
      <c r="C93" s="308" t="s">
        <v>18</v>
      </c>
      <c r="D93" s="308" t="s">
        <v>16</v>
      </c>
      <c r="F93" s="516">
        <v>27</v>
      </c>
      <c r="G93" s="516">
        <v>31098.43</v>
      </c>
      <c r="H93" s="516">
        <v>270</v>
      </c>
      <c r="I93" s="517"/>
      <c r="J93" s="516">
        <v>0</v>
      </c>
      <c r="K93" s="516">
        <v>0</v>
      </c>
      <c r="L93" s="516">
        <v>0</v>
      </c>
      <c r="M93" s="517"/>
      <c r="N93" s="342">
        <v>27</v>
      </c>
      <c r="O93" s="518">
        <v>31098.43</v>
      </c>
      <c r="P93" s="518">
        <v>270</v>
      </c>
      <c r="Q93" s="519"/>
      <c r="R93" s="516">
        <v>0</v>
      </c>
      <c r="S93" s="516">
        <v>0</v>
      </c>
      <c r="T93" s="516">
        <v>0</v>
      </c>
      <c r="U93" s="517"/>
      <c r="V93" s="342">
        <v>27</v>
      </c>
      <c r="W93" s="518">
        <v>31098.43</v>
      </c>
    </row>
    <row r="94" spans="1:23" x14ac:dyDescent="0.25">
      <c r="A94" s="515">
        <v>89</v>
      </c>
      <c r="B94" t="s">
        <v>122</v>
      </c>
      <c r="C94" s="308" t="s">
        <v>39</v>
      </c>
      <c r="D94" s="308" t="s">
        <v>16</v>
      </c>
      <c r="F94" s="516">
        <v>65</v>
      </c>
      <c r="G94" s="516">
        <v>82467.25</v>
      </c>
      <c r="H94" s="516">
        <v>520</v>
      </c>
      <c r="I94" s="517"/>
      <c r="J94" s="516">
        <v>0</v>
      </c>
      <c r="K94" s="516">
        <v>0</v>
      </c>
      <c r="L94" s="516">
        <v>0</v>
      </c>
      <c r="M94" s="517"/>
      <c r="N94" s="342">
        <v>65</v>
      </c>
      <c r="O94" s="518">
        <v>82467.25</v>
      </c>
      <c r="P94" s="518">
        <v>520</v>
      </c>
      <c r="Q94" s="519"/>
      <c r="R94" s="516">
        <v>0</v>
      </c>
      <c r="S94" s="516">
        <v>0</v>
      </c>
      <c r="T94" s="516">
        <v>0</v>
      </c>
      <c r="U94" s="517"/>
      <c r="V94" s="342">
        <v>65</v>
      </c>
      <c r="W94" s="518">
        <v>82467.25</v>
      </c>
    </row>
    <row r="95" spans="1:23" x14ac:dyDescent="0.25">
      <c r="A95" s="515">
        <v>90</v>
      </c>
      <c r="B95" t="s">
        <v>123</v>
      </c>
      <c r="C95" s="308" t="s">
        <v>18</v>
      </c>
      <c r="D95" s="308" t="s">
        <v>16</v>
      </c>
      <c r="F95" s="516">
        <v>12</v>
      </c>
      <c r="G95" s="516">
        <v>144139</v>
      </c>
      <c r="H95" s="516">
        <v>120</v>
      </c>
      <c r="I95" s="517"/>
      <c r="J95" s="516">
        <v>0</v>
      </c>
      <c r="K95" s="516">
        <v>0</v>
      </c>
      <c r="L95" s="516">
        <v>0</v>
      </c>
      <c r="M95" s="517"/>
      <c r="N95" s="342">
        <v>12</v>
      </c>
      <c r="O95" s="518">
        <v>144139</v>
      </c>
      <c r="P95" s="518">
        <v>120</v>
      </c>
      <c r="Q95" s="519"/>
      <c r="R95" s="516">
        <v>0</v>
      </c>
      <c r="S95" s="516">
        <v>0</v>
      </c>
      <c r="T95" s="516">
        <v>0</v>
      </c>
      <c r="U95" s="517"/>
      <c r="V95" s="342">
        <v>12</v>
      </c>
      <c r="W95" s="518">
        <v>144139</v>
      </c>
    </row>
    <row r="96" spans="1:23" x14ac:dyDescent="0.25">
      <c r="A96" s="515">
        <v>91</v>
      </c>
      <c r="B96" t="s">
        <v>124</v>
      </c>
      <c r="C96" s="308" t="s">
        <v>18</v>
      </c>
      <c r="D96" s="308" t="s">
        <v>20</v>
      </c>
      <c r="F96" s="516">
        <v>2</v>
      </c>
      <c r="G96" s="516">
        <v>2656</v>
      </c>
      <c r="H96" s="516">
        <v>20</v>
      </c>
      <c r="I96" s="517"/>
      <c r="J96" s="516">
        <v>0</v>
      </c>
      <c r="K96" s="516">
        <v>0</v>
      </c>
      <c r="L96" s="516">
        <v>0</v>
      </c>
      <c r="M96" s="517"/>
      <c r="N96" s="342">
        <v>2</v>
      </c>
      <c r="O96" s="518">
        <v>2656</v>
      </c>
      <c r="P96" s="518">
        <v>20</v>
      </c>
      <c r="Q96" s="519"/>
      <c r="R96" s="516">
        <v>0</v>
      </c>
      <c r="S96" s="516">
        <v>0</v>
      </c>
      <c r="T96" s="516">
        <v>0</v>
      </c>
      <c r="U96" s="517"/>
      <c r="V96" s="342">
        <v>2</v>
      </c>
      <c r="W96" s="518">
        <v>2656</v>
      </c>
    </row>
    <row r="97" spans="1:23" x14ac:dyDescent="0.25">
      <c r="A97" s="515">
        <v>92</v>
      </c>
      <c r="B97" t="s">
        <v>125</v>
      </c>
      <c r="C97" s="308" t="s">
        <v>18</v>
      </c>
      <c r="D97" s="308" t="s">
        <v>20</v>
      </c>
      <c r="F97" s="516">
        <v>2</v>
      </c>
      <c r="G97" s="516">
        <v>2490</v>
      </c>
      <c r="H97" s="516">
        <v>20</v>
      </c>
      <c r="I97" s="517"/>
      <c r="J97" s="516">
        <v>0</v>
      </c>
      <c r="K97" s="516">
        <v>0</v>
      </c>
      <c r="L97" s="516">
        <v>0</v>
      </c>
      <c r="M97" s="517"/>
      <c r="N97" s="342">
        <v>2</v>
      </c>
      <c r="O97" s="518">
        <v>2490</v>
      </c>
      <c r="P97" s="518">
        <v>20</v>
      </c>
      <c r="Q97" s="519"/>
      <c r="R97" s="516">
        <v>0</v>
      </c>
      <c r="S97" s="516">
        <v>0</v>
      </c>
      <c r="T97" s="516">
        <v>0</v>
      </c>
      <c r="U97" s="517"/>
      <c r="V97" s="342">
        <v>2</v>
      </c>
      <c r="W97" s="518">
        <v>2490</v>
      </c>
    </row>
    <row r="98" spans="1:23" x14ac:dyDescent="0.25">
      <c r="A98" s="515">
        <v>93</v>
      </c>
      <c r="B98" t="s">
        <v>126</v>
      </c>
      <c r="C98" s="308" t="s">
        <v>39</v>
      </c>
      <c r="D98" s="308" t="s">
        <v>16</v>
      </c>
      <c r="F98" s="516">
        <v>45</v>
      </c>
      <c r="G98" s="516">
        <v>128808</v>
      </c>
      <c r="H98" s="516">
        <v>855</v>
      </c>
      <c r="I98" s="517"/>
      <c r="J98" s="516">
        <v>0</v>
      </c>
      <c r="K98" s="516">
        <v>0</v>
      </c>
      <c r="L98" s="516">
        <v>0</v>
      </c>
      <c r="M98" s="517"/>
      <c r="N98" s="342">
        <v>45</v>
      </c>
      <c r="O98" s="518">
        <v>128808</v>
      </c>
      <c r="P98" s="518">
        <v>855</v>
      </c>
      <c r="Q98" s="519"/>
      <c r="R98" s="516">
        <v>0</v>
      </c>
      <c r="S98" s="516">
        <v>0</v>
      </c>
      <c r="T98" s="516">
        <v>0</v>
      </c>
      <c r="U98" s="517"/>
      <c r="V98" s="342">
        <v>45</v>
      </c>
      <c r="W98" s="518">
        <v>128808</v>
      </c>
    </row>
    <row r="99" spans="1:23" x14ac:dyDescent="0.25">
      <c r="A99" s="515">
        <v>94</v>
      </c>
      <c r="B99" t="s">
        <v>127</v>
      </c>
      <c r="C99" s="308" t="s">
        <v>15</v>
      </c>
      <c r="D99" s="308" t="s">
        <v>16</v>
      </c>
      <c r="F99" s="516">
        <v>1</v>
      </c>
      <c r="G99" s="516">
        <v>1500</v>
      </c>
      <c r="H99" s="516">
        <v>15</v>
      </c>
      <c r="I99" s="517"/>
      <c r="J99" s="516">
        <v>0</v>
      </c>
      <c r="K99" s="516">
        <v>0</v>
      </c>
      <c r="L99" s="516">
        <v>0</v>
      </c>
      <c r="M99" s="517"/>
      <c r="N99" s="342">
        <v>1</v>
      </c>
      <c r="O99" s="518">
        <v>1500</v>
      </c>
      <c r="P99" s="518">
        <v>15</v>
      </c>
      <c r="Q99" s="519"/>
      <c r="R99" s="516">
        <v>0</v>
      </c>
      <c r="S99" s="516">
        <v>0</v>
      </c>
      <c r="T99" s="516">
        <v>0</v>
      </c>
      <c r="U99" s="517"/>
      <c r="V99" s="342">
        <v>1</v>
      </c>
      <c r="W99" s="518">
        <v>1500</v>
      </c>
    </row>
    <row r="100" spans="1:23" x14ac:dyDescent="0.25">
      <c r="A100" s="515">
        <v>95</v>
      </c>
      <c r="B100" t="s">
        <v>128</v>
      </c>
      <c r="C100" s="308" t="s">
        <v>25</v>
      </c>
      <c r="D100" s="308" t="s">
        <v>45</v>
      </c>
      <c r="F100" s="516">
        <v>0</v>
      </c>
      <c r="G100" s="516">
        <v>0</v>
      </c>
      <c r="H100" s="516">
        <v>0</v>
      </c>
      <c r="I100" s="517"/>
      <c r="J100" s="516">
        <v>0</v>
      </c>
      <c r="K100" s="516">
        <v>0</v>
      </c>
      <c r="L100" s="516">
        <v>0</v>
      </c>
      <c r="M100" s="517"/>
      <c r="N100" s="342">
        <v>0</v>
      </c>
      <c r="O100" s="518">
        <v>0</v>
      </c>
      <c r="P100" s="518">
        <v>0</v>
      </c>
      <c r="Q100" s="519"/>
      <c r="R100" s="516">
        <v>0</v>
      </c>
      <c r="S100" s="516">
        <v>0</v>
      </c>
      <c r="T100" s="516">
        <v>0</v>
      </c>
      <c r="U100" s="517"/>
      <c r="V100" s="342">
        <v>0</v>
      </c>
      <c r="W100" s="518">
        <v>0</v>
      </c>
    </row>
    <row r="101" spans="1:23" x14ac:dyDescent="0.25">
      <c r="A101" s="515">
        <v>96</v>
      </c>
      <c r="B101" t="s">
        <v>2419</v>
      </c>
      <c r="C101" s="308" t="s">
        <v>135</v>
      </c>
      <c r="D101" s="308" t="s">
        <v>16</v>
      </c>
      <c r="F101" s="516">
        <v>8</v>
      </c>
      <c r="G101" s="516">
        <v>12976.16</v>
      </c>
      <c r="H101" s="516">
        <v>80</v>
      </c>
      <c r="I101" s="517"/>
      <c r="J101" s="516">
        <v>0</v>
      </c>
      <c r="K101" s="516">
        <v>0</v>
      </c>
      <c r="L101" s="516">
        <v>0</v>
      </c>
      <c r="M101" s="517"/>
      <c r="N101" s="342">
        <v>8</v>
      </c>
      <c r="O101" s="518">
        <v>12976.16</v>
      </c>
      <c r="P101" s="518">
        <v>80</v>
      </c>
      <c r="Q101" s="519"/>
      <c r="R101" s="516">
        <v>0</v>
      </c>
      <c r="S101" s="516">
        <v>0</v>
      </c>
      <c r="T101" s="516">
        <v>0</v>
      </c>
      <c r="U101" s="517"/>
      <c r="V101" s="342">
        <v>8</v>
      </c>
      <c r="W101" s="518">
        <v>12976.16</v>
      </c>
    </row>
    <row r="102" spans="1:23" x14ac:dyDescent="0.25">
      <c r="A102" s="515">
        <v>97</v>
      </c>
      <c r="B102" t="s">
        <v>129</v>
      </c>
      <c r="C102" s="308" t="s">
        <v>25</v>
      </c>
      <c r="D102" s="308" t="s">
        <v>16</v>
      </c>
      <c r="F102" s="516">
        <v>18</v>
      </c>
      <c r="G102" s="516">
        <v>235852.09</v>
      </c>
      <c r="H102" s="516">
        <v>450</v>
      </c>
      <c r="I102" s="517"/>
      <c r="J102" s="516">
        <v>0</v>
      </c>
      <c r="K102" s="516">
        <v>0</v>
      </c>
      <c r="L102" s="516">
        <v>0</v>
      </c>
      <c r="M102" s="517"/>
      <c r="N102" s="342">
        <v>18</v>
      </c>
      <c r="O102" s="518">
        <v>235852.09</v>
      </c>
      <c r="P102" s="518">
        <v>450</v>
      </c>
      <c r="Q102" s="519"/>
      <c r="R102" s="516">
        <v>0</v>
      </c>
      <c r="S102" s="516">
        <v>0</v>
      </c>
      <c r="T102" s="516">
        <v>0</v>
      </c>
      <c r="U102" s="517"/>
      <c r="V102" s="342">
        <v>18</v>
      </c>
      <c r="W102" s="518">
        <v>235852.09</v>
      </c>
    </row>
    <row r="103" spans="1:23" x14ac:dyDescent="0.25">
      <c r="A103" s="515">
        <v>98</v>
      </c>
      <c r="B103" t="s">
        <v>130</v>
      </c>
      <c r="C103" s="308" t="s">
        <v>27</v>
      </c>
      <c r="D103" s="308" t="s">
        <v>16</v>
      </c>
      <c r="F103" s="516">
        <v>0</v>
      </c>
      <c r="G103" s="516">
        <v>0</v>
      </c>
      <c r="H103" s="516">
        <v>0</v>
      </c>
      <c r="I103" s="517"/>
      <c r="J103" s="516">
        <v>0</v>
      </c>
      <c r="K103" s="516">
        <v>0</v>
      </c>
      <c r="L103" s="516">
        <v>0</v>
      </c>
      <c r="M103" s="517"/>
      <c r="N103" s="342">
        <v>0</v>
      </c>
      <c r="O103" s="518">
        <v>0</v>
      </c>
      <c r="P103" s="518">
        <v>0</v>
      </c>
      <c r="Q103" s="519"/>
      <c r="R103" s="516">
        <v>0</v>
      </c>
      <c r="S103" s="516">
        <v>0</v>
      </c>
      <c r="T103" s="516">
        <v>0</v>
      </c>
      <c r="U103" s="517"/>
      <c r="V103" s="342">
        <v>0</v>
      </c>
      <c r="W103" s="518">
        <v>0</v>
      </c>
    </row>
    <row r="104" spans="1:23" x14ac:dyDescent="0.25">
      <c r="A104" s="515">
        <v>99</v>
      </c>
      <c r="B104" t="s">
        <v>131</v>
      </c>
      <c r="C104" s="308" t="s">
        <v>98</v>
      </c>
      <c r="D104" s="308" t="s">
        <v>20</v>
      </c>
      <c r="F104" s="516">
        <v>67</v>
      </c>
      <c r="G104" s="516">
        <v>631761.5</v>
      </c>
      <c r="H104" s="516">
        <v>2010</v>
      </c>
      <c r="I104" s="517"/>
      <c r="J104" s="516">
        <v>0</v>
      </c>
      <c r="K104" s="516">
        <v>0</v>
      </c>
      <c r="L104" s="516">
        <v>0</v>
      </c>
      <c r="M104" s="517"/>
      <c r="N104" s="342">
        <v>67</v>
      </c>
      <c r="O104" s="518">
        <v>631761.5</v>
      </c>
      <c r="P104" s="518">
        <v>2010</v>
      </c>
      <c r="Q104" s="519"/>
      <c r="R104" s="516">
        <v>0</v>
      </c>
      <c r="S104" s="516">
        <v>0</v>
      </c>
      <c r="T104" s="516">
        <v>0</v>
      </c>
      <c r="U104" s="517"/>
      <c r="V104" s="342">
        <v>67</v>
      </c>
      <c r="W104" s="518">
        <v>631761.5</v>
      </c>
    </row>
    <row r="105" spans="1:23" x14ac:dyDescent="0.25">
      <c r="A105" s="515">
        <v>100</v>
      </c>
      <c r="B105" t="s">
        <v>132</v>
      </c>
      <c r="C105" s="308" t="s">
        <v>25</v>
      </c>
      <c r="D105" s="308" t="s">
        <v>16</v>
      </c>
      <c r="F105" s="520">
        <v>0</v>
      </c>
      <c r="G105" s="520">
        <v>0</v>
      </c>
      <c r="H105" s="520">
        <v>0</v>
      </c>
      <c r="I105" s="517"/>
      <c r="J105" s="516">
        <v>0</v>
      </c>
      <c r="K105" s="516">
        <v>0</v>
      </c>
      <c r="L105" s="516">
        <v>0</v>
      </c>
      <c r="M105" s="517"/>
      <c r="N105" s="342">
        <v>0</v>
      </c>
      <c r="O105" s="518">
        <v>0</v>
      </c>
      <c r="P105" s="518">
        <v>0</v>
      </c>
      <c r="Q105" s="519"/>
      <c r="R105" s="516">
        <v>0</v>
      </c>
      <c r="S105" s="516">
        <v>0</v>
      </c>
      <c r="T105" s="516">
        <v>0</v>
      </c>
      <c r="U105" s="517"/>
      <c r="V105" s="342">
        <v>0</v>
      </c>
      <c r="W105" s="518">
        <v>0</v>
      </c>
    </row>
    <row r="106" spans="1:23" x14ac:dyDescent="0.25">
      <c r="A106" s="515">
        <v>101</v>
      </c>
      <c r="B106" t="s">
        <v>2141</v>
      </c>
      <c r="C106" s="308" t="s">
        <v>18</v>
      </c>
      <c r="D106" s="308" t="s">
        <v>16</v>
      </c>
      <c r="F106" s="516">
        <v>0</v>
      </c>
      <c r="G106" s="516">
        <v>0</v>
      </c>
      <c r="H106" s="516">
        <v>0</v>
      </c>
      <c r="I106" s="517"/>
      <c r="J106" s="516">
        <v>0</v>
      </c>
      <c r="K106" s="516">
        <v>0</v>
      </c>
      <c r="L106" s="516">
        <v>0</v>
      </c>
      <c r="M106" s="517"/>
      <c r="N106" s="342">
        <v>0</v>
      </c>
      <c r="O106" s="518">
        <v>0</v>
      </c>
      <c r="P106" s="518">
        <v>0</v>
      </c>
      <c r="Q106" s="519"/>
      <c r="R106" s="516">
        <v>0</v>
      </c>
      <c r="S106" s="516">
        <v>0</v>
      </c>
      <c r="T106" s="516">
        <v>0</v>
      </c>
      <c r="U106" s="517"/>
      <c r="V106" s="342">
        <v>0</v>
      </c>
      <c r="W106" s="518">
        <v>0</v>
      </c>
    </row>
    <row r="107" spans="1:23" x14ac:dyDescent="0.25">
      <c r="A107" s="515">
        <v>102</v>
      </c>
      <c r="B107" t="s">
        <v>133</v>
      </c>
      <c r="C107" s="308" t="s">
        <v>51</v>
      </c>
      <c r="D107" s="308" t="s">
        <v>16</v>
      </c>
      <c r="F107" s="516">
        <v>1</v>
      </c>
      <c r="G107" s="516">
        <v>2975</v>
      </c>
      <c r="H107" s="516">
        <v>20</v>
      </c>
      <c r="I107" s="517"/>
      <c r="J107" s="516">
        <v>0</v>
      </c>
      <c r="K107" s="516">
        <v>0</v>
      </c>
      <c r="L107" s="516">
        <v>0</v>
      </c>
      <c r="M107" s="517"/>
      <c r="N107" s="342">
        <v>1</v>
      </c>
      <c r="O107" s="518">
        <v>2975</v>
      </c>
      <c r="P107" s="518">
        <v>20</v>
      </c>
      <c r="Q107" s="519"/>
      <c r="R107" s="516">
        <v>0</v>
      </c>
      <c r="S107" s="516">
        <v>0</v>
      </c>
      <c r="T107" s="516">
        <v>0</v>
      </c>
      <c r="U107" s="517"/>
      <c r="V107" s="342">
        <v>1</v>
      </c>
      <c r="W107" s="518">
        <v>2975</v>
      </c>
    </row>
    <row r="108" spans="1:23" x14ac:dyDescent="0.25">
      <c r="A108" s="515">
        <v>103</v>
      </c>
      <c r="B108" t="s">
        <v>134</v>
      </c>
      <c r="C108" s="308" t="s">
        <v>135</v>
      </c>
      <c r="D108" s="308" t="s">
        <v>16</v>
      </c>
      <c r="F108" s="516">
        <v>1</v>
      </c>
      <c r="G108" s="516">
        <v>1738.4</v>
      </c>
      <c r="H108" s="516">
        <v>20</v>
      </c>
      <c r="I108" s="517"/>
      <c r="J108" s="516">
        <v>0</v>
      </c>
      <c r="K108" s="516">
        <v>0</v>
      </c>
      <c r="L108" s="516">
        <v>0</v>
      </c>
      <c r="M108" s="517"/>
      <c r="N108" s="342">
        <v>1</v>
      </c>
      <c r="O108" s="518">
        <v>1738.4</v>
      </c>
      <c r="P108" s="518">
        <v>20</v>
      </c>
      <c r="Q108" s="519"/>
      <c r="R108" s="516">
        <v>0</v>
      </c>
      <c r="S108" s="516">
        <v>0</v>
      </c>
      <c r="T108" s="516">
        <v>0</v>
      </c>
      <c r="U108" s="517"/>
      <c r="V108" s="342">
        <v>1</v>
      </c>
      <c r="W108" s="518">
        <v>1738.4</v>
      </c>
    </row>
    <row r="109" spans="1:23" x14ac:dyDescent="0.25">
      <c r="A109" s="515">
        <v>104</v>
      </c>
      <c r="B109" t="s">
        <v>137</v>
      </c>
      <c r="C109" s="308" t="s">
        <v>15</v>
      </c>
      <c r="D109" s="308" t="s">
        <v>16</v>
      </c>
      <c r="F109" s="516">
        <v>1</v>
      </c>
      <c r="G109" s="516">
        <v>3000</v>
      </c>
      <c r="H109" s="516">
        <v>25</v>
      </c>
      <c r="I109" s="517"/>
      <c r="J109" s="516">
        <v>0</v>
      </c>
      <c r="K109" s="516">
        <v>0</v>
      </c>
      <c r="L109" s="516">
        <v>0</v>
      </c>
      <c r="M109" s="517"/>
      <c r="N109" s="342">
        <v>1</v>
      </c>
      <c r="O109" s="518">
        <v>3000</v>
      </c>
      <c r="P109" s="518">
        <v>25</v>
      </c>
      <c r="Q109" s="519"/>
      <c r="R109" s="516">
        <v>0</v>
      </c>
      <c r="S109" s="516">
        <v>0</v>
      </c>
      <c r="T109" s="516">
        <v>0</v>
      </c>
      <c r="U109" s="517"/>
      <c r="V109" s="342">
        <v>1</v>
      </c>
      <c r="W109" s="518">
        <v>3000</v>
      </c>
    </row>
    <row r="110" spans="1:23" x14ac:dyDescent="0.25">
      <c r="A110" s="515">
        <v>105</v>
      </c>
      <c r="B110" t="s">
        <v>138</v>
      </c>
      <c r="C110" s="308" t="s">
        <v>15</v>
      </c>
      <c r="D110" s="308" t="s">
        <v>16</v>
      </c>
      <c r="F110" s="516">
        <v>0</v>
      </c>
      <c r="G110" s="516">
        <v>0</v>
      </c>
      <c r="H110" s="516">
        <v>0</v>
      </c>
      <c r="I110" s="517"/>
      <c r="J110" s="516">
        <v>0</v>
      </c>
      <c r="K110" s="516">
        <v>0</v>
      </c>
      <c r="L110" s="516">
        <v>0</v>
      </c>
      <c r="M110" s="517"/>
      <c r="N110" s="342">
        <v>0</v>
      </c>
      <c r="O110" s="518">
        <v>0</v>
      </c>
      <c r="P110" s="518">
        <v>0</v>
      </c>
      <c r="Q110" s="519"/>
      <c r="R110" s="516">
        <v>0</v>
      </c>
      <c r="S110" s="516">
        <v>0</v>
      </c>
      <c r="T110" s="516">
        <v>0</v>
      </c>
      <c r="U110" s="517"/>
      <c r="V110" s="342">
        <v>0</v>
      </c>
      <c r="W110" s="518">
        <v>0</v>
      </c>
    </row>
    <row r="111" spans="1:23" x14ac:dyDescent="0.25">
      <c r="A111" s="515">
        <v>106</v>
      </c>
      <c r="B111" t="s">
        <v>139</v>
      </c>
      <c r="C111" s="308" t="s">
        <v>15</v>
      </c>
      <c r="D111" s="308" t="s">
        <v>16</v>
      </c>
      <c r="F111" s="516">
        <v>4</v>
      </c>
      <c r="G111" s="516">
        <v>45515</v>
      </c>
      <c r="H111" s="516">
        <v>100</v>
      </c>
      <c r="I111" s="517"/>
      <c r="J111" s="516">
        <v>0</v>
      </c>
      <c r="K111" s="516">
        <v>0</v>
      </c>
      <c r="L111" s="516">
        <v>0</v>
      </c>
      <c r="M111" s="517"/>
      <c r="N111" s="342">
        <v>4</v>
      </c>
      <c r="O111" s="518">
        <v>45515</v>
      </c>
      <c r="P111" s="518">
        <v>100</v>
      </c>
      <c r="Q111" s="519"/>
      <c r="R111" s="516">
        <v>0</v>
      </c>
      <c r="S111" s="516">
        <v>0</v>
      </c>
      <c r="T111" s="516">
        <v>0</v>
      </c>
      <c r="U111" s="517"/>
      <c r="V111" s="342">
        <v>4</v>
      </c>
      <c r="W111" s="518">
        <v>45515</v>
      </c>
    </row>
    <row r="112" spans="1:23" x14ac:dyDescent="0.25">
      <c r="A112" s="515">
        <v>107</v>
      </c>
      <c r="B112" t="s">
        <v>140</v>
      </c>
      <c r="C112" s="308" t="s">
        <v>141</v>
      </c>
      <c r="D112" s="308" t="s">
        <v>16</v>
      </c>
      <c r="F112" s="516">
        <v>0</v>
      </c>
      <c r="G112" s="516">
        <v>0</v>
      </c>
      <c r="H112" s="516">
        <v>0</v>
      </c>
      <c r="I112" s="517"/>
      <c r="J112" s="516">
        <v>0</v>
      </c>
      <c r="K112" s="516">
        <v>0</v>
      </c>
      <c r="L112" s="516">
        <v>0</v>
      </c>
      <c r="M112" s="517"/>
      <c r="N112" s="342">
        <v>0</v>
      </c>
      <c r="O112" s="518">
        <v>0</v>
      </c>
      <c r="P112" s="518">
        <v>0</v>
      </c>
      <c r="Q112" s="519"/>
      <c r="R112" s="516">
        <v>0</v>
      </c>
      <c r="S112" s="516">
        <v>0</v>
      </c>
      <c r="T112" s="516">
        <v>0</v>
      </c>
      <c r="U112" s="517"/>
      <c r="V112" s="342">
        <v>0</v>
      </c>
      <c r="W112" s="518">
        <v>0</v>
      </c>
    </row>
    <row r="113" spans="1:23" x14ac:dyDescent="0.25">
      <c r="A113" s="515">
        <v>108</v>
      </c>
      <c r="B113" t="s">
        <v>142</v>
      </c>
      <c r="C113" s="308"/>
      <c r="D113" s="308" t="s">
        <v>16</v>
      </c>
      <c r="F113" s="516">
        <v>0</v>
      </c>
      <c r="G113" s="516">
        <v>0</v>
      </c>
      <c r="H113" s="516">
        <v>0</v>
      </c>
      <c r="I113" s="517"/>
      <c r="J113" s="516">
        <v>0</v>
      </c>
      <c r="K113" s="516">
        <v>0</v>
      </c>
      <c r="L113" s="516">
        <v>0</v>
      </c>
      <c r="M113" s="517"/>
      <c r="N113" s="342">
        <v>0</v>
      </c>
      <c r="O113" s="518">
        <v>0</v>
      </c>
      <c r="P113" s="518">
        <v>0</v>
      </c>
      <c r="Q113" s="519"/>
      <c r="R113" s="516">
        <v>0</v>
      </c>
      <c r="S113" s="516">
        <v>0</v>
      </c>
      <c r="T113" s="516">
        <v>0</v>
      </c>
      <c r="U113" s="517"/>
      <c r="V113" s="342">
        <v>0</v>
      </c>
      <c r="W113" s="518">
        <v>0</v>
      </c>
    </row>
    <row r="114" spans="1:23" x14ac:dyDescent="0.25">
      <c r="A114" s="515">
        <v>109</v>
      </c>
      <c r="B114" t="s">
        <v>143</v>
      </c>
      <c r="C114" s="308" t="s">
        <v>25</v>
      </c>
      <c r="D114" s="308" t="s">
        <v>16</v>
      </c>
      <c r="F114" s="516">
        <v>7</v>
      </c>
      <c r="G114" s="516">
        <v>3823</v>
      </c>
      <c r="H114" s="516">
        <v>70</v>
      </c>
      <c r="I114" s="517"/>
      <c r="J114" s="516">
        <v>0</v>
      </c>
      <c r="K114" s="516">
        <v>0</v>
      </c>
      <c r="L114" s="516">
        <v>0</v>
      </c>
      <c r="M114" s="517"/>
      <c r="N114" s="342">
        <v>7</v>
      </c>
      <c r="O114" s="518">
        <v>3823</v>
      </c>
      <c r="P114" s="518">
        <v>70</v>
      </c>
      <c r="Q114" s="519"/>
      <c r="R114" s="516">
        <v>0</v>
      </c>
      <c r="S114" s="516">
        <v>0</v>
      </c>
      <c r="T114" s="516">
        <v>0</v>
      </c>
      <c r="U114" s="517"/>
      <c r="V114" s="342">
        <v>7</v>
      </c>
      <c r="W114" s="518">
        <v>3823</v>
      </c>
    </row>
    <row r="115" spans="1:23" x14ac:dyDescent="0.25">
      <c r="A115" s="515">
        <v>110</v>
      </c>
      <c r="B115" t="s">
        <v>2420</v>
      </c>
      <c r="C115" s="308" t="s">
        <v>92</v>
      </c>
      <c r="D115" s="308" t="s">
        <v>20</v>
      </c>
      <c r="F115" s="516">
        <v>0</v>
      </c>
      <c r="G115" s="516">
        <v>0</v>
      </c>
      <c r="H115" s="516">
        <v>0</v>
      </c>
      <c r="I115" s="517"/>
      <c r="J115" s="516">
        <v>0</v>
      </c>
      <c r="K115" s="516">
        <v>0</v>
      </c>
      <c r="L115" s="516">
        <v>0</v>
      </c>
      <c r="M115" s="517"/>
      <c r="N115" s="342">
        <v>0</v>
      </c>
      <c r="O115" s="518">
        <v>0</v>
      </c>
      <c r="P115" s="518">
        <v>0</v>
      </c>
      <c r="Q115" s="519"/>
      <c r="R115" s="516">
        <v>0</v>
      </c>
      <c r="S115" s="516">
        <v>0</v>
      </c>
      <c r="T115" s="516">
        <v>0</v>
      </c>
      <c r="U115" s="517"/>
      <c r="V115" s="342">
        <v>0</v>
      </c>
      <c r="W115" s="518">
        <v>0</v>
      </c>
    </row>
    <row r="116" spans="1:23" x14ac:dyDescent="0.25">
      <c r="A116" s="515">
        <v>111</v>
      </c>
      <c r="B116" t="s">
        <v>2993</v>
      </c>
      <c r="C116" s="308" t="s">
        <v>24</v>
      </c>
      <c r="D116" s="308" t="s">
        <v>20</v>
      </c>
      <c r="F116" s="516">
        <v>63</v>
      </c>
      <c r="G116" s="516">
        <v>1075775</v>
      </c>
      <c r="H116" s="516">
        <v>1895</v>
      </c>
      <c r="I116" s="517"/>
      <c r="J116" s="516">
        <v>0</v>
      </c>
      <c r="K116" s="516">
        <v>0</v>
      </c>
      <c r="L116" s="516">
        <v>0</v>
      </c>
      <c r="M116" s="517"/>
      <c r="N116" s="342">
        <v>63</v>
      </c>
      <c r="O116" s="518">
        <v>1075775</v>
      </c>
      <c r="P116" s="518">
        <v>1895</v>
      </c>
      <c r="Q116" s="519"/>
      <c r="R116" s="516">
        <v>0</v>
      </c>
      <c r="S116" s="516">
        <v>0</v>
      </c>
      <c r="T116" s="516">
        <v>0</v>
      </c>
      <c r="U116" s="517"/>
      <c r="V116" s="342">
        <v>63</v>
      </c>
      <c r="W116" s="518">
        <v>1075775</v>
      </c>
    </row>
    <row r="117" spans="1:23" x14ac:dyDescent="0.25">
      <c r="A117" s="515">
        <v>112</v>
      </c>
      <c r="B117" t="s">
        <v>144</v>
      </c>
      <c r="C117" s="308" t="s">
        <v>15</v>
      </c>
      <c r="D117" s="308" t="s">
        <v>20</v>
      </c>
      <c r="F117" s="516">
        <v>0</v>
      </c>
      <c r="G117" s="516">
        <v>0</v>
      </c>
      <c r="H117" s="516">
        <v>0</v>
      </c>
      <c r="I117" s="517"/>
      <c r="J117" s="516">
        <v>0</v>
      </c>
      <c r="K117" s="516">
        <v>0</v>
      </c>
      <c r="L117" s="516">
        <v>0</v>
      </c>
      <c r="M117" s="517"/>
      <c r="N117" s="342">
        <v>0</v>
      </c>
      <c r="O117" s="518">
        <v>0</v>
      </c>
      <c r="P117" s="518">
        <v>0</v>
      </c>
      <c r="Q117" s="519"/>
      <c r="R117" s="516">
        <v>0</v>
      </c>
      <c r="S117" s="516">
        <v>0</v>
      </c>
      <c r="T117" s="516">
        <v>0</v>
      </c>
      <c r="U117" s="517"/>
      <c r="V117" s="342">
        <v>0</v>
      </c>
      <c r="W117" s="518">
        <v>0</v>
      </c>
    </row>
    <row r="118" spans="1:23" x14ac:dyDescent="0.25">
      <c r="A118" s="515">
        <v>113</v>
      </c>
      <c r="B118" t="s">
        <v>145</v>
      </c>
      <c r="C118" s="308" t="s">
        <v>24</v>
      </c>
      <c r="D118" s="308" t="s">
        <v>87</v>
      </c>
      <c r="F118" s="516">
        <v>289</v>
      </c>
      <c r="G118" s="516">
        <v>4956347.8699999992</v>
      </c>
      <c r="H118" s="516">
        <v>11760</v>
      </c>
      <c r="I118" s="517"/>
      <c r="J118" s="516">
        <v>0</v>
      </c>
      <c r="K118" s="516">
        <v>0</v>
      </c>
      <c r="L118" s="516">
        <v>0</v>
      </c>
      <c r="M118" s="517"/>
      <c r="N118" s="342">
        <v>289</v>
      </c>
      <c r="O118" s="518">
        <v>4956347.8699999992</v>
      </c>
      <c r="P118" s="518">
        <v>11760</v>
      </c>
      <c r="Q118" s="519"/>
      <c r="R118" s="516">
        <v>0</v>
      </c>
      <c r="S118" s="516">
        <v>0</v>
      </c>
      <c r="T118" s="516">
        <v>0</v>
      </c>
      <c r="U118" s="517"/>
      <c r="V118" s="342">
        <v>289</v>
      </c>
      <c r="W118" s="518">
        <v>4956347.8699999992</v>
      </c>
    </row>
    <row r="119" spans="1:23" x14ac:dyDescent="0.25">
      <c r="A119" s="515">
        <v>114</v>
      </c>
      <c r="B119" t="s">
        <v>146</v>
      </c>
      <c r="C119" s="308" t="s">
        <v>15</v>
      </c>
      <c r="D119" s="308" t="s">
        <v>45</v>
      </c>
      <c r="F119" s="516">
        <v>2723</v>
      </c>
      <c r="G119" s="516">
        <v>5547497.0200000051</v>
      </c>
      <c r="H119" s="516">
        <v>15314</v>
      </c>
      <c r="I119" s="517"/>
      <c r="J119" s="516">
        <v>0</v>
      </c>
      <c r="K119" s="516">
        <v>0</v>
      </c>
      <c r="L119" s="516">
        <v>0</v>
      </c>
      <c r="M119" s="517"/>
      <c r="N119" s="342">
        <v>2723</v>
      </c>
      <c r="O119" s="518">
        <v>5547497.0200000051</v>
      </c>
      <c r="P119" s="518">
        <v>15314</v>
      </c>
      <c r="Q119" s="519"/>
      <c r="R119" s="516">
        <v>0</v>
      </c>
      <c r="S119" s="516">
        <v>0</v>
      </c>
      <c r="T119" s="516">
        <v>0</v>
      </c>
      <c r="U119" s="517"/>
      <c r="V119" s="342">
        <v>2723</v>
      </c>
      <c r="W119" s="518">
        <v>5547497.0200000051</v>
      </c>
    </row>
    <row r="120" spans="1:23" x14ac:dyDescent="0.25">
      <c r="A120" s="515">
        <v>115</v>
      </c>
      <c r="B120" t="s">
        <v>147</v>
      </c>
      <c r="C120" s="308" t="s">
        <v>148</v>
      </c>
      <c r="D120" s="308" t="s">
        <v>45</v>
      </c>
      <c r="F120" s="516">
        <v>765</v>
      </c>
      <c r="G120" s="516">
        <v>4175452.5000000014</v>
      </c>
      <c r="H120" s="516">
        <v>38250</v>
      </c>
      <c r="I120" s="517"/>
      <c r="J120" s="516">
        <v>0</v>
      </c>
      <c r="K120" s="516">
        <v>0</v>
      </c>
      <c r="L120" s="516">
        <v>0</v>
      </c>
      <c r="M120" s="517"/>
      <c r="N120" s="342">
        <v>765</v>
      </c>
      <c r="O120" s="518">
        <v>4175452.5000000014</v>
      </c>
      <c r="P120" s="518">
        <v>38250</v>
      </c>
      <c r="Q120" s="519"/>
      <c r="R120" s="516">
        <v>0</v>
      </c>
      <c r="S120" s="516">
        <v>0</v>
      </c>
      <c r="T120" s="516">
        <v>0</v>
      </c>
      <c r="U120" s="517"/>
      <c r="V120" s="342">
        <v>765</v>
      </c>
      <c r="W120" s="518">
        <v>4175452.5000000014</v>
      </c>
    </row>
    <row r="121" spans="1:23" x14ac:dyDescent="0.25">
      <c r="A121" s="515">
        <v>116</v>
      </c>
      <c r="B121" t="s">
        <v>149</v>
      </c>
      <c r="C121" s="308" t="s">
        <v>18</v>
      </c>
      <c r="D121" s="308" t="s">
        <v>16</v>
      </c>
      <c r="F121" s="520">
        <v>3</v>
      </c>
      <c r="G121" s="520">
        <v>3647</v>
      </c>
      <c r="H121" s="520">
        <v>50</v>
      </c>
      <c r="I121" s="517"/>
      <c r="J121" s="516">
        <v>0</v>
      </c>
      <c r="K121" s="516">
        <v>0</v>
      </c>
      <c r="L121" s="516">
        <v>0</v>
      </c>
      <c r="M121" s="517"/>
      <c r="N121" s="342">
        <v>3</v>
      </c>
      <c r="O121" s="518">
        <v>3647</v>
      </c>
      <c r="P121" s="518">
        <v>50</v>
      </c>
      <c r="Q121" s="519"/>
      <c r="R121" s="516">
        <v>0</v>
      </c>
      <c r="S121" s="516">
        <v>0</v>
      </c>
      <c r="T121" s="516">
        <v>0</v>
      </c>
      <c r="U121" s="517"/>
      <c r="V121" s="342">
        <v>3</v>
      </c>
      <c r="W121" s="518">
        <v>3647</v>
      </c>
    </row>
    <row r="122" spans="1:23" x14ac:dyDescent="0.25">
      <c r="A122" s="515">
        <v>117</v>
      </c>
      <c r="B122" t="s">
        <v>150</v>
      </c>
      <c r="C122" s="308"/>
      <c r="D122" s="308" t="s">
        <v>16</v>
      </c>
      <c r="F122" s="520">
        <v>0</v>
      </c>
      <c r="G122" s="521">
        <v>0</v>
      </c>
      <c r="H122" s="516">
        <v>0</v>
      </c>
      <c r="I122" s="517"/>
      <c r="J122" s="516">
        <v>0</v>
      </c>
      <c r="K122" s="516">
        <v>0</v>
      </c>
      <c r="L122" s="516">
        <v>0</v>
      </c>
      <c r="M122" s="517"/>
      <c r="N122" s="342">
        <v>0</v>
      </c>
      <c r="O122" s="518">
        <v>0</v>
      </c>
      <c r="P122" s="518">
        <v>0</v>
      </c>
      <c r="Q122" s="519"/>
      <c r="R122" s="516">
        <v>0</v>
      </c>
      <c r="S122" s="516">
        <v>0</v>
      </c>
      <c r="T122" s="516">
        <v>0</v>
      </c>
      <c r="U122" s="517"/>
      <c r="V122" s="342">
        <v>0</v>
      </c>
      <c r="W122" s="518">
        <v>0</v>
      </c>
    </row>
    <row r="123" spans="1:23" x14ac:dyDescent="0.25">
      <c r="A123" s="515">
        <v>118</v>
      </c>
      <c r="B123" t="s">
        <v>151</v>
      </c>
      <c r="C123" s="308" t="s">
        <v>25</v>
      </c>
      <c r="D123" s="308" t="s">
        <v>16</v>
      </c>
      <c r="F123" s="516">
        <v>14</v>
      </c>
      <c r="G123" s="516">
        <v>263278.36</v>
      </c>
      <c r="H123" s="516">
        <v>420</v>
      </c>
      <c r="I123" s="517"/>
      <c r="J123" s="516">
        <v>0</v>
      </c>
      <c r="K123" s="516">
        <v>0</v>
      </c>
      <c r="L123" s="516">
        <v>0</v>
      </c>
      <c r="M123" s="517"/>
      <c r="N123" s="342">
        <v>14</v>
      </c>
      <c r="O123" s="518">
        <v>263278.36</v>
      </c>
      <c r="P123" s="518">
        <v>420</v>
      </c>
      <c r="Q123" s="519"/>
      <c r="R123" s="516">
        <v>0</v>
      </c>
      <c r="S123" s="516">
        <v>0</v>
      </c>
      <c r="T123" s="516">
        <v>0</v>
      </c>
      <c r="U123" s="517"/>
      <c r="V123" s="342">
        <v>14</v>
      </c>
      <c r="W123" s="518">
        <v>263278.36</v>
      </c>
    </row>
    <row r="124" spans="1:23" x14ac:dyDescent="0.25">
      <c r="A124" s="515">
        <v>119</v>
      </c>
      <c r="B124" t="s">
        <v>152</v>
      </c>
      <c r="C124" s="308" t="s">
        <v>18</v>
      </c>
      <c r="D124" s="308" t="s">
        <v>16</v>
      </c>
      <c r="F124" s="516">
        <v>0</v>
      </c>
      <c r="G124" s="516">
        <v>0</v>
      </c>
      <c r="H124" s="516">
        <v>0</v>
      </c>
      <c r="I124" s="517"/>
      <c r="J124" s="516">
        <v>0</v>
      </c>
      <c r="K124" s="516">
        <v>0</v>
      </c>
      <c r="L124" s="516">
        <v>0</v>
      </c>
      <c r="M124" s="517"/>
      <c r="N124" s="342">
        <v>0</v>
      </c>
      <c r="O124" s="518">
        <v>0</v>
      </c>
      <c r="P124" s="518">
        <v>0</v>
      </c>
      <c r="Q124" s="519"/>
      <c r="R124" s="516">
        <v>0</v>
      </c>
      <c r="S124" s="516">
        <v>0</v>
      </c>
      <c r="T124" s="516">
        <v>0</v>
      </c>
      <c r="U124" s="517"/>
      <c r="V124" s="342">
        <v>0</v>
      </c>
      <c r="W124" s="518">
        <v>0</v>
      </c>
    </row>
    <row r="125" spans="1:23" x14ac:dyDescent="0.25">
      <c r="A125" s="515">
        <v>120</v>
      </c>
      <c r="B125" t="s">
        <v>153</v>
      </c>
      <c r="C125" s="308" t="s">
        <v>154</v>
      </c>
      <c r="D125" s="308" t="s">
        <v>16</v>
      </c>
      <c r="F125" s="516">
        <v>0</v>
      </c>
      <c r="G125" s="516">
        <v>0</v>
      </c>
      <c r="H125" s="516">
        <v>0</v>
      </c>
      <c r="I125" s="517"/>
      <c r="J125" s="516">
        <v>0</v>
      </c>
      <c r="K125" s="516">
        <v>0</v>
      </c>
      <c r="L125" s="516">
        <v>0</v>
      </c>
      <c r="M125" s="517"/>
      <c r="N125" s="342">
        <v>0</v>
      </c>
      <c r="O125" s="518">
        <v>0</v>
      </c>
      <c r="P125" s="518">
        <v>0</v>
      </c>
      <c r="Q125" s="519"/>
      <c r="R125" s="516">
        <v>0</v>
      </c>
      <c r="S125" s="516">
        <v>0</v>
      </c>
      <c r="T125" s="516">
        <v>0</v>
      </c>
      <c r="U125" s="517"/>
      <c r="V125" s="342">
        <v>0</v>
      </c>
      <c r="W125" s="518">
        <v>0</v>
      </c>
    </row>
    <row r="126" spans="1:23" x14ac:dyDescent="0.25">
      <c r="A126" s="515">
        <v>121</v>
      </c>
      <c r="B126" t="s">
        <v>155</v>
      </c>
      <c r="C126" s="308" t="s">
        <v>25</v>
      </c>
      <c r="D126" s="308" t="s">
        <v>16</v>
      </c>
      <c r="F126" s="516">
        <v>0</v>
      </c>
      <c r="G126" s="516">
        <v>0</v>
      </c>
      <c r="H126" s="516">
        <v>0</v>
      </c>
      <c r="I126" s="517"/>
      <c r="J126" s="516">
        <v>0</v>
      </c>
      <c r="K126" s="516">
        <v>0</v>
      </c>
      <c r="L126" s="516">
        <v>0</v>
      </c>
      <c r="M126" s="517"/>
      <c r="N126" s="342">
        <v>0</v>
      </c>
      <c r="O126" s="518">
        <v>0</v>
      </c>
      <c r="P126" s="518">
        <v>0</v>
      </c>
      <c r="Q126" s="519"/>
      <c r="R126" s="516">
        <v>0</v>
      </c>
      <c r="S126" s="516">
        <v>0</v>
      </c>
      <c r="T126" s="516">
        <v>0</v>
      </c>
      <c r="U126" s="517"/>
      <c r="V126" s="342">
        <v>0</v>
      </c>
      <c r="W126" s="518">
        <v>0</v>
      </c>
    </row>
    <row r="127" spans="1:23" x14ac:dyDescent="0.25">
      <c r="A127" s="515">
        <v>122</v>
      </c>
      <c r="B127" t="s">
        <v>156</v>
      </c>
      <c r="C127" s="308" t="s">
        <v>18</v>
      </c>
      <c r="D127" s="308" t="s">
        <v>16</v>
      </c>
      <c r="F127" s="516">
        <v>0</v>
      </c>
      <c r="G127" s="516">
        <v>0</v>
      </c>
      <c r="H127" s="516">
        <v>0</v>
      </c>
      <c r="I127" s="517"/>
      <c r="J127" s="516">
        <v>0</v>
      </c>
      <c r="K127" s="516">
        <v>0</v>
      </c>
      <c r="L127" s="516">
        <v>0</v>
      </c>
      <c r="M127" s="517"/>
      <c r="N127" s="342">
        <v>0</v>
      </c>
      <c r="O127" s="518">
        <v>0</v>
      </c>
      <c r="P127" s="518">
        <v>0</v>
      </c>
      <c r="Q127" s="519"/>
      <c r="R127" s="516">
        <v>0</v>
      </c>
      <c r="S127" s="516">
        <v>0</v>
      </c>
      <c r="T127" s="516">
        <v>0</v>
      </c>
      <c r="U127" s="517"/>
      <c r="V127" s="342">
        <v>0</v>
      </c>
      <c r="W127" s="518">
        <v>0</v>
      </c>
    </row>
    <row r="128" spans="1:23" x14ac:dyDescent="0.25">
      <c r="A128" s="515">
        <v>123</v>
      </c>
      <c r="B128" t="s">
        <v>157</v>
      </c>
      <c r="C128" s="308" t="s">
        <v>158</v>
      </c>
      <c r="D128" s="308" t="s">
        <v>16</v>
      </c>
      <c r="F128" s="516">
        <v>17</v>
      </c>
      <c r="G128" s="516">
        <v>31564.19</v>
      </c>
      <c r="H128" s="516">
        <v>680</v>
      </c>
      <c r="I128" s="517"/>
      <c r="J128" s="516">
        <v>0</v>
      </c>
      <c r="K128" s="516">
        <v>0</v>
      </c>
      <c r="L128" s="516">
        <v>0</v>
      </c>
      <c r="M128" s="517"/>
      <c r="N128" s="342">
        <v>17</v>
      </c>
      <c r="O128" s="518">
        <v>31564.19</v>
      </c>
      <c r="P128" s="518">
        <v>680</v>
      </c>
      <c r="Q128" s="519"/>
      <c r="R128" s="516">
        <v>0</v>
      </c>
      <c r="S128" s="516">
        <v>0</v>
      </c>
      <c r="T128" s="516">
        <v>0</v>
      </c>
      <c r="U128" s="517"/>
      <c r="V128" s="342">
        <v>17</v>
      </c>
      <c r="W128" s="518">
        <v>31564.19</v>
      </c>
    </row>
    <row r="129" spans="1:23" x14ac:dyDescent="0.25">
      <c r="A129" s="515">
        <v>124</v>
      </c>
      <c r="B129" t="s">
        <v>159</v>
      </c>
      <c r="C129" s="308" t="s">
        <v>18</v>
      </c>
      <c r="D129" s="308" t="s">
        <v>16</v>
      </c>
      <c r="F129" s="516">
        <v>0</v>
      </c>
      <c r="G129" s="516">
        <v>0</v>
      </c>
      <c r="H129" s="516">
        <v>0</v>
      </c>
      <c r="I129" s="517"/>
      <c r="J129" s="516">
        <v>0</v>
      </c>
      <c r="K129" s="516">
        <v>0</v>
      </c>
      <c r="L129" s="516">
        <v>0</v>
      </c>
      <c r="M129" s="517"/>
      <c r="N129" s="342">
        <v>0</v>
      </c>
      <c r="O129" s="518">
        <v>0</v>
      </c>
      <c r="P129" s="518">
        <v>0</v>
      </c>
      <c r="Q129" s="519"/>
      <c r="R129" s="516">
        <v>0</v>
      </c>
      <c r="S129" s="516">
        <v>0</v>
      </c>
      <c r="T129" s="516">
        <v>0</v>
      </c>
      <c r="U129" s="517"/>
      <c r="V129" s="342">
        <v>0</v>
      </c>
      <c r="W129" s="518">
        <v>0</v>
      </c>
    </row>
    <row r="130" spans="1:23" x14ac:dyDescent="0.25">
      <c r="A130" s="515">
        <v>125</v>
      </c>
      <c r="B130" t="s">
        <v>160</v>
      </c>
      <c r="C130" s="308" t="s">
        <v>18</v>
      </c>
      <c r="D130" s="308" t="s">
        <v>16</v>
      </c>
      <c r="F130" s="516">
        <v>181</v>
      </c>
      <c r="G130" s="516">
        <v>262698.40999999997</v>
      </c>
      <c r="H130" s="516">
        <v>1448</v>
      </c>
      <c r="I130" s="517"/>
      <c r="J130" s="516">
        <v>0</v>
      </c>
      <c r="K130" s="516">
        <v>0</v>
      </c>
      <c r="L130" s="516">
        <v>0</v>
      </c>
      <c r="M130" s="517"/>
      <c r="N130" s="342">
        <v>181</v>
      </c>
      <c r="O130" s="518">
        <v>262698.40999999997</v>
      </c>
      <c r="P130" s="518">
        <v>1448</v>
      </c>
      <c r="Q130" s="519"/>
      <c r="R130" s="516">
        <v>0</v>
      </c>
      <c r="S130" s="516">
        <v>0</v>
      </c>
      <c r="T130" s="516">
        <v>0</v>
      </c>
      <c r="U130" s="517"/>
      <c r="V130" s="342">
        <v>181</v>
      </c>
      <c r="W130" s="518">
        <v>262698.40999999997</v>
      </c>
    </row>
    <row r="131" spans="1:23" x14ac:dyDescent="0.25">
      <c r="A131" s="515">
        <v>126</v>
      </c>
      <c r="B131" t="s">
        <v>161</v>
      </c>
      <c r="C131" s="308" t="s">
        <v>15</v>
      </c>
      <c r="D131" s="308" t="s">
        <v>45</v>
      </c>
      <c r="F131" s="516">
        <v>44</v>
      </c>
      <c r="G131" s="516">
        <v>68979.56</v>
      </c>
      <c r="H131" s="516">
        <v>396</v>
      </c>
      <c r="I131" s="517"/>
      <c r="J131" s="516">
        <v>0</v>
      </c>
      <c r="K131" s="516">
        <v>0</v>
      </c>
      <c r="L131" s="516">
        <v>0</v>
      </c>
      <c r="M131" s="517"/>
      <c r="N131" s="342">
        <v>44</v>
      </c>
      <c r="O131" s="518">
        <v>68979.56</v>
      </c>
      <c r="P131" s="518">
        <v>396</v>
      </c>
      <c r="Q131" s="519"/>
      <c r="R131" s="516">
        <v>0</v>
      </c>
      <c r="S131" s="516">
        <v>0</v>
      </c>
      <c r="T131" s="516">
        <v>0</v>
      </c>
      <c r="U131" s="517"/>
      <c r="V131" s="342">
        <v>44</v>
      </c>
      <c r="W131" s="518">
        <v>68979.56</v>
      </c>
    </row>
    <row r="132" spans="1:23" x14ac:dyDescent="0.25">
      <c r="A132" s="515">
        <v>127</v>
      </c>
      <c r="B132" t="s">
        <v>2421</v>
      </c>
      <c r="C132" s="308" t="s">
        <v>18</v>
      </c>
      <c r="D132" s="308" t="s">
        <v>16</v>
      </c>
      <c r="F132" s="516">
        <v>3</v>
      </c>
      <c r="G132" s="516">
        <v>713009.66999999993</v>
      </c>
      <c r="H132" s="516">
        <v>375</v>
      </c>
      <c r="I132" s="517"/>
      <c r="J132" s="516">
        <v>0</v>
      </c>
      <c r="K132" s="516">
        <v>0</v>
      </c>
      <c r="L132" s="516">
        <v>0</v>
      </c>
      <c r="M132" s="517"/>
      <c r="N132" s="342">
        <v>3</v>
      </c>
      <c r="O132" s="518">
        <v>713009.66999999993</v>
      </c>
      <c r="P132" s="518">
        <v>375</v>
      </c>
      <c r="Q132" s="519"/>
      <c r="R132" s="516">
        <v>0</v>
      </c>
      <c r="S132" s="516">
        <v>0</v>
      </c>
      <c r="T132" s="516">
        <v>0</v>
      </c>
      <c r="U132" s="517"/>
      <c r="V132" s="342">
        <v>3</v>
      </c>
      <c r="W132" s="518">
        <v>713009.66999999993</v>
      </c>
    </row>
    <row r="133" spans="1:23" x14ac:dyDescent="0.25">
      <c r="A133" s="515">
        <v>128</v>
      </c>
      <c r="B133" t="s">
        <v>162</v>
      </c>
      <c r="C133" s="308" t="s">
        <v>92</v>
      </c>
      <c r="D133" s="308" t="s">
        <v>16</v>
      </c>
      <c r="F133" s="516">
        <v>1</v>
      </c>
      <c r="G133" s="516">
        <v>37725</v>
      </c>
      <c r="H133" s="516">
        <v>30</v>
      </c>
      <c r="I133" s="517"/>
      <c r="J133" s="516">
        <v>0</v>
      </c>
      <c r="K133" s="516">
        <v>0</v>
      </c>
      <c r="L133" s="516">
        <v>0</v>
      </c>
      <c r="M133" s="517"/>
      <c r="N133" s="342">
        <v>1</v>
      </c>
      <c r="O133" s="518">
        <v>37725</v>
      </c>
      <c r="P133" s="518">
        <v>30</v>
      </c>
      <c r="Q133" s="519"/>
      <c r="R133" s="516">
        <v>0</v>
      </c>
      <c r="S133" s="516">
        <v>0</v>
      </c>
      <c r="T133" s="516">
        <v>0</v>
      </c>
      <c r="U133" s="517"/>
      <c r="V133" s="342">
        <v>1</v>
      </c>
      <c r="W133" s="518">
        <v>37725</v>
      </c>
    </row>
    <row r="134" spans="1:23" x14ac:dyDescent="0.25">
      <c r="A134" s="515">
        <v>129</v>
      </c>
      <c r="B134" t="s">
        <v>163</v>
      </c>
      <c r="C134" s="308" t="s">
        <v>39</v>
      </c>
      <c r="D134" s="308" t="s">
        <v>16</v>
      </c>
      <c r="F134" s="516">
        <v>0</v>
      </c>
      <c r="G134" s="516">
        <v>0</v>
      </c>
      <c r="H134" s="516">
        <v>0</v>
      </c>
      <c r="I134" s="517"/>
      <c r="J134" s="516">
        <v>0</v>
      </c>
      <c r="K134" s="516">
        <v>0</v>
      </c>
      <c r="L134" s="516">
        <v>0</v>
      </c>
      <c r="M134" s="517"/>
      <c r="N134" s="342">
        <v>0</v>
      </c>
      <c r="O134" s="518">
        <v>0</v>
      </c>
      <c r="P134" s="518">
        <v>0</v>
      </c>
      <c r="Q134" s="519"/>
      <c r="R134" s="516">
        <v>0</v>
      </c>
      <c r="S134" s="516">
        <v>0</v>
      </c>
      <c r="T134" s="516">
        <v>0</v>
      </c>
      <c r="U134" s="517"/>
      <c r="V134" s="342">
        <v>0</v>
      </c>
      <c r="W134" s="518">
        <v>0</v>
      </c>
    </row>
    <row r="135" spans="1:23" x14ac:dyDescent="0.25">
      <c r="A135" s="515">
        <v>130</v>
      </c>
      <c r="B135" t="s">
        <v>164</v>
      </c>
      <c r="C135" s="308" t="s">
        <v>101</v>
      </c>
      <c r="D135" s="308" t="s">
        <v>87</v>
      </c>
      <c r="F135" s="516">
        <v>90</v>
      </c>
      <c r="G135" s="516">
        <v>1651359.35</v>
      </c>
      <c r="H135" s="516">
        <v>3680</v>
      </c>
      <c r="I135" s="517"/>
      <c r="J135" s="516">
        <v>0</v>
      </c>
      <c r="K135" s="516">
        <v>0</v>
      </c>
      <c r="L135" s="516">
        <v>0</v>
      </c>
      <c r="M135" s="517"/>
      <c r="N135" s="342">
        <v>90</v>
      </c>
      <c r="O135" s="518">
        <v>1651359.35</v>
      </c>
      <c r="P135" s="518">
        <v>3680</v>
      </c>
      <c r="Q135" s="519"/>
      <c r="R135" s="516">
        <v>0</v>
      </c>
      <c r="S135" s="516">
        <v>0</v>
      </c>
      <c r="T135" s="516">
        <v>0</v>
      </c>
      <c r="U135" s="517"/>
      <c r="V135" s="342">
        <v>90</v>
      </c>
      <c r="W135" s="518">
        <v>1651359.35</v>
      </c>
    </row>
    <row r="136" spans="1:23" x14ac:dyDescent="0.25">
      <c r="A136" s="515">
        <v>131</v>
      </c>
      <c r="B136" t="s">
        <v>165</v>
      </c>
      <c r="C136" s="308" t="s">
        <v>15</v>
      </c>
      <c r="D136" s="308" t="s">
        <v>45</v>
      </c>
      <c r="F136" s="516">
        <v>206</v>
      </c>
      <c r="G136" s="516">
        <v>526279.76</v>
      </c>
      <c r="H136" s="516">
        <v>1854</v>
      </c>
      <c r="I136" s="517"/>
      <c r="J136" s="516">
        <v>0</v>
      </c>
      <c r="K136" s="516">
        <v>0</v>
      </c>
      <c r="L136" s="516">
        <v>0</v>
      </c>
      <c r="M136" s="517"/>
      <c r="N136" s="342">
        <v>206</v>
      </c>
      <c r="O136" s="518">
        <v>526279.76</v>
      </c>
      <c r="P136" s="518">
        <v>1854</v>
      </c>
      <c r="Q136" s="519"/>
      <c r="R136" s="516">
        <v>0</v>
      </c>
      <c r="S136" s="516">
        <v>0</v>
      </c>
      <c r="T136" s="516">
        <v>0</v>
      </c>
      <c r="U136" s="517"/>
      <c r="V136" s="342">
        <v>206</v>
      </c>
      <c r="W136" s="518">
        <v>526279.76</v>
      </c>
    </row>
    <row r="137" spans="1:23" x14ac:dyDescent="0.25">
      <c r="A137" s="515">
        <v>132</v>
      </c>
      <c r="B137" t="s">
        <v>167</v>
      </c>
      <c r="C137" s="308" t="s">
        <v>135</v>
      </c>
      <c r="D137" s="308" t="s">
        <v>16</v>
      </c>
      <c r="F137" s="516">
        <v>0</v>
      </c>
      <c r="G137" s="516">
        <v>0</v>
      </c>
      <c r="H137" s="516">
        <v>0</v>
      </c>
      <c r="I137" s="517"/>
      <c r="J137" s="516">
        <v>0</v>
      </c>
      <c r="K137" s="516">
        <v>0</v>
      </c>
      <c r="L137" s="516">
        <v>0</v>
      </c>
      <c r="M137" s="517"/>
      <c r="N137" s="342">
        <v>0</v>
      </c>
      <c r="O137" s="518">
        <v>0</v>
      </c>
      <c r="P137" s="518">
        <v>0</v>
      </c>
      <c r="Q137" s="519"/>
      <c r="R137" s="516">
        <v>0</v>
      </c>
      <c r="S137" s="516">
        <v>0</v>
      </c>
      <c r="T137" s="516">
        <v>0</v>
      </c>
      <c r="U137" s="517"/>
      <c r="V137" s="342">
        <v>0</v>
      </c>
      <c r="W137" s="518">
        <v>0</v>
      </c>
    </row>
    <row r="138" spans="1:23" x14ac:dyDescent="0.25">
      <c r="A138" s="515">
        <v>133</v>
      </c>
      <c r="B138" t="s">
        <v>168</v>
      </c>
      <c r="C138" s="308" t="s">
        <v>18</v>
      </c>
      <c r="D138" s="308" t="s">
        <v>20</v>
      </c>
      <c r="F138" s="516">
        <v>1</v>
      </c>
      <c r="G138" s="516">
        <v>13300</v>
      </c>
      <c r="H138" s="516">
        <v>30</v>
      </c>
      <c r="I138" s="517"/>
      <c r="J138" s="516">
        <v>0</v>
      </c>
      <c r="K138" s="516">
        <v>0</v>
      </c>
      <c r="L138" s="516">
        <v>0</v>
      </c>
      <c r="M138" s="517"/>
      <c r="N138" s="342">
        <v>1</v>
      </c>
      <c r="O138" s="518">
        <v>13300</v>
      </c>
      <c r="P138" s="518">
        <v>30</v>
      </c>
      <c r="Q138" s="519"/>
      <c r="R138" s="516">
        <v>0</v>
      </c>
      <c r="S138" s="516">
        <v>0</v>
      </c>
      <c r="T138" s="516">
        <v>0</v>
      </c>
      <c r="U138" s="517"/>
      <c r="V138" s="342">
        <v>1</v>
      </c>
      <c r="W138" s="518">
        <v>13300</v>
      </c>
    </row>
    <row r="139" spans="1:23" x14ac:dyDescent="0.25">
      <c r="A139" s="515">
        <v>134</v>
      </c>
      <c r="B139" t="s">
        <v>169</v>
      </c>
      <c r="C139" s="308" t="s">
        <v>18</v>
      </c>
      <c r="D139" s="308" t="s">
        <v>16</v>
      </c>
      <c r="F139" s="516">
        <v>3</v>
      </c>
      <c r="G139" s="516">
        <v>21210.5</v>
      </c>
      <c r="H139" s="516">
        <v>70</v>
      </c>
      <c r="I139" s="517"/>
      <c r="J139" s="516">
        <v>0</v>
      </c>
      <c r="K139" s="516">
        <v>0</v>
      </c>
      <c r="L139" s="516">
        <v>0</v>
      </c>
      <c r="M139" s="517"/>
      <c r="N139" s="342">
        <v>3</v>
      </c>
      <c r="O139" s="518">
        <v>21210.5</v>
      </c>
      <c r="P139" s="518">
        <v>70</v>
      </c>
      <c r="Q139" s="519"/>
      <c r="R139" s="516">
        <v>0</v>
      </c>
      <c r="S139" s="516">
        <v>0</v>
      </c>
      <c r="T139" s="516">
        <v>0</v>
      </c>
      <c r="U139" s="517"/>
      <c r="V139" s="342">
        <v>3</v>
      </c>
      <c r="W139" s="518">
        <v>21210.5</v>
      </c>
    </row>
    <row r="140" spans="1:23" x14ac:dyDescent="0.25">
      <c r="A140" s="515">
        <v>135</v>
      </c>
      <c r="B140" t="s">
        <v>170</v>
      </c>
      <c r="C140" s="308" t="s">
        <v>18</v>
      </c>
      <c r="D140" s="308" t="s">
        <v>16</v>
      </c>
      <c r="F140" s="516">
        <v>1</v>
      </c>
      <c r="G140" s="516">
        <v>37189</v>
      </c>
      <c r="H140" s="516">
        <v>100</v>
      </c>
      <c r="I140" s="517"/>
      <c r="J140" s="516">
        <v>0</v>
      </c>
      <c r="K140" s="516">
        <v>0</v>
      </c>
      <c r="L140" s="516">
        <v>0</v>
      </c>
      <c r="M140" s="517"/>
      <c r="N140" s="342">
        <v>1</v>
      </c>
      <c r="O140" s="518">
        <v>37189</v>
      </c>
      <c r="P140" s="518">
        <v>100</v>
      </c>
      <c r="Q140" s="519"/>
      <c r="R140" s="516">
        <v>0</v>
      </c>
      <c r="S140" s="516">
        <v>0</v>
      </c>
      <c r="T140" s="516">
        <v>0</v>
      </c>
      <c r="U140" s="517"/>
      <c r="V140" s="342">
        <v>1</v>
      </c>
      <c r="W140" s="518">
        <v>37189</v>
      </c>
    </row>
    <row r="141" spans="1:23" x14ac:dyDescent="0.25">
      <c r="A141" s="515">
        <v>136</v>
      </c>
      <c r="B141" t="s">
        <v>171</v>
      </c>
      <c r="C141" s="308" t="s">
        <v>39</v>
      </c>
      <c r="D141" s="308" t="s">
        <v>16</v>
      </c>
      <c r="F141" s="516">
        <v>156</v>
      </c>
      <c r="G141" s="516">
        <v>95867.56</v>
      </c>
      <c r="H141" s="516">
        <v>1560</v>
      </c>
      <c r="I141" s="517"/>
      <c r="J141" s="516">
        <v>0</v>
      </c>
      <c r="K141" s="516">
        <v>0</v>
      </c>
      <c r="L141" s="516">
        <v>0</v>
      </c>
      <c r="M141" s="517"/>
      <c r="N141" s="342">
        <v>156</v>
      </c>
      <c r="O141" s="518">
        <v>95867.56</v>
      </c>
      <c r="P141" s="518">
        <v>1560</v>
      </c>
      <c r="Q141" s="519"/>
      <c r="R141" s="516">
        <v>0</v>
      </c>
      <c r="S141" s="516">
        <v>0</v>
      </c>
      <c r="T141" s="516">
        <v>0</v>
      </c>
      <c r="U141" s="517"/>
      <c r="V141" s="342">
        <v>156</v>
      </c>
      <c r="W141" s="518">
        <v>95867.56</v>
      </c>
    </row>
    <row r="142" spans="1:23" x14ac:dyDescent="0.25">
      <c r="A142" s="515">
        <v>137</v>
      </c>
      <c r="B142" t="s">
        <v>2994</v>
      </c>
      <c r="C142" s="308" t="s">
        <v>189</v>
      </c>
      <c r="D142" s="308" t="s">
        <v>16</v>
      </c>
      <c r="F142" s="516">
        <v>1</v>
      </c>
      <c r="G142" s="516">
        <v>388.33</v>
      </c>
      <c r="H142" s="516">
        <v>10</v>
      </c>
      <c r="I142" s="517"/>
      <c r="J142" s="516">
        <v>0</v>
      </c>
      <c r="K142" s="516">
        <v>0</v>
      </c>
      <c r="L142" s="516">
        <v>0</v>
      </c>
      <c r="M142" s="517"/>
      <c r="N142" s="342">
        <v>1</v>
      </c>
      <c r="O142" s="518">
        <v>388.33</v>
      </c>
      <c r="P142" s="518">
        <v>10</v>
      </c>
      <c r="Q142" s="519"/>
      <c r="R142" s="516">
        <v>0</v>
      </c>
      <c r="S142" s="516">
        <v>0</v>
      </c>
      <c r="T142" s="516">
        <v>0</v>
      </c>
      <c r="U142" s="517"/>
      <c r="V142" s="342">
        <v>1</v>
      </c>
      <c r="W142" s="518">
        <v>388.33</v>
      </c>
    </row>
    <row r="143" spans="1:23" x14ac:dyDescent="0.25">
      <c r="A143" s="515">
        <v>138</v>
      </c>
      <c r="B143" t="s">
        <v>172</v>
      </c>
      <c r="C143" s="308"/>
      <c r="D143" s="308" t="s">
        <v>16</v>
      </c>
      <c r="F143" s="516">
        <v>5</v>
      </c>
      <c r="G143" s="516">
        <v>22000</v>
      </c>
      <c r="H143" s="516">
        <v>100</v>
      </c>
      <c r="I143" s="517"/>
      <c r="J143" s="516">
        <v>0</v>
      </c>
      <c r="K143" s="516">
        <v>0</v>
      </c>
      <c r="L143" s="516">
        <v>0</v>
      </c>
      <c r="M143" s="517"/>
      <c r="N143" s="342">
        <v>5</v>
      </c>
      <c r="O143" s="518">
        <v>22000</v>
      </c>
      <c r="P143" s="518">
        <v>100</v>
      </c>
      <c r="Q143" s="519"/>
      <c r="R143" s="516">
        <v>0</v>
      </c>
      <c r="S143" s="516">
        <v>0</v>
      </c>
      <c r="T143" s="516">
        <v>0</v>
      </c>
      <c r="U143" s="517"/>
      <c r="V143" s="342">
        <v>5</v>
      </c>
      <c r="W143" s="518">
        <v>22000</v>
      </c>
    </row>
    <row r="144" spans="1:23" x14ac:dyDescent="0.25">
      <c r="A144" s="515">
        <v>139</v>
      </c>
      <c r="B144" t="s">
        <v>2960</v>
      </c>
      <c r="C144" s="308" t="s">
        <v>136</v>
      </c>
      <c r="D144" s="308" t="s">
        <v>16</v>
      </c>
      <c r="F144" s="516">
        <v>15</v>
      </c>
      <c r="G144" s="516">
        <v>195450.72</v>
      </c>
      <c r="H144" s="516">
        <v>400</v>
      </c>
      <c r="I144" s="517"/>
      <c r="J144" s="516">
        <v>0</v>
      </c>
      <c r="K144" s="516">
        <v>0</v>
      </c>
      <c r="L144" s="516">
        <v>0</v>
      </c>
      <c r="M144" s="517"/>
      <c r="N144" s="342">
        <v>15</v>
      </c>
      <c r="O144" s="518">
        <v>195450.72</v>
      </c>
      <c r="P144" s="518">
        <v>400</v>
      </c>
      <c r="Q144" s="519"/>
      <c r="R144" s="516">
        <v>0</v>
      </c>
      <c r="S144" s="516">
        <v>0</v>
      </c>
      <c r="T144" s="516">
        <v>0</v>
      </c>
      <c r="U144" s="517"/>
      <c r="V144" s="342">
        <v>15</v>
      </c>
      <c r="W144" s="518">
        <v>195450.72</v>
      </c>
    </row>
    <row r="145" spans="1:23" x14ac:dyDescent="0.25">
      <c r="A145" s="515">
        <v>140</v>
      </c>
      <c r="B145" t="s">
        <v>173</v>
      </c>
      <c r="C145" s="308" t="s">
        <v>98</v>
      </c>
      <c r="D145" s="308" t="s">
        <v>16</v>
      </c>
      <c r="F145" s="516">
        <v>0</v>
      </c>
      <c r="G145" s="516">
        <v>0</v>
      </c>
      <c r="H145" s="516">
        <v>0</v>
      </c>
      <c r="I145" s="517"/>
      <c r="J145" s="516">
        <v>0</v>
      </c>
      <c r="K145" s="516">
        <v>0</v>
      </c>
      <c r="L145" s="516">
        <v>0</v>
      </c>
      <c r="M145" s="517"/>
      <c r="N145" s="342">
        <v>0</v>
      </c>
      <c r="O145" s="518">
        <v>0</v>
      </c>
      <c r="P145" s="518">
        <v>0</v>
      </c>
      <c r="Q145" s="519"/>
      <c r="R145" s="516">
        <v>0</v>
      </c>
      <c r="S145" s="516">
        <v>0</v>
      </c>
      <c r="T145" s="516">
        <v>0</v>
      </c>
      <c r="U145" s="517"/>
      <c r="V145" s="342">
        <v>0</v>
      </c>
      <c r="W145" s="518">
        <v>0</v>
      </c>
    </row>
    <row r="146" spans="1:23" x14ac:dyDescent="0.25">
      <c r="A146" s="515">
        <v>141</v>
      </c>
      <c r="B146" t="s">
        <v>174</v>
      </c>
      <c r="C146" s="308" t="s">
        <v>15</v>
      </c>
      <c r="D146" s="308" t="s">
        <v>45</v>
      </c>
      <c r="F146" s="516">
        <v>4478</v>
      </c>
      <c r="G146" s="516">
        <v>57797425.280000016</v>
      </c>
      <c r="H146" s="516">
        <v>3030</v>
      </c>
      <c r="I146" s="517"/>
      <c r="J146" s="516">
        <v>0</v>
      </c>
      <c r="K146" s="516">
        <v>0</v>
      </c>
      <c r="L146" s="516">
        <v>0</v>
      </c>
      <c r="M146" s="517"/>
      <c r="N146" s="342">
        <v>4478</v>
      </c>
      <c r="O146" s="518">
        <v>57797425.280000016</v>
      </c>
      <c r="P146" s="518">
        <v>3030</v>
      </c>
      <c r="Q146" s="519"/>
      <c r="R146" s="516">
        <v>0</v>
      </c>
      <c r="S146" s="516">
        <v>0</v>
      </c>
      <c r="T146" s="516">
        <v>0</v>
      </c>
      <c r="U146" s="517"/>
      <c r="V146" s="342">
        <v>4478</v>
      </c>
      <c r="W146" s="518">
        <v>57797425.280000016</v>
      </c>
    </row>
    <row r="147" spans="1:23" x14ac:dyDescent="0.25">
      <c r="A147" s="515">
        <v>142</v>
      </c>
      <c r="B147" t="s">
        <v>166</v>
      </c>
      <c r="C147" s="308" t="s">
        <v>18</v>
      </c>
      <c r="D147" s="308" t="s">
        <v>16</v>
      </c>
      <c r="F147" s="520">
        <v>0</v>
      </c>
      <c r="G147" s="522">
        <v>0</v>
      </c>
      <c r="H147" s="520">
        <v>0</v>
      </c>
      <c r="I147" s="517"/>
      <c r="J147" s="516">
        <v>0</v>
      </c>
      <c r="K147" s="516">
        <v>0</v>
      </c>
      <c r="L147" s="516">
        <v>0</v>
      </c>
      <c r="M147" s="517"/>
      <c r="N147" s="342">
        <v>0</v>
      </c>
      <c r="O147" s="518">
        <v>0</v>
      </c>
      <c r="P147" s="518">
        <v>0</v>
      </c>
      <c r="Q147" s="519"/>
      <c r="R147" s="520">
        <v>0</v>
      </c>
      <c r="S147" s="521">
        <v>0</v>
      </c>
      <c r="T147" s="516">
        <v>0</v>
      </c>
      <c r="U147" s="517"/>
      <c r="V147" s="342">
        <v>0</v>
      </c>
      <c r="W147" s="518">
        <v>0</v>
      </c>
    </row>
    <row r="148" spans="1:23" x14ac:dyDescent="0.25">
      <c r="A148" s="515">
        <v>143</v>
      </c>
      <c r="B148" t="s">
        <v>175</v>
      </c>
      <c r="C148" s="308" t="s">
        <v>18</v>
      </c>
      <c r="D148" s="308" t="s">
        <v>16</v>
      </c>
      <c r="F148" s="516">
        <v>21</v>
      </c>
      <c r="G148" s="516">
        <v>322678</v>
      </c>
      <c r="H148" s="516">
        <v>630</v>
      </c>
      <c r="I148" s="517"/>
      <c r="J148" s="516">
        <v>0</v>
      </c>
      <c r="K148" s="516">
        <v>0</v>
      </c>
      <c r="L148" s="516">
        <v>0</v>
      </c>
      <c r="M148" s="517"/>
      <c r="N148" s="342">
        <v>21</v>
      </c>
      <c r="O148" s="518">
        <v>322678</v>
      </c>
      <c r="P148" s="518">
        <v>630</v>
      </c>
      <c r="Q148" s="519"/>
      <c r="R148" s="516">
        <v>0</v>
      </c>
      <c r="S148" s="516">
        <v>0</v>
      </c>
      <c r="T148" s="516">
        <v>0</v>
      </c>
      <c r="U148" s="517"/>
      <c r="V148" s="342">
        <v>21</v>
      </c>
      <c r="W148" s="518">
        <v>322678</v>
      </c>
    </row>
    <row r="149" spans="1:23" x14ac:dyDescent="0.25">
      <c r="A149" s="515">
        <v>144</v>
      </c>
      <c r="B149" t="s">
        <v>176</v>
      </c>
      <c r="C149" s="308"/>
      <c r="D149" s="308"/>
      <c r="F149" s="516">
        <v>0</v>
      </c>
      <c r="G149" s="516">
        <v>0</v>
      </c>
      <c r="H149" s="516">
        <v>0</v>
      </c>
      <c r="I149" s="517"/>
      <c r="J149" s="516">
        <v>0</v>
      </c>
      <c r="K149" s="516">
        <v>0</v>
      </c>
      <c r="L149" s="516">
        <v>0</v>
      </c>
      <c r="M149" s="517"/>
      <c r="N149" s="342">
        <v>0</v>
      </c>
      <c r="O149" s="518">
        <v>0</v>
      </c>
      <c r="P149" s="518">
        <v>0</v>
      </c>
      <c r="Q149" s="519"/>
      <c r="R149" s="516">
        <v>0</v>
      </c>
      <c r="S149" s="516">
        <v>0</v>
      </c>
      <c r="T149" s="516">
        <v>0</v>
      </c>
      <c r="U149" s="517"/>
      <c r="V149" s="342">
        <v>0</v>
      </c>
      <c r="W149" s="518">
        <v>0</v>
      </c>
    </row>
    <row r="150" spans="1:23" x14ac:dyDescent="0.25">
      <c r="A150" s="515">
        <v>145</v>
      </c>
      <c r="B150" t="s">
        <v>177</v>
      </c>
      <c r="C150" s="308" t="s">
        <v>25</v>
      </c>
      <c r="D150" s="308" t="s">
        <v>16</v>
      </c>
      <c r="F150" s="516">
        <v>15</v>
      </c>
      <c r="G150" s="516">
        <v>16285</v>
      </c>
      <c r="H150" s="516">
        <v>120</v>
      </c>
      <c r="I150" s="517"/>
      <c r="J150" s="516">
        <v>0</v>
      </c>
      <c r="K150" s="516">
        <v>0</v>
      </c>
      <c r="L150" s="516">
        <v>0</v>
      </c>
      <c r="M150" s="517"/>
      <c r="N150" s="342">
        <v>15</v>
      </c>
      <c r="O150" s="518">
        <v>16285</v>
      </c>
      <c r="P150" s="518">
        <v>120</v>
      </c>
      <c r="Q150" s="519"/>
      <c r="R150" s="516">
        <v>0</v>
      </c>
      <c r="S150" s="516">
        <v>0</v>
      </c>
      <c r="T150" s="516">
        <v>0</v>
      </c>
      <c r="U150" s="517"/>
      <c r="V150" s="342">
        <v>15</v>
      </c>
      <c r="W150" s="518">
        <v>16285</v>
      </c>
    </row>
    <row r="151" spans="1:23" x14ac:dyDescent="0.25">
      <c r="A151" s="515">
        <v>146</v>
      </c>
      <c r="B151" t="s">
        <v>178</v>
      </c>
      <c r="C151" s="308" t="s">
        <v>25</v>
      </c>
      <c r="D151" s="308" t="s">
        <v>16</v>
      </c>
      <c r="F151" s="516">
        <v>12</v>
      </c>
      <c r="G151" s="516">
        <v>13541</v>
      </c>
      <c r="H151" s="516">
        <v>96</v>
      </c>
      <c r="I151" s="517"/>
      <c r="J151" s="516">
        <v>0</v>
      </c>
      <c r="K151" s="516">
        <v>0</v>
      </c>
      <c r="L151" s="516">
        <v>0</v>
      </c>
      <c r="M151" s="517"/>
      <c r="N151" s="342">
        <v>12</v>
      </c>
      <c r="O151" s="518">
        <v>13541</v>
      </c>
      <c r="P151" s="518">
        <v>96</v>
      </c>
      <c r="Q151" s="519"/>
      <c r="R151" s="516">
        <v>0</v>
      </c>
      <c r="S151" s="516">
        <v>0</v>
      </c>
      <c r="T151" s="516">
        <v>0</v>
      </c>
      <c r="U151" s="517"/>
      <c r="V151" s="342">
        <v>12</v>
      </c>
      <c r="W151" s="518">
        <v>13541</v>
      </c>
    </row>
    <row r="152" spans="1:23" x14ac:dyDescent="0.25">
      <c r="A152" s="515">
        <v>147</v>
      </c>
      <c r="B152" t="s">
        <v>179</v>
      </c>
      <c r="C152" s="308" t="s">
        <v>18</v>
      </c>
      <c r="D152" s="308" t="s">
        <v>16</v>
      </c>
      <c r="F152" s="516">
        <v>0</v>
      </c>
      <c r="G152" s="516">
        <v>0</v>
      </c>
      <c r="H152" s="516">
        <v>0</v>
      </c>
      <c r="I152" s="517"/>
      <c r="J152" s="516">
        <v>0</v>
      </c>
      <c r="K152" s="516">
        <v>0</v>
      </c>
      <c r="L152" s="516">
        <v>0</v>
      </c>
      <c r="M152" s="517"/>
      <c r="N152" s="342">
        <v>0</v>
      </c>
      <c r="O152" s="518">
        <v>0</v>
      </c>
      <c r="P152" s="518">
        <v>0</v>
      </c>
      <c r="Q152" s="519"/>
      <c r="R152" s="516">
        <v>0</v>
      </c>
      <c r="S152" s="516">
        <v>0</v>
      </c>
      <c r="T152" s="516">
        <v>0</v>
      </c>
      <c r="U152" s="517"/>
      <c r="V152" s="342">
        <v>0</v>
      </c>
      <c r="W152" s="518">
        <v>0</v>
      </c>
    </row>
    <row r="153" spans="1:23" x14ac:dyDescent="0.25">
      <c r="A153" s="515">
        <v>148</v>
      </c>
      <c r="B153" t="s">
        <v>180</v>
      </c>
      <c r="C153" s="308" t="s">
        <v>18</v>
      </c>
      <c r="D153" s="308" t="s">
        <v>16</v>
      </c>
      <c r="F153" s="516">
        <v>22</v>
      </c>
      <c r="G153" s="516">
        <v>593802.39</v>
      </c>
      <c r="H153" s="516">
        <v>1100</v>
      </c>
      <c r="I153" s="523"/>
      <c r="J153" s="516">
        <v>0</v>
      </c>
      <c r="K153" s="516">
        <v>0</v>
      </c>
      <c r="L153" s="516">
        <v>0</v>
      </c>
      <c r="M153" s="523"/>
      <c r="N153" s="342">
        <v>22</v>
      </c>
      <c r="O153" s="518">
        <v>593802.39</v>
      </c>
      <c r="P153" s="518">
        <v>1100</v>
      </c>
      <c r="Q153" s="519"/>
      <c r="R153" s="516">
        <v>0</v>
      </c>
      <c r="S153" s="516">
        <v>0</v>
      </c>
      <c r="T153" s="516">
        <v>0</v>
      </c>
      <c r="U153" s="517"/>
      <c r="V153" s="342">
        <v>22</v>
      </c>
      <c r="W153" s="518">
        <v>593802.39</v>
      </c>
    </row>
    <row r="154" spans="1:23" x14ac:dyDescent="0.25">
      <c r="A154" s="515">
        <v>149</v>
      </c>
      <c r="B154" t="s">
        <v>181</v>
      </c>
      <c r="C154" s="308" t="s">
        <v>18</v>
      </c>
      <c r="D154" s="308" t="s">
        <v>16</v>
      </c>
      <c r="F154" s="516">
        <v>11</v>
      </c>
      <c r="G154" s="516">
        <v>262713</v>
      </c>
      <c r="H154" s="516">
        <v>550</v>
      </c>
      <c r="I154" s="517"/>
      <c r="J154" s="516">
        <v>0</v>
      </c>
      <c r="K154" s="516">
        <v>0</v>
      </c>
      <c r="L154" s="516">
        <v>0</v>
      </c>
      <c r="M154" s="517"/>
      <c r="N154" s="342">
        <v>11</v>
      </c>
      <c r="O154" s="518">
        <v>262713</v>
      </c>
      <c r="P154" s="518">
        <v>550</v>
      </c>
      <c r="Q154" s="519"/>
      <c r="R154" s="516">
        <v>0</v>
      </c>
      <c r="S154" s="516">
        <v>0</v>
      </c>
      <c r="T154" s="516">
        <v>0</v>
      </c>
      <c r="U154" s="517"/>
      <c r="V154" s="342">
        <v>11</v>
      </c>
      <c r="W154" s="518">
        <v>262713</v>
      </c>
    </row>
    <row r="155" spans="1:23" x14ac:dyDescent="0.25">
      <c r="A155" s="515">
        <v>150</v>
      </c>
      <c r="B155" t="s">
        <v>182</v>
      </c>
      <c r="C155" s="308" t="s">
        <v>18</v>
      </c>
      <c r="D155" s="308" t="s">
        <v>16</v>
      </c>
      <c r="F155" s="516">
        <v>0</v>
      </c>
      <c r="G155" s="516">
        <v>0</v>
      </c>
      <c r="H155" s="516">
        <v>0</v>
      </c>
      <c r="I155" s="517"/>
      <c r="J155" s="516">
        <v>0</v>
      </c>
      <c r="K155" s="516">
        <v>0</v>
      </c>
      <c r="L155" s="516">
        <v>0</v>
      </c>
      <c r="M155" s="517"/>
      <c r="N155" s="342">
        <v>0</v>
      </c>
      <c r="O155" s="518">
        <v>0</v>
      </c>
      <c r="P155" s="518">
        <v>0</v>
      </c>
      <c r="Q155" s="519"/>
      <c r="R155" s="516">
        <v>0</v>
      </c>
      <c r="S155" s="516">
        <v>0</v>
      </c>
      <c r="T155" s="516">
        <v>0</v>
      </c>
      <c r="U155" s="517"/>
      <c r="V155" s="342">
        <v>0</v>
      </c>
      <c r="W155" s="518">
        <v>0</v>
      </c>
    </row>
    <row r="156" spans="1:23" x14ac:dyDescent="0.25">
      <c r="A156" s="515">
        <v>151</v>
      </c>
      <c r="B156" t="s">
        <v>183</v>
      </c>
      <c r="C156" s="308" t="s">
        <v>25</v>
      </c>
      <c r="D156" s="308" t="s">
        <v>20</v>
      </c>
      <c r="F156" s="516">
        <v>0</v>
      </c>
      <c r="G156" s="516">
        <v>0</v>
      </c>
      <c r="H156" s="516">
        <v>0</v>
      </c>
      <c r="I156" s="517"/>
      <c r="J156" s="516">
        <v>0</v>
      </c>
      <c r="K156" s="516">
        <v>0</v>
      </c>
      <c r="L156" s="516">
        <v>0</v>
      </c>
      <c r="M156" s="517"/>
      <c r="N156" s="342">
        <v>0</v>
      </c>
      <c r="O156" s="518">
        <v>0</v>
      </c>
      <c r="P156" s="518">
        <v>0</v>
      </c>
      <c r="Q156" s="519"/>
      <c r="R156" s="516">
        <v>0</v>
      </c>
      <c r="S156" s="516">
        <v>0</v>
      </c>
      <c r="T156" s="516">
        <v>0</v>
      </c>
      <c r="U156" s="517"/>
      <c r="V156" s="342">
        <v>0</v>
      </c>
      <c r="W156" s="518">
        <v>0</v>
      </c>
    </row>
    <row r="157" spans="1:23" x14ac:dyDescent="0.25">
      <c r="A157" s="515">
        <v>152</v>
      </c>
      <c r="B157" t="s">
        <v>184</v>
      </c>
      <c r="C157" s="308" t="s">
        <v>41</v>
      </c>
      <c r="D157" s="308" t="s">
        <v>16</v>
      </c>
      <c r="F157" s="516">
        <v>0</v>
      </c>
      <c r="G157" s="516">
        <v>0</v>
      </c>
      <c r="H157" s="516">
        <v>0</v>
      </c>
      <c r="I157" s="517"/>
      <c r="J157" s="516">
        <v>0</v>
      </c>
      <c r="K157" s="516">
        <v>0</v>
      </c>
      <c r="L157" s="516">
        <v>0</v>
      </c>
      <c r="M157" s="517"/>
      <c r="N157" s="342">
        <v>0</v>
      </c>
      <c r="O157" s="518">
        <v>0</v>
      </c>
      <c r="P157" s="518">
        <v>0</v>
      </c>
      <c r="Q157" s="519"/>
      <c r="R157" s="516">
        <v>0</v>
      </c>
      <c r="S157" s="516">
        <v>0</v>
      </c>
      <c r="T157" s="516">
        <v>0</v>
      </c>
      <c r="U157" s="517"/>
      <c r="V157" s="342">
        <v>0</v>
      </c>
      <c r="W157" s="518">
        <v>0</v>
      </c>
    </row>
    <row r="158" spans="1:23" x14ac:dyDescent="0.25">
      <c r="A158" s="515">
        <v>153</v>
      </c>
      <c r="B158" t="s">
        <v>185</v>
      </c>
      <c r="C158" s="308" t="s">
        <v>15</v>
      </c>
      <c r="D158" s="308" t="s">
        <v>16</v>
      </c>
      <c r="F158" s="516">
        <v>0</v>
      </c>
      <c r="G158" s="516">
        <v>0</v>
      </c>
      <c r="H158" s="516">
        <v>0</v>
      </c>
      <c r="I158" s="517"/>
      <c r="J158" s="516">
        <v>0</v>
      </c>
      <c r="K158" s="516">
        <v>0</v>
      </c>
      <c r="L158" s="516">
        <v>0</v>
      </c>
      <c r="M158" s="517"/>
      <c r="N158" s="342">
        <v>0</v>
      </c>
      <c r="O158" s="518">
        <v>0</v>
      </c>
      <c r="P158" s="518">
        <v>0</v>
      </c>
      <c r="Q158" s="519"/>
      <c r="R158" s="516">
        <v>0</v>
      </c>
      <c r="S158" s="516">
        <v>0</v>
      </c>
      <c r="T158" s="516">
        <v>0</v>
      </c>
      <c r="U158" s="517"/>
      <c r="V158" s="342">
        <v>0</v>
      </c>
      <c r="W158" s="518">
        <v>0</v>
      </c>
    </row>
    <row r="159" spans="1:23" x14ac:dyDescent="0.25">
      <c r="A159" s="515">
        <v>154</v>
      </c>
      <c r="B159" t="s">
        <v>186</v>
      </c>
      <c r="C159" s="308" t="s">
        <v>187</v>
      </c>
      <c r="D159" s="308" t="s">
        <v>16</v>
      </c>
      <c r="F159" s="516">
        <v>0</v>
      </c>
      <c r="G159" s="516">
        <v>0</v>
      </c>
      <c r="H159" s="516">
        <v>0</v>
      </c>
      <c r="I159" s="517"/>
      <c r="J159" s="516">
        <v>0</v>
      </c>
      <c r="K159" s="516">
        <v>0</v>
      </c>
      <c r="L159" s="516">
        <v>0</v>
      </c>
      <c r="M159" s="517"/>
      <c r="N159" s="342">
        <v>0</v>
      </c>
      <c r="O159" s="518">
        <v>0</v>
      </c>
      <c r="P159" s="518">
        <v>0</v>
      </c>
      <c r="Q159" s="519"/>
      <c r="R159" s="516">
        <v>0</v>
      </c>
      <c r="S159" s="516">
        <v>0</v>
      </c>
      <c r="T159" s="516">
        <v>0</v>
      </c>
      <c r="U159" s="517"/>
      <c r="V159" s="342">
        <v>0</v>
      </c>
      <c r="W159" s="518">
        <v>0</v>
      </c>
    </row>
    <row r="160" spans="1:23" x14ac:dyDescent="0.25">
      <c r="A160" s="515">
        <v>155</v>
      </c>
      <c r="B160" t="s">
        <v>188</v>
      </c>
      <c r="C160" s="308" t="s">
        <v>189</v>
      </c>
      <c r="D160" s="308" t="s">
        <v>16</v>
      </c>
      <c r="F160" s="516">
        <v>0</v>
      </c>
      <c r="G160" s="516">
        <v>0</v>
      </c>
      <c r="H160" s="516">
        <v>0</v>
      </c>
      <c r="I160" s="517"/>
      <c r="J160" s="516">
        <v>0</v>
      </c>
      <c r="K160" s="516">
        <v>0</v>
      </c>
      <c r="L160" s="516">
        <v>0</v>
      </c>
      <c r="M160" s="517"/>
      <c r="N160" s="342">
        <v>0</v>
      </c>
      <c r="O160" s="518">
        <v>0</v>
      </c>
      <c r="P160" s="518">
        <v>0</v>
      </c>
      <c r="Q160" s="519"/>
      <c r="R160" s="516">
        <v>0</v>
      </c>
      <c r="S160" s="516">
        <v>0</v>
      </c>
      <c r="T160" s="516">
        <v>0</v>
      </c>
      <c r="U160" s="517"/>
      <c r="V160" s="342">
        <v>0</v>
      </c>
      <c r="W160" s="518">
        <v>0</v>
      </c>
    </row>
    <row r="161" spans="1:23" x14ac:dyDescent="0.25">
      <c r="A161" s="515">
        <v>156</v>
      </c>
      <c r="B161" t="s">
        <v>190</v>
      </c>
      <c r="C161" s="308" t="s">
        <v>191</v>
      </c>
      <c r="D161" s="308" t="s">
        <v>16</v>
      </c>
      <c r="F161" s="516">
        <v>0</v>
      </c>
      <c r="G161" s="516">
        <v>0</v>
      </c>
      <c r="H161" s="516">
        <v>0</v>
      </c>
      <c r="I161" s="517"/>
      <c r="J161" s="516">
        <v>0</v>
      </c>
      <c r="K161" s="516">
        <v>0</v>
      </c>
      <c r="L161" s="516">
        <v>0</v>
      </c>
      <c r="M161" s="517"/>
      <c r="N161" s="342">
        <v>0</v>
      </c>
      <c r="O161" s="518">
        <v>0</v>
      </c>
      <c r="P161" s="518">
        <v>0</v>
      </c>
      <c r="Q161" s="519"/>
      <c r="R161" s="516">
        <v>0</v>
      </c>
      <c r="S161" s="516">
        <v>0</v>
      </c>
      <c r="T161" s="516">
        <v>0</v>
      </c>
      <c r="U161" s="517"/>
      <c r="V161" s="342">
        <v>0</v>
      </c>
      <c r="W161" s="518">
        <v>0</v>
      </c>
    </row>
    <row r="162" spans="1:23" x14ac:dyDescent="0.25">
      <c r="A162" s="515">
        <v>157</v>
      </c>
      <c r="B162" t="s">
        <v>192</v>
      </c>
      <c r="C162" s="308" t="s">
        <v>189</v>
      </c>
      <c r="D162" s="308" t="s">
        <v>16</v>
      </c>
      <c r="F162" s="516">
        <v>0</v>
      </c>
      <c r="G162" s="516">
        <v>0</v>
      </c>
      <c r="H162" s="516">
        <v>0</v>
      </c>
      <c r="I162" s="517"/>
      <c r="J162" s="516">
        <v>0</v>
      </c>
      <c r="K162" s="516">
        <v>0</v>
      </c>
      <c r="L162" s="516">
        <v>0</v>
      </c>
      <c r="M162" s="517"/>
      <c r="N162" s="342">
        <v>0</v>
      </c>
      <c r="O162" s="518">
        <v>0</v>
      </c>
      <c r="P162" s="518">
        <v>0</v>
      </c>
      <c r="Q162" s="519"/>
      <c r="R162" s="516">
        <v>0</v>
      </c>
      <c r="S162" s="516">
        <v>0</v>
      </c>
      <c r="T162" s="516">
        <v>0</v>
      </c>
      <c r="U162" s="517"/>
      <c r="V162" s="342">
        <v>0</v>
      </c>
      <c r="W162" s="518">
        <v>0</v>
      </c>
    </row>
    <row r="163" spans="1:23" x14ac:dyDescent="0.25">
      <c r="A163" s="515">
        <v>158</v>
      </c>
      <c r="B163" t="s">
        <v>193</v>
      </c>
      <c r="C163" s="308"/>
      <c r="D163" s="308" t="s">
        <v>16</v>
      </c>
      <c r="F163" s="516">
        <v>0</v>
      </c>
      <c r="G163" s="516">
        <v>0</v>
      </c>
      <c r="H163" s="516">
        <v>0</v>
      </c>
      <c r="I163" s="517"/>
      <c r="J163" s="516">
        <v>0</v>
      </c>
      <c r="K163" s="516">
        <v>0</v>
      </c>
      <c r="L163" s="516">
        <v>0</v>
      </c>
      <c r="M163" s="517"/>
      <c r="N163" s="342">
        <v>0</v>
      </c>
      <c r="O163" s="518">
        <v>0</v>
      </c>
      <c r="P163" s="518">
        <v>0</v>
      </c>
      <c r="Q163" s="519"/>
      <c r="R163" s="516">
        <v>0</v>
      </c>
      <c r="S163" s="516">
        <v>0</v>
      </c>
      <c r="T163" s="516">
        <v>0</v>
      </c>
      <c r="U163" s="517"/>
      <c r="V163" s="342">
        <v>0</v>
      </c>
      <c r="W163" s="518">
        <v>0</v>
      </c>
    </row>
    <row r="164" spans="1:23" x14ac:dyDescent="0.25">
      <c r="A164" s="515">
        <v>159</v>
      </c>
      <c r="B164" t="s">
        <v>194</v>
      </c>
      <c r="C164" s="308"/>
      <c r="D164" s="308" t="s">
        <v>16</v>
      </c>
      <c r="F164" s="516">
        <v>0</v>
      </c>
      <c r="G164" s="516">
        <v>0</v>
      </c>
      <c r="H164" s="516">
        <v>0</v>
      </c>
      <c r="I164" s="517"/>
      <c r="J164" s="516">
        <v>0</v>
      </c>
      <c r="K164" s="516">
        <v>0</v>
      </c>
      <c r="L164" s="516">
        <v>0</v>
      </c>
      <c r="M164" s="517"/>
      <c r="N164" s="342">
        <v>0</v>
      </c>
      <c r="O164" s="518">
        <v>0</v>
      </c>
      <c r="P164" s="518">
        <v>0</v>
      </c>
      <c r="Q164" s="519"/>
      <c r="R164" s="516">
        <v>0</v>
      </c>
      <c r="S164" s="516">
        <v>0</v>
      </c>
      <c r="T164" s="516">
        <v>0</v>
      </c>
      <c r="U164" s="517"/>
      <c r="V164" s="342">
        <v>0</v>
      </c>
      <c r="W164" s="518">
        <v>0</v>
      </c>
    </row>
    <row r="165" spans="1:23" x14ac:dyDescent="0.25">
      <c r="A165" s="515">
        <v>160</v>
      </c>
      <c r="B165" t="s">
        <v>195</v>
      </c>
      <c r="C165" s="308"/>
      <c r="D165" s="308" t="s">
        <v>16</v>
      </c>
      <c r="F165" s="516">
        <v>0</v>
      </c>
      <c r="G165" s="516">
        <v>0</v>
      </c>
      <c r="H165" s="516">
        <v>0</v>
      </c>
      <c r="I165" s="517"/>
      <c r="J165" s="516">
        <v>0</v>
      </c>
      <c r="K165" s="516">
        <v>0</v>
      </c>
      <c r="L165" s="516">
        <v>0</v>
      </c>
      <c r="M165" s="517"/>
      <c r="N165" s="342">
        <v>0</v>
      </c>
      <c r="O165" s="518">
        <v>0</v>
      </c>
      <c r="P165" s="518">
        <v>0</v>
      </c>
      <c r="Q165" s="519"/>
      <c r="R165" s="516">
        <v>0</v>
      </c>
      <c r="S165" s="516">
        <v>0</v>
      </c>
      <c r="T165" s="516">
        <v>0</v>
      </c>
      <c r="U165" s="517"/>
      <c r="V165" s="342">
        <v>0</v>
      </c>
      <c r="W165" s="518">
        <v>0</v>
      </c>
    </row>
    <row r="166" spans="1:23" x14ac:dyDescent="0.25">
      <c r="A166" s="515">
        <v>161</v>
      </c>
      <c r="B166" t="s">
        <v>196</v>
      </c>
      <c r="C166" s="308"/>
      <c r="D166" s="308" t="s">
        <v>16</v>
      </c>
      <c r="F166" s="516">
        <v>0</v>
      </c>
      <c r="G166" s="516">
        <v>0</v>
      </c>
      <c r="H166" s="516">
        <v>0</v>
      </c>
      <c r="I166" s="517"/>
      <c r="J166" s="516">
        <v>0</v>
      </c>
      <c r="K166" s="516">
        <v>0</v>
      </c>
      <c r="L166" s="516">
        <v>0</v>
      </c>
      <c r="M166" s="517"/>
      <c r="N166" s="342">
        <v>0</v>
      </c>
      <c r="O166" s="518">
        <v>0</v>
      </c>
      <c r="P166" s="518">
        <v>0</v>
      </c>
      <c r="Q166" s="519"/>
      <c r="R166" s="516">
        <v>0</v>
      </c>
      <c r="S166" s="516">
        <v>0</v>
      </c>
      <c r="T166" s="516">
        <v>0</v>
      </c>
      <c r="U166" s="517"/>
      <c r="V166" s="342">
        <v>0</v>
      </c>
      <c r="W166" s="518">
        <v>0</v>
      </c>
    </row>
    <row r="167" spans="1:23" x14ac:dyDescent="0.25">
      <c r="A167" s="515">
        <v>162</v>
      </c>
      <c r="B167" t="s">
        <v>197</v>
      </c>
      <c r="C167" s="308"/>
      <c r="D167" s="308" t="s">
        <v>16</v>
      </c>
      <c r="F167" s="516">
        <v>0</v>
      </c>
      <c r="G167" s="516">
        <v>0</v>
      </c>
      <c r="H167" s="516">
        <v>0</v>
      </c>
      <c r="I167" s="517"/>
      <c r="J167" s="516">
        <v>0</v>
      </c>
      <c r="K167" s="516">
        <v>0</v>
      </c>
      <c r="L167" s="516">
        <v>0</v>
      </c>
      <c r="M167" s="517"/>
      <c r="N167" s="342">
        <v>0</v>
      </c>
      <c r="O167" s="518">
        <v>0</v>
      </c>
      <c r="P167" s="518">
        <v>0</v>
      </c>
      <c r="Q167" s="519"/>
      <c r="R167" s="516">
        <v>0</v>
      </c>
      <c r="S167" s="516">
        <v>0</v>
      </c>
      <c r="T167" s="516">
        <v>0</v>
      </c>
      <c r="U167" s="517"/>
      <c r="V167" s="342">
        <v>0</v>
      </c>
      <c r="W167" s="518">
        <v>0</v>
      </c>
    </row>
    <row r="168" spans="1:23" x14ac:dyDescent="0.25">
      <c r="A168" s="515">
        <v>163</v>
      </c>
      <c r="B168" t="s">
        <v>198</v>
      </c>
      <c r="C168" s="308"/>
      <c r="D168" s="308" t="s">
        <v>16</v>
      </c>
      <c r="F168" s="516">
        <v>0</v>
      </c>
      <c r="G168" s="516">
        <v>0</v>
      </c>
      <c r="H168" s="516">
        <v>0</v>
      </c>
      <c r="I168" s="517"/>
      <c r="J168" s="516">
        <v>0</v>
      </c>
      <c r="K168" s="516">
        <v>0</v>
      </c>
      <c r="L168" s="516">
        <v>0</v>
      </c>
      <c r="M168" s="517"/>
      <c r="N168" s="342">
        <v>0</v>
      </c>
      <c r="O168" s="518">
        <v>0</v>
      </c>
      <c r="P168" s="518">
        <v>0</v>
      </c>
      <c r="Q168" s="519"/>
      <c r="R168" s="516">
        <v>0</v>
      </c>
      <c r="S168" s="516">
        <v>0</v>
      </c>
      <c r="T168" s="516">
        <v>0</v>
      </c>
      <c r="U168" s="517"/>
      <c r="V168" s="342">
        <v>0</v>
      </c>
      <c r="W168" s="518">
        <v>0</v>
      </c>
    </row>
    <row r="169" spans="1:23" x14ac:dyDescent="0.25">
      <c r="A169" s="515">
        <v>164</v>
      </c>
      <c r="B169" t="s">
        <v>199</v>
      </c>
      <c r="C169" s="308"/>
      <c r="D169" s="308" t="s">
        <v>16</v>
      </c>
      <c r="F169" s="516">
        <v>0</v>
      </c>
      <c r="G169" s="516">
        <v>0</v>
      </c>
      <c r="H169" s="516">
        <v>0</v>
      </c>
      <c r="I169" s="517"/>
      <c r="J169" s="516">
        <v>0</v>
      </c>
      <c r="K169" s="516">
        <v>0</v>
      </c>
      <c r="L169" s="516">
        <v>0</v>
      </c>
      <c r="M169" s="517"/>
      <c r="N169" s="342">
        <v>0</v>
      </c>
      <c r="O169" s="518">
        <v>0</v>
      </c>
      <c r="P169" s="518">
        <v>0</v>
      </c>
      <c r="Q169" s="519"/>
      <c r="R169" s="516">
        <v>0</v>
      </c>
      <c r="S169" s="516">
        <v>0</v>
      </c>
      <c r="T169" s="516">
        <v>0</v>
      </c>
      <c r="U169" s="517"/>
      <c r="V169" s="342">
        <v>0</v>
      </c>
      <c r="W169" s="518">
        <v>0</v>
      </c>
    </row>
    <row r="170" spans="1:23" x14ac:dyDescent="0.25">
      <c r="A170" s="515">
        <v>165</v>
      </c>
      <c r="B170" t="s">
        <v>200</v>
      </c>
      <c r="C170" s="308"/>
      <c r="D170" s="308" t="s">
        <v>16</v>
      </c>
      <c r="F170" s="516">
        <v>0</v>
      </c>
      <c r="G170" s="516">
        <v>0</v>
      </c>
      <c r="H170" s="516">
        <v>0</v>
      </c>
      <c r="I170" s="517"/>
      <c r="J170" s="516">
        <v>0</v>
      </c>
      <c r="K170" s="516">
        <v>0</v>
      </c>
      <c r="L170" s="516">
        <v>0</v>
      </c>
      <c r="M170" s="517"/>
      <c r="N170" s="342">
        <v>0</v>
      </c>
      <c r="O170" s="518">
        <v>0</v>
      </c>
      <c r="P170" s="518">
        <v>0</v>
      </c>
      <c r="Q170" s="519"/>
      <c r="R170" s="516">
        <v>0</v>
      </c>
      <c r="S170" s="516">
        <v>0</v>
      </c>
      <c r="T170" s="516">
        <v>0</v>
      </c>
      <c r="U170" s="517"/>
      <c r="V170" s="342">
        <v>0</v>
      </c>
      <c r="W170" s="518">
        <v>0</v>
      </c>
    </row>
    <row r="171" spans="1:23" x14ac:dyDescent="0.25">
      <c r="A171" s="515">
        <v>166</v>
      </c>
      <c r="B171" t="s">
        <v>201</v>
      </c>
      <c r="C171" s="308"/>
      <c r="D171" s="308" t="s">
        <v>16</v>
      </c>
      <c r="F171" s="516">
        <v>0</v>
      </c>
      <c r="G171" s="516">
        <v>0</v>
      </c>
      <c r="H171" s="516">
        <v>0</v>
      </c>
      <c r="I171" s="517"/>
      <c r="J171" s="516">
        <v>0</v>
      </c>
      <c r="K171" s="516">
        <v>0</v>
      </c>
      <c r="L171" s="516">
        <v>0</v>
      </c>
      <c r="M171" s="517"/>
      <c r="N171" s="342">
        <v>0</v>
      </c>
      <c r="O171" s="518">
        <v>0</v>
      </c>
      <c r="P171" s="518">
        <v>0</v>
      </c>
      <c r="Q171" s="519"/>
      <c r="R171" s="516">
        <v>0</v>
      </c>
      <c r="S171" s="516">
        <v>0</v>
      </c>
      <c r="T171" s="516">
        <v>0</v>
      </c>
      <c r="U171" s="517"/>
      <c r="V171" s="342">
        <v>0</v>
      </c>
      <c r="W171" s="518">
        <v>0</v>
      </c>
    </row>
    <row r="172" spans="1:23" x14ac:dyDescent="0.25">
      <c r="A172" s="515">
        <v>167</v>
      </c>
      <c r="B172" t="s">
        <v>202</v>
      </c>
      <c r="C172" s="308"/>
      <c r="D172" s="308" t="s">
        <v>16</v>
      </c>
      <c r="F172" s="516">
        <v>0</v>
      </c>
      <c r="G172" s="516">
        <v>0</v>
      </c>
      <c r="H172" s="516">
        <v>0</v>
      </c>
      <c r="I172" s="517"/>
      <c r="J172" s="516">
        <v>0</v>
      </c>
      <c r="K172" s="516">
        <v>0</v>
      </c>
      <c r="L172" s="516">
        <v>0</v>
      </c>
      <c r="M172" s="517"/>
      <c r="N172" s="342">
        <v>0</v>
      </c>
      <c r="O172" s="518">
        <v>0</v>
      </c>
      <c r="P172" s="518">
        <v>0</v>
      </c>
      <c r="Q172" s="519"/>
      <c r="R172" s="516">
        <v>0</v>
      </c>
      <c r="S172" s="516">
        <v>0</v>
      </c>
      <c r="T172" s="516">
        <v>0</v>
      </c>
      <c r="U172" s="517"/>
      <c r="V172" s="342">
        <v>0</v>
      </c>
      <c r="W172" s="518">
        <v>0</v>
      </c>
    </row>
    <row r="173" spans="1:23" x14ac:dyDescent="0.25">
      <c r="A173" s="515">
        <v>168</v>
      </c>
      <c r="B173" t="s">
        <v>203</v>
      </c>
      <c r="C173" s="308"/>
      <c r="D173" s="308" t="s">
        <v>16</v>
      </c>
      <c r="F173" s="516">
        <v>0</v>
      </c>
      <c r="G173" s="516">
        <v>0</v>
      </c>
      <c r="H173" s="516">
        <v>0</v>
      </c>
      <c r="I173" s="517"/>
      <c r="J173" s="516">
        <v>0</v>
      </c>
      <c r="K173" s="516">
        <v>0</v>
      </c>
      <c r="L173" s="516">
        <v>0</v>
      </c>
      <c r="M173" s="517"/>
      <c r="N173" s="342">
        <v>0</v>
      </c>
      <c r="O173" s="518">
        <v>0</v>
      </c>
      <c r="P173" s="518">
        <v>0</v>
      </c>
      <c r="Q173" s="519"/>
      <c r="R173" s="516">
        <v>0</v>
      </c>
      <c r="S173" s="516">
        <v>0</v>
      </c>
      <c r="T173" s="516">
        <v>0</v>
      </c>
      <c r="U173" s="517"/>
      <c r="V173" s="342">
        <v>0</v>
      </c>
      <c r="W173" s="518">
        <v>0</v>
      </c>
    </row>
    <row r="174" spans="1:23" x14ac:dyDescent="0.25">
      <c r="A174" s="515">
        <v>169</v>
      </c>
      <c r="B174" t="s">
        <v>204</v>
      </c>
      <c r="C174" s="308"/>
      <c r="D174" s="308" t="s">
        <v>16</v>
      </c>
      <c r="F174" s="516">
        <v>0</v>
      </c>
      <c r="G174" s="516">
        <v>0</v>
      </c>
      <c r="H174" s="516">
        <v>0</v>
      </c>
      <c r="I174" s="517"/>
      <c r="J174" s="516">
        <v>0</v>
      </c>
      <c r="K174" s="516">
        <v>0</v>
      </c>
      <c r="L174" s="516">
        <v>0</v>
      </c>
      <c r="M174" s="517"/>
      <c r="N174" s="342">
        <v>0</v>
      </c>
      <c r="O174" s="518">
        <v>0</v>
      </c>
      <c r="P174" s="518">
        <v>0</v>
      </c>
      <c r="Q174" s="519"/>
      <c r="R174" s="516">
        <v>0</v>
      </c>
      <c r="S174" s="516">
        <v>0</v>
      </c>
      <c r="T174" s="516">
        <v>0</v>
      </c>
      <c r="U174" s="517"/>
      <c r="V174" s="342">
        <v>0</v>
      </c>
      <c r="W174" s="518">
        <v>0</v>
      </c>
    </row>
    <row r="175" spans="1:23" x14ac:dyDescent="0.25">
      <c r="A175" s="515">
        <v>170</v>
      </c>
      <c r="B175" t="s">
        <v>205</v>
      </c>
      <c r="C175" s="308"/>
      <c r="D175" s="308" t="s">
        <v>16</v>
      </c>
      <c r="F175" s="516">
        <v>0</v>
      </c>
      <c r="G175" s="516">
        <v>0</v>
      </c>
      <c r="H175" s="516">
        <v>0</v>
      </c>
      <c r="I175" s="517"/>
      <c r="J175" s="516">
        <v>0</v>
      </c>
      <c r="K175" s="516">
        <v>0</v>
      </c>
      <c r="L175" s="516">
        <v>0</v>
      </c>
      <c r="M175" s="517"/>
      <c r="N175" s="342">
        <v>0</v>
      </c>
      <c r="O175" s="518">
        <v>0</v>
      </c>
      <c r="P175" s="518">
        <v>0</v>
      </c>
      <c r="Q175" s="519"/>
      <c r="R175" s="516">
        <v>0</v>
      </c>
      <c r="S175" s="516">
        <v>0</v>
      </c>
      <c r="T175" s="516">
        <v>0</v>
      </c>
      <c r="U175" s="517"/>
      <c r="V175" s="342">
        <v>0</v>
      </c>
      <c r="W175" s="518">
        <v>0</v>
      </c>
    </row>
    <row r="176" spans="1:23" x14ac:dyDescent="0.25">
      <c r="A176" s="515">
        <v>171</v>
      </c>
      <c r="B176" t="s">
        <v>206</v>
      </c>
      <c r="C176" s="308"/>
      <c r="D176" s="308" t="s">
        <v>16</v>
      </c>
      <c r="F176" s="516">
        <v>0</v>
      </c>
      <c r="G176" s="516">
        <v>0</v>
      </c>
      <c r="H176" s="516">
        <v>0</v>
      </c>
      <c r="I176" s="517"/>
      <c r="J176" s="516">
        <v>0</v>
      </c>
      <c r="K176" s="516">
        <v>0</v>
      </c>
      <c r="L176" s="516">
        <v>0</v>
      </c>
      <c r="M176" s="517"/>
      <c r="N176" s="342">
        <v>0</v>
      </c>
      <c r="O176" s="518">
        <v>0</v>
      </c>
      <c r="P176" s="518">
        <v>0</v>
      </c>
      <c r="Q176" s="519"/>
      <c r="R176" s="516">
        <v>0</v>
      </c>
      <c r="S176" s="516">
        <v>0</v>
      </c>
      <c r="T176" s="516">
        <v>0</v>
      </c>
      <c r="U176" s="517"/>
      <c r="V176" s="342">
        <v>0</v>
      </c>
      <c r="W176" s="518">
        <v>0</v>
      </c>
    </row>
    <row r="177" spans="1:23" x14ac:dyDescent="0.25">
      <c r="A177" s="515">
        <v>172</v>
      </c>
      <c r="B177" t="s">
        <v>207</v>
      </c>
      <c r="C177" s="308"/>
      <c r="D177" s="308" t="s">
        <v>16</v>
      </c>
      <c r="F177" s="516">
        <v>0</v>
      </c>
      <c r="G177" s="516">
        <v>0</v>
      </c>
      <c r="H177" s="516">
        <v>0</v>
      </c>
      <c r="I177" s="517"/>
      <c r="J177" s="516">
        <v>0</v>
      </c>
      <c r="K177" s="516">
        <v>0</v>
      </c>
      <c r="L177" s="516">
        <v>0</v>
      </c>
      <c r="M177" s="517"/>
      <c r="N177" s="342">
        <v>0</v>
      </c>
      <c r="O177" s="518">
        <v>0</v>
      </c>
      <c r="P177" s="518">
        <v>0</v>
      </c>
      <c r="Q177" s="519"/>
      <c r="R177" s="516">
        <v>0</v>
      </c>
      <c r="S177" s="516">
        <v>0</v>
      </c>
      <c r="T177" s="516">
        <v>0</v>
      </c>
      <c r="U177" s="517"/>
      <c r="V177" s="342">
        <v>0</v>
      </c>
      <c r="W177" s="518">
        <v>0</v>
      </c>
    </row>
    <row r="178" spans="1:23" x14ac:dyDescent="0.25">
      <c r="A178" s="515">
        <v>173</v>
      </c>
      <c r="B178" t="s">
        <v>208</v>
      </c>
      <c r="C178" s="308"/>
      <c r="D178" s="308" t="s">
        <v>16</v>
      </c>
      <c r="F178" s="516">
        <v>0</v>
      </c>
      <c r="G178" s="516">
        <v>0</v>
      </c>
      <c r="H178" s="516">
        <v>0</v>
      </c>
      <c r="I178" s="517"/>
      <c r="J178" s="516">
        <v>0</v>
      </c>
      <c r="K178" s="516">
        <v>0</v>
      </c>
      <c r="L178" s="516">
        <v>0</v>
      </c>
      <c r="M178" s="517"/>
      <c r="N178" s="342">
        <v>0</v>
      </c>
      <c r="O178" s="518">
        <v>0</v>
      </c>
      <c r="P178" s="518">
        <v>0</v>
      </c>
      <c r="Q178" s="519"/>
      <c r="R178" s="516">
        <v>0</v>
      </c>
      <c r="S178" s="516">
        <v>0</v>
      </c>
      <c r="T178" s="516">
        <v>0</v>
      </c>
      <c r="U178" s="517"/>
      <c r="V178" s="342">
        <v>0</v>
      </c>
      <c r="W178" s="518">
        <v>0</v>
      </c>
    </row>
    <row r="179" spans="1:23" x14ac:dyDescent="0.25">
      <c r="A179" s="515">
        <v>174</v>
      </c>
      <c r="B179" t="s">
        <v>209</v>
      </c>
      <c r="C179" s="308" t="s">
        <v>24</v>
      </c>
      <c r="D179" s="308" t="s">
        <v>16</v>
      </c>
      <c r="F179" s="516">
        <v>241</v>
      </c>
      <c r="G179" s="516">
        <v>250959.31</v>
      </c>
      <c r="H179" s="516">
        <v>1205</v>
      </c>
      <c r="I179" s="517"/>
      <c r="J179" s="516">
        <v>0</v>
      </c>
      <c r="K179" s="516">
        <v>0</v>
      </c>
      <c r="L179" s="516">
        <v>0</v>
      </c>
      <c r="M179" s="517"/>
      <c r="N179" s="342">
        <v>241</v>
      </c>
      <c r="O179" s="518">
        <v>250959.31</v>
      </c>
      <c r="P179" s="518">
        <v>1205</v>
      </c>
      <c r="Q179" s="519"/>
      <c r="R179" s="516">
        <v>0</v>
      </c>
      <c r="S179" s="516">
        <v>0</v>
      </c>
      <c r="T179" s="516">
        <v>0</v>
      </c>
      <c r="U179" s="517"/>
      <c r="V179" s="342">
        <v>241</v>
      </c>
      <c r="W179" s="518">
        <v>250959.31</v>
      </c>
    </row>
    <row r="180" spans="1:23" x14ac:dyDescent="0.25">
      <c r="A180" s="515">
        <v>175</v>
      </c>
      <c r="B180" t="s">
        <v>2228</v>
      </c>
      <c r="C180" s="308" t="s">
        <v>18</v>
      </c>
      <c r="D180" s="308" t="s">
        <v>20</v>
      </c>
      <c r="F180" s="516">
        <v>5</v>
      </c>
      <c r="G180" s="516">
        <v>108800</v>
      </c>
      <c r="H180" s="516">
        <v>150</v>
      </c>
      <c r="I180" s="517"/>
      <c r="J180" s="516">
        <v>0</v>
      </c>
      <c r="K180" s="516">
        <v>0</v>
      </c>
      <c r="L180" s="516">
        <v>0</v>
      </c>
      <c r="M180" s="517"/>
      <c r="N180" s="342">
        <v>5</v>
      </c>
      <c r="O180" s="518">
        <v>108800</v>
      </c>
      <c r="P180" s="518">
        <v>150</v>
      </c>
      <c r="Q180" s="519"/>
      <c r="R180" s="516">
        <v>0</v>
      </c>
      <c r="S180" s="516">
        <v>0</v>
      </c>
      <c r="T180" s="516">
        <v>0</v>
      </c>
      <c r="U180" s="517"/>
      <c r="V180" s="342">
        <v>5</v>
      </c>
      <c r="W180" s="518">
        <v>108800</v>
      </c>
    </row>
    <row r="181" spans="1:23" x14ac:dyDescent="0.25">
      <c r="A181" s="515">
        <v>176</v>
      </c>
      <c r="B181" t="s">
        <v>210</v>
      </c>
      <c r="C181" s="308" t="s">
        <v>24</v>
      </c>
      <c r="D181" s="308" t="s">
        <v>20</v>
      </c>
      <c r="F181" s="516">
        <v>0</v>
      </c>
      <c r="G181" s="516">
        <v>0</v>
      </c>
      <c r="H181" s="516">
        <v>0</v>
      </c>
      <c r="I181" s="517"/>
      <c r="J181" s="516">
        <v>0</v>
      </c>
      <c r="K181" s="516">
        <v>0</v>
      </c>
      <c r="L181" s="516">
        <v>0</v>
      </c>
      <c r="M181" s="517"/>
      <c r="N181" s="342">
        <v>0</v>
      </c>
      <c r="O181" s="518">
        <v>0</v>
      </c>
      <c r="P181" s="518">
        <v>0</v>
      </c>
      <c r="Q181" s="519"/>
      <c r="R181" s="516">
        <v>0</v>
      </c>
      <c r="S181" s="516">
        <v>0</v>
      </c>
      <c r="T181" s="516">
        <v>0</v>
      </c>
      <c r="U181" s="517"/>
      <c r="V181" s="342">
        <v>0</v>
      </c>
      <c r="W181" s="518">
        <v>0</v>
      </c>
    </row>
    <row r="182" spans="1:23" x14ac:dyDescent="0.25">
      <c r="A182" s="515">
        <v>177</v>
      </c>
      <c r="B182" t="s">
        <v>211</v>
      </c>
      <c r="C182" s="308" t="s">
        <v>18</v>
      </c>
      <c r="D182" s="308" t="s">
        <v>16</v>
      </c>
      <c r="F182" s="516">
        <v>1</v>
      </c>
      <c r="G182" s="516">
        <v>275</v>
      </c>
      <c r="H182" s="516">
        <v>30</v>
      </c>
      <c r="I182" s="517"/>
      <c r="J182" s="516">
        <v>0</v>
      </c>
      <c r="K182" s="516">
        <v>0</v>
      </c>
      <c r="L182" s="516">
        <v>0</v>
      </c>
      <c r="M182" s="517"/>
      <c r="N182" s="342">
        <v>1</v>
      </c>
      <c r="O182" s="518">
        <v>275</v>
      </c>
      <c r="P182" s="518">
        <v>30</v>
      </c>
      <c r="Q182" s="519"/>
      <c r="R182" s="516">
        <v>0</v>
      </c>
      <c r="S182" s="516">
        <v>0</v>
      </c>
      <c r="T182" s="516">
        <v>0</v>
      </c>
      <c r="U182" s="517"/>
      <c r="V182" s="342">
        <v>1</v>
      </c>
      <c r="W182" s="518">
        <v>275</v>
      </c>
    </row>
    <row r="183" spans="1:23" x14ac:dyDescent="0.25">
      <c r="A183" s="515">
        <v>178</v>
      </c>
      <c r="B183" t="s">
        <v>212</v>
      </c>
      <c r="C183" s="308" t="s">
        <v>18</v>
      </c>
      <c r="D183" s="308" t="s">
        <v>16</v>
      </c>
      <c r="F183" s="516">
        <v>0</v>
      </c>
      <c r="G183" s="516">
        <v>0</v>
      </c>
      <c r="H183" s="516">
        <v>0</v>
      </c>
      <c r="I183" s="517"/>
      <c r="J183" s="516">
        <v>0</v>
      </c>
      <c r="K183" s="516">
        <v>0</v>
      </c>
      <c r="L183" s="516">
        <v>0</v>
      </c>
      <c r="M183" s="517"/>
      <c r="N183" s="342">
        <v>0</v>
      </c>
      <c r="O183" s="518">
        <v>0</v>
      </c>
      <c r="P183" s="518">
        <v>0</v>
      </c>
      <c r="Q183" s="519"/>
      <c r="R183" s="516">
        <v>0</v>
      </c>
      <c r="S183" s="516">
        <v>0</v>
      </c>
      <c r="T183" s="516">
        <v>0</v>
      </c>
      <c r="U183" s="517"/>
      <c r="V183" s="342">
        <v>0</v>
      </c>
      <c r="W183" s="518">
        <v>0</v>
      </c>
    </row>
    <row r="184" spans="1:23" x14ac:dyDescent="0.25">
      <c r="A184" s="515">
        <v>179</v>
      </c>
      <c r="B184" t="s">
        <v>213</v>
      </c>
      <c r="C184" s="308"/>
      <c r="D184" s="308" t="s">
        <v>16</v>
      </c>
      <c r="F184" s="516">
        <v>0</v>
      </c>
      <c r="G184" s="516">
        <v>0</v>
      </c>
      <c r="H184" s="516">
        <v>0</v>
      </c>
      <c r="I184" s="517"/>
      <c r="J184" s="516">
        <v>0</v>
      </c>
      <c r="K184" s="516">
        <v>0</v>
      </c>
      <c r="L184" s="516">
        <v>0</v>
      </c>
      <c r="M184" s="517"/>
      <c r="N184" s="342">
        <v>0</v>
      </c>
      <c r="O184" s="518">
        <v>0</v>
      </c>
      <c r="P184" s="518">
        <v>0</v>
      </c>
      <c r="Q184" s="519"/>
      <c r="R184" s="516">
        <v>0</v>
      </c>
      <c r="S184" s="516">
        <v>0</v>
      </c>
      <c r="T184" s="516">
        <v>0</v>
      </c>
      <c r="U184" s="517"/>
      <c r="V184" s="342">
        <v>0</v>
      </c>
      <c r="W184" s="518">
        <v>0</v>
      </c>
    </row>
    <row r="185" spans="1:23" x14ac:dyDescent="0.25">
      <c r="A185" s="515">
        <v>180</v>
      </c>
      <c r="B185" t="s">
        <v>214</v>
      </c>
      <c r="C185" s="308" t="s">
        <v>78</v>
      </c>
      <c r="D185" s="308" t="s">
        <v>16</v>
      </c>
      <c r="F185" s="516">
        <v>0</v>
      </c>
      <c r="G185" s="516">
        <v>0</v>
      </c>
      <c r="H185" s="516">
        <v>0</v>
      </c>
      <c r="I185" s="517"/>
      <c r="J185" s="516">
        <v>0</v>
      </c>
      <c r="K185" s="516">
        <v>0</v>
      </c>
      <c r="L185" s="516">
        <v>0</v>
      </c>
      <c r="M185" s="517"/>
      <c r="N185" s="342">
        <v>0</v>
      </c>
      <c r="O185" s="518">
        <v>0</v>
      </c>
      <c r="P185" s="518">
        <v>0</v>
      </c>
      <c r="Q185" s="519"/>
      <c r="R185" s="516">
        <v>0</v>
      </c>
      <c r="S185" s="516">
        <v>0</v>
      </c>
      <c r="T185" s="516">
        <v>0</v>
      </c>
      <c r="U185" s="517"/>
      <c r="V185" s="342">
        <v>0</v>
      </c>
      <c r="W185" s="518">
        <v>0</v>
      </c>
    </row>
    <row r="186" spans="1:23" x14ac:dyDescent="0.25">
      <c r="A186" s="515">
        <v>181</v>
      </c>
      <c r="B186" t="s">
        <v>215</v>
      </c>
      <c r="C186" s="308" t="s">
        <v>18</v>
      </c>
      <c r="D186" s="308" t="s">
        <v>16</v>
      </c>
      <c r="F186" s="516">
        <v>0</v>
      </c>
      <c r="G186" s="516">
        <v>0</v>
      </c>
      <c r="H186" s="516">
        <v>0</v>
      </c>
      <c r="I186" s="517"/>
      <c r="J186" s="516">
        <v>0</v>
      </c>
      <c r="K186" s="516">
        <v>0</v>
      </c>
      <c r="L186" s="516">
        <v>0</v>
      </c>
      <c r="M186" s="517"/>
      <c r="N186" s="342">
        <v>0</v>
      </c>
      <c r="O186" s="518">
        <v>0</v>
      </c>
      <c r="P186" s="518">
        <v>0</v>
      </c>
      <c r="Q186" s="519"/>
      <c r="R186" s="516">
        <v>0</v>
      </c>
      <c r="S186" s="516">
        <v>0</v>
      </c>
      <c r="T186" s="516">
        <v>0</v>
      </c>
      <c r="U186" s="517"/>
      <c r="V186" s="342">
        <v>0</v>
      </c>
      <c r="W186" s="518">
        <v>0</v>
      </c>
    </row>
    <row r="187" spans="1:23" x14ac:dyDescent="0.25">
      <c r="A187" s="515">
        <v>182</v>
      </c>
      <c r="B187" t="s">
        <v>216</v>
      </c>
      <c r="C187" s="308" t="s">
        <v>51</v>
      </c>
      <c r="D187" s="308" t="s">
        <v>20</v>
      </c>
      <c r="F187" s="516">
        <v>0</v>
      </c>
      <c r="G187" s="516">
        <v>0</v>
      </c>
      <c r="H187" s="516">
        <v>0</v>
      </c>
      <c r="I187" s="517"/>
      <c r="J187" s="516">
        <v>0</v>
      </c>
      <c r="K187" s="516">
        <v>0</v>
      </c>
      <c r="L187" s="516">
        <v>0</v>
      </c>
      <c r="M187" s="517"/>
      <c r="N187" s="342">
        <v>0</v>
      </c>
      <c r="O187" s="518">
        <v>0</v>
      </c>
      <c r="P187" s="518">
        <v>0</v>
      </c>
      <c r="Q187" s="519"/>
      <c r="R187" s="516">
        <v>0</v>
      </c>
      <c r="S187" s="516">
        <v>0</v>
      </c>
      <c r="T187" s="516">
        <v>0</v>
      </c>
      <c r="U187" s="517"/>
      <c r="V187" s="342">
        <v>0</v>
      </c>
      <c r="W187" s="518">
        <v>0</v>
      </c>
    </row>
    <row r="188" spans="1:23" x14ac:dyDescent="0.25">
      <c r="A188" s="515">
        <v>183</v>
      </c>
      <c r="B188" t="s">
        <v>3087</v>
      </c>
      <c r="C188" s="308" t="s">
        <v>18</v>
      </c>
      <c r="D188" s="308" t="s">
        <v>87</v>
      </c>
      <c r="F188" s="516">
        <v>4</v>
      </c>
      <c r="G188" s="516">
        <v>53511</v>
      </c>
      <c r="H188" s="516">
        <v>200</v>
      </c>
      <c r="I188" s="517"/>
      <c r="J188" s="516">
        <v>0</v>
      </c>
      <c r="K188" s="516">
        <v>0</v>
      </c>
      <c r="L188" s="516">
        <v>0</v>
      </c>
      <c r="M188" s="517"/>
      <c r="N188" s="342">
        <v>4</v>
      </c>
      <c r="O188" s="518">
        <v>53511</v>
      </c>
      <c r="P188" s="518">
        <v>200</v>
      </c>
      <c r="Q188" s="519"/>
      <c r="R188" s="516">
        <v>0</v>
      </c>
      <c r="S188" s="516">
        <v>0</v>
      </c>
      <c r="T188" s="516">
        <v>0</v>
      </c>
      <c r="U188" s="517"/>
      <c r="V188" s="342">
        <v>4</v>
      </c>
      <c r="W188" s="518">
        <v>53511</v>
      </c>
    </row>
    <row r="189" spans="1:23" x14ac:dyDescent="0.25">
      <c r="A189" s="515">
        <v>184</v>
      </c>
      <c r="B189" t="s">
        <v>2437</v>
      </c>
      <c r="C189" s="308" t="s">
        <v>136</v>
      </c>
      <c r="D189" s="308" t="s">
        <v>16</v>
      </c>
      <c r="F189" s="516">
        <v>5</v>
      </c>
      <c r="G189" s="516">
        <v>98186.63</v>
      </c>
      <c r="H189" s="516">
        <v>200</v>
      </c>
      <c r="I189" s="517"/>
      <c r="J189" s="516">
        <v>0</v>
      </c>
      <c r="K189" s="516">
        <v>0</v>
      </c>
      <c r="L189" s="516">
        <v>0</v>
      </c>
      <c r="M189" s="517"/>
      <c r="N189" s="342">
        <v>5</v>
      </c>
      <c r="O189" s="518">
        <v>98186.63</v>
      </c>
      <c r="P189" s="518">
        <v>200</v>
      </c>
      <c r="Q189" s="519"/>
      <c r="R189" s="516">
        <v>0</v>
      </c>
      <c r="S189" s="516">
        <v>0</v>
      </c>
      <c r="T189" s="516">
        <v>0</v>
      </c>
      <c r="U189" s="517"/>
      <c r="V189" s="342">
        <v>5</v>
      </c>
      <c r="W189" s="518">
        <v>98186.63</v>
      </c>
    </row>
    <row r="190" spans="1:23" x14ac:dyDescent="0.25">
      <c r="A190" s="515">
        <v>185</v>
      </c>
      <c r="B190" t="s">
        <v>217</v>
      </c>
      <c r="C190" s="308" t="s">
        <v>24</v>
      </c>
      <c r="D190" s="308" t="s">
        <v>16</v>
      </c>
      <c r="F190" s="516">
        <v>74</v>
      </c>
      <c r="G190" s="516">
        <v>3895556.81</v>
      </c>
      <c r="H190" s="516">
        <v>2960</v>
      </c>
      <c r="I190" s="517"/>
      <c r="J190" s="516">
        <v>0</v>
      </c>
      <c r="K190" s="516">
        <v>0</v>
      </c>
      <c r="L190" s="516">
        <v>0</v>
      </c>
      <c r="M190" s="517"/>
      <c r="N190" s="342">
        <v>74</v>
      </c>
      <c r="O190" s="518">
        <v>3895556.81</v>
      </c>
      <c r="P190" s="518">
        <v>2960</v>
      </c>
      <c r="Q190" s="519"/>
      <c r="R190" s="516">
        <v>0</v>
      </c>
      <c r="S190" s="516">
        <v>0</v>
      </c>
      <c r="T190" s="516">
        <v>0</v>
      </c>
      <c r="U190" s="517"/>
      <c r="V190" s="342">
        <v>74</v>
      </c>
      <c r="W190" s="518">
        <v>3895556.81</v>
      </c>
    </row>
    <row r="191" spans="1:23" x14ac:dyDescent="0.25">
      <c r="A191" s="515">
        <v>186</v>
      </c>
      <c r="B191" t="s">
        <v>218</v>
      </c>
      <c r="C191" s="308" t="s">
        <v>15</v>
      </c>
      <c r="D191" s="308" t="s">
        <v>16</v>
      </c>
      <c r="F191" s="516">
        <v>0</v>
      </c>
      <c r="G191" s="516">
        <v>0</v>
      </c>
      <c r="H191" s="516">
        <v>0</v>
      </c>
      <c r="I191" s="517"/>
      <c r="J191" s="516">
        <v>0</v>
      </c>
      <c r="K191" s="516">
        <v>0</v>
      </c>
      <c r="L191" s="516">
        <v>0</v>
      </c>
      <c r="M191" s="517"/>
      <c r="N191" s="342">
        <v>0</v>
      </c>
      <c r="O191" s="518">
        <v>0</v>
      </c>
      <c r="P191" s="518">
        <v>0</v>
      </c>
      <c r="Q191" s="519"/>
      <c r="R191" s="516">
        <v>0</v>
      </c>
      <c r="S191" s="516">
        <v>0</v>
      </c>
      <c r="T191" s="516">
        <v>0</v>
      </c>
      <c r="U191" s="517"/>
      <c r="V191" s="342">
        <v>0</v>
      </c>
      <c r="W191" s="518">
        <v>0</v>
      </c>
    </row>
    <row r="192" spans="1:23" x14ac:dyDescent="0.25">
      <c r="A192" s="515">
        <v>187</v>
      </c>
      <c r="B192" t="s">
        <v>219</v>
      </c>
      <c r="C192" s="308" t="s">
        <v>24</v>
      </c>
      <c r="D192" s="308" t="s">
        <v>16</v>
      </c>
      <c r="F192" s="516">
        <v>116</v>
      </c>
      <c r="G192" s="516">
        <v>7798530.6699999999</v>
      </c>
      <c r="H192" s="516">
        <v>4640</v>
      </c>
      <c r="I192" s="517"/>
      <c r="J192" s="516">
        <v>0</v>
      </c>
      <c r="K192" s="516">
        <v>0</v>
      </c>
      <c r="L192" s="516">
        <v>0</v>
      </c>
      <c r="M192" s="517"/>
      <c r="N192" s="342">
        <v>116</v>
      </c>
      <c r="O192" s="518">
        <v>7798530.6699999999</v>
      </c>
      <c r="P192" s="518">
        <v>4640</v>
      </c>
      <c r="Q192" s="519"/>
      <c r="R192" s="516">
        <v>0</v>
      </c>
      <c r="S192" s="516">
        <v>0</v>
      </c>
      <c r="T192" s="516">
        <v>0</v>
      </c>
      <c r="U192" s="517"/>
      <c r="V192" s="342">
        <v>116</v>
      </c>
      <c r="W192" s="518">
        <v>7798530.6699999999</v>
      </c>
    </row>
    <row r="193" spans="1:23" x14ac:dyDescent="0.25">
      <c r="A193" s="515">
        <v>188</v>
      </c>
      <c r="B193" t="s">
        <v>220</v>
      </c>
      <c r="C193" s="308" t="s">
        <v>24</v>
      </c>
      <c r="D193" s="308" t="s">
        <v>16</v>
      </c>
      <c r="F193" s="516">
        <v>0</v>
      </c>
      <c r="G193" s="516">
        <v>0</v>
      </c>
      <c r="H193" s="516">
        <v>0</v>
      </c>
      <c r="I193" s="517"/>
      <c r="J193" s="516">
        <v>0</v>
      </c>
      <c r="K193" s="516">
        <v>0</v>
      </c>
      <c r="L193" s="516">
        <v>0</v>
      </c>
      <c r="M193" s="517"/>
      <c r="N193" s="342">
        <v>0</v>
      </c>
      <c r="O193" s="518">
        <v>0</v>
      </c>
      <c r="P193" s="518">
        <v>0</v>
      </c>
      <c r="Q193" s="519"/>
      <c r="R193" s="516">
        <v>0</v>
      </c>
      <c r="S193" s="516">
        <v>0</v>
      </c>
      <c r="T193" s="516">
        <v>0</v>
      </c>
      <c r="U193" s="517"/>
      <c r="V193" s="342">
        <v>0</v>
      </c>
      <c r="W193" s="518">
        <v>0</v>
      </c>
    </row>
    <row r="194" spans="1:23" x14ac:dyDescent="0.25">
      <c r="A194" s="515">
        <v>189</v>
      </c>
      <c r="B194" t="s">
        <v>221</v>
      </c>
      <c r="C194" s="308" t="s">
        <v>25</v>
      </c>
      <c r="D194" s="308" t="s">
        <v>16</v>
      </c>
      <c r="F194" s="516">
        <v>39</v>
      </c>
      <c r="G194" s="516">
        <v>1070725.27</v>
      </c>
      <c r="H194" s="516">
        <v>1800</v>
      </c>
      <c r="I194" s="517"/>
      <c r="J194" s="516">
        <v>0</v>
      </c>
      <c r="K194" s="516">
        <v>0</v>
      </c>
      <c r="L194" s="516">
        <v>0</v>
      </c>
      <c r="M194" s="517"/>
      <c r="N194" s="342">
        <v>39</v>
      </c>
      <c r="O194" s="518">
        <v>1070725.27</v>
      </c>
      <c r="P194" s="518">
        <v>1800</v>
      </c>
      <c r="Q194" s="519"/>
      <c r="R194" s="520">
        <v>0</v>
      </c>
      <c r="S194" s="521">
        <v>0</v>
      </c>
      <c r="T194" s="516">
        <v>0</v>
      </c>
      <c r="U194" s="517"/>
      <c r="V194" s="342">
        <v>39</v>
      </c>
      <c r="W194" s="518">
        <v>1070725.27</v>
      </c>
    </row>
    <row r="195" spans="1:23" x14ac:dyDescent="0.25">
      <c r="A195" s="515">
        <v>190</v>
      </c>
      <c r="B195" t="s">
        <v>222</v>
      </c>
      <c r="C195" s="308" t="s">
        <v>136</v>
      </c>
      <c r="D195" s="308"/>
      <c r="F195" s="516">
        <v>1</v>
      </c>
      <c r="G195" s="516">
        <v>48939.12</v>
      </c>
      <c r="H195" s="516">
        <v>40</v>
      </c>
      <c r="I195" s="517"/>
      <c r="J195" s="516">
        <v>0</v>
      </c>
      <c r="K195" s="516">
        <v>0</v>
      </c>
      <c r="L195" s="516">
        <v>0</v>
      </c>
      <c r="M195" s="517"/>
      <c r="N195" s="342">
        <v>1</v>
      </c>
      <c r="O195" s="518">
        <v>48939.12</v>
      </c>
      <c r="P195" s="518">
        <v>40</v>
      </c>
      <c r="Q195" s="519"/>
      <c r="R195" s="516">
        <v>0</v>
      </c>
      <c r="S195" s="516">
        <v>0</v>
      </c>
      <c r="T195" s="516">
        <v>0</v>
      </c>
      <c r="U195" s="517"/>
      <c r="V195" s="342">
        <v>1</v>
      </c>
      <c r="W195" s="518">
        <v>48939.12</v>
      </c>
    </row>
    <row r="196" spans="1:23" x14ac:dyDescent="0.25">
      <c r="A196" s="515">
        <v>191</v>
      </c>
      <c r="B196" t="s">
        <v>2438</v>
      </c>
      <c r="C196" s="308" t="s">
        <v>136</v>
      </c>
      <c r="D196" s="308" t="s">
        <v>16</v>
      </c>
      <c r="F196" s="516">
        <v>1</v>
      </c>
      <c r="G196" s="516">
        <v>48909</v>
      </c>
      <c r="H196" s="516">
        <v>40</v>
      </c>
      <c r="I196" s="517"/>
      <c r="J196" s="516">
        <v>0</v>
      </c>
      <c r="K196" s="516">
        <v>0</v>
      </c>
      <c r="L196" s="516">
        <v>0</v>
      </c>
      <c r="M196" s="517"/>
      <c r="N196" s="342">
        <v>1</v>
      </c>
      <c r="O196" s="518">
        <v>48909</v>
      </c>
      <c r="P196" s="518">
        <v>40</v>
      </c>
      <c r="Q196" s="519"/>
      <c r="R196" s="520">
        <v>0</v>
      </c>
      <c r="S196" s="521">
        <v>0</v>
      </c>
      <c r="T196" s="516">
        <v>0</v>
      </c>
      <c r="U196" s="517"/>
      <c r="V196" s="342">
        <v>1</v>
      </c>
      <c r="W196" s="518">
        <v>48909</v>
      </c>
    </row>
    <row r="197" spans="1:23" x14ac:dyDescent="0.25">
      <c r="A197" s="515">
        <v>192</v>
      </c>
      <c r="B197" t="s">
        <v>223</v>
      </c>
      <c r="C197" s="308" t="s">
        <v>154</v>
      </c>
      <c r="D197" s="308" t="s">
        <v>16</v>
      </c>
      <c r="F197" s="516">
        <v>6</v>
      </c>
      <c r="G197" s="516">
        <v>81476</v>
      </c>
      <c r="H197" s="516">
        <v>180</v>
      </c>
      <c r="I197" s="517"/>
      <c r="J197" s="516">
        <v>0</v>
      </c>
      <c r="K197" s="516">
        <v>0</v>
      </c>
      <c r="L197" s="516">
        <v>0</v>
      </c>
      <c r="M197" s="517"/>
      <c r="N197" s="342">
        <v>6</v>
      </c>
      <c r="O197" s="518">
        <v>81476</v>
      </c>
      <c r="P197" s="518">
        <v>180</v>
      </c>
      <c r="Q197" s="519"/>
      <c r="R197" s="516">
        <v>0</v>
      </c>
      <c r="S197" s="516">
        <v>0</v>
      </c>
      <c r="T197" s="516">
        <v>0</v>
      </c>
      <c r="U197" s="517"/>
      <c r="V197" s="342">
        <v>6</v>
      </c>
      <c r="W197" s="518">
        <v>81476</v>
      </c>
    </row>
    <row r="198" spans="1:23" x14ac:dyDescent="0.25">
      <c r="A198" s="515">
        <v>193</v>
      </c>
      <c r="B198" t="s">
        <v>224</v>
      </c>
      <c r="C198" s="308" t="s">
        <v>51</v>
      </c>
      <c r="D198" s="308" t="s">
        <v>16</v>
      </c>
      <c r="F198" s="516">
        <v>0</v>
      </c>
      <c r="G198" s="516">
        <v>0</v>
      </c>
      <c r="H198" s="516">
        <v>0</v>
      </c>
      <c r="I198" s="517"/>
      <c r="J198" s="516">
        <v>0</v>
      </c>
      <c r="K198" s="516">
        <v>0</v>
      </c>
      <c r="L198" s="516">
        <v>0</v>
      </c>
      <c r="M198" s="517"/>
      <c r="N198" s="342">
        <v>0</v>
      </c>
      <c r="O198" s="518">
        <v>0</v>
      </c>
      <c r="P198" s="518">
        <v>0</v>
      </c>
      <c r="Q198" s="519"/>
      <c r="R198" s="520">
        <v>0</v>
      </c>
      <c r="S198" s="521">
        <v>0</v>
      </c>
      <c r="T198" s="516">
        <v>0</v>
      </c>
      <c r="U198" s="517"/>
      <c r="V198" s="342">
        <v>0</v>
      </c>
      <c r="W198" s="518">
        <v>0</v>
      </c>
    </row>
    <row r="199" spans="1:23" x14ac:dyDescent="0.25">
      <c r="A199" s="515">
        <v>194</v>
      </c>
      <c r="B199" t="s">
        <v>225</v>
      </c>
      <c r="C199" s="308" t="s">
        <v>18</v>
      </c>
      <c r="D199" s="308" t="s">
        <v>16</v>
      </c>
      <c r="F199" s="516">
        <v>46</v>
      </c>
      <c r="G199" s="516">
        <v>60174.29</v>
      </c>
      <c r="H199" s="516">
        <v>690</v>
      </c>
      <c r="I199" s="517"/>
      <c r="J199" s="516">
        <v>0</v>
      </c>
      <c r="K199" s="516">
        <v>0</v>
      </c>
      <c r="L199" s="516">
        <v>0</v>
      </c>
      <c r="M199" s="517"/>
      <c r="N199" s="342">
        <v>46</v>
      </c>
      <c r="O199" s="518">
        <v>60174.29</v>
      </c>
      <c r="P199" s="518">
        <v>690</v>
      </c>
      <c r="Q199" s="519"/>
      <c r="R199" s="516">
        <v>0</v>
      </c>
      <c r="S199" s="516">
        <v>0</v>
      </c>
      <c r="T199" s="516">
        <v>0</v>
      </c>
      <c r="U199" s="517"/>
      <c r="V199" s="342">
        <v>46</v>
      </c>
      <c r="W199" s="518">
        <v>60174.29</v>
      </c>
    </row>
    <row r="200" spans="1:23" x14ac:dyDescent="0.25">
      <c r="A200" s="515">
        <v>195</v>
      </c>
      <c r="B200" t="s">
        <v>226</v>
      </c>
      <c r="C200" s="308" t="s">
        <v>25</v>
      </c>
      <c r="D200" s="308" t="s">
        <v>16</v>
      </c>
      <c r="F200" s="516">
        <v>4</v>
      </c>
      <c r="G200" s="516">
        <v>119675.5</v>
      </c>
      <c r="H200" s="516">
        <v>134</v>
      </c>
      <c r="I200" s="517"/>
      <c r="J200" s="516">
        <v>0</v>
      </c>
      <c r="K200" s="516">
        <v>0</v>
      </c>
      <c r="L200" s="516">
        <v>0</v>
      </c>
      <c r="M200" s="517"/>
      <c r="N200" s="342">
        <v>4</v>
      </c>
      <c r="O200" s="518">
        <v>119675.5</v>
      </c>
      <c r="P200" s="518">
        <v>134</v>
      </c>
      <c r="Q200" s="519"/>
      <c r="R200" s="516">
        <v>0</v>
      </c>
      <c r="S200" s="516">
        <v>0</v>
      </c>
      <c r="T200" s="516">
        <v>0</v>
      </c>
      <c r="U200" s="517"/>
      <c r="V200" s="342">
        <v>4</v>
      </c>
      <c r="W200" s="518">
        <v>119675.5</v>
      </c>
    </row>
    <row r="201" spans="1:23" x14ac:dyDescent="0.25">
      <c r="A201" s="515">
        <v>196</v>
      </c>
      <c r="B201" t="s">
        <v>227</v>
      </c>
      <c r="C201" s="308" t="s">
        <v>15</v>
      </c>
      <c r="D201" s="308" t="s">
        <v>45</v>
      </c>
      <c r="F201" s="520">
        <v>0</v>
      </c>
      <c r="G201" s="522">
        <v>0</v>
      </c>
      <c r="H201" s="520">
        <v>0</v>
      </c>
      <c r="I201" s="517"/>
      <c r="J201" s="516">
        <v>0</v>
      </c>
      <c r="K201" s="516">
        <v>0</v>
      </c>
      <c r="L201" s="516">
        <v>0</v>
      </c>
      <c r="M201" s="517"/>
      <c r="N201" s="342">
        <v>0</v>
      </c>
      <c r="O201" s="518">
        <v>0</v>
      </c>
      <c r="P201" s="518">
        <v>0</v>
      </c>
      <c r="Q201" s="519"/>
      <c r="R201" s="516">
        <v>0</v>
      </c>
      <c r="S201" s="516">
        <v>0</v>
      </c>
      <c r="T201" s="516">
        <v>0</v>
      </c>
      <c r="U201" s="517"/>
      <c r="V201" s="342">
        <v>0</v>
      </c>
      <c r="W201" s="518">
        <v>0</v>
      </c>
    </row>
    <row r="202" spans="1:23" x14ac:dyDescent="0.25">
      <c r="A202" s="515">
        <v>197</v>
      </c>
      <c r="B202" t="s">
        <v>228</v>
      </c>
      <c r="C202" s="308" t="s">
        <v>25</v>
      </c>
      <c r="D202" s="308" t="s">
        <v>16</v>
      </c>
      <c r="F202" s="516">
        <v>0</v>
      </c>
      <c r="G202" s="516">
        <v>0</v>
      </c>
      <c r="H202" s="516">
        <v>0</v>
      </c>
      <c r="I202" s="517"/>
      <c r="J202" s="516">
        <v>0</v>
      </c>
      <c r="K202" s="516">
        <v>0</v>
      </c>
      <c r="L202" s="516">
        <v>0</v>
      </c>
      <c r="M202" s="517"/>
      <c r="N202" s="342">
        <v>0</v>
      </c>
      <c r="O202" s="518">
        <v>0</v>
      </c>
      <c r="P202" s="518">
        <v>0</v>
      </c>
      <c r="Q202" s="519"/>
      <c r="R202" s="516">
        <v>0</v>
      </c>
      <c r="S202" s="516">
        <v>0</v>
      </c>
      <c r="T202" s="516">
        <v>0</v>
      </c>
      <c r="U202" s="517"/>
      <c r="V202" s="342">
        <v>0</v>
      </c>
      <c r="W202" s="518">
        <v>0</v>
      </c>
    </row>
    <row r="203" spans="1:23" x14ac:dyDescent="0.25">
      <c r="A203" s="515">
        <v>198</v>
      </c>
      <c r="B203" t="s">
        <v>229</v>
      </c>
      <c r="C203" s="308" t="s">
        <v>18</v>
      </c>
      <c r="D203" s="308" t="s">
        <v>16</v>
      </c>
      <c r="F203" s="516">
        <v>1</v>
      </c>
      <c r="G203" s="516">
        <v>13198</v>
      </c>
      <c r="H203" s="516">
        <v>50</v>
      </c>
      <c r="I203" s="517"/>
      <c r="J203" s="516">
        <v>0</v>
      </c>
      <c r="K203" s="516">
        <v>0</v>
      </c>
      <c r="L203" s="516">
        <v>0</v>
      </c>
      <c r="M203" s="517"/>
      <c r="N203" s="342">
        <v>1</v>
      </c>
      <c r="O203" s="518">
        <v>13198</v>
      </c>
      <c r="P203" s="518">
        <v>50</v>
      </c>
      <c r="Q203" s="519"/>
      <c r="R203" s="516">
        <v>0</v>
      </c>
      <c r="S203" s="516">
        <v>0</v>
      </c>
      <c r="T203" s="516">
        <v>0</v>
      </c>
      <c r="U203" s="517"/>
      <c r="V203" s="342">
        <v>1</v>
      </c>
      <c r="W203" s="518">
        <v>13198</v>
      </c>
    </row>
    <row r="204" spans="1:23" x14ac:dyDescent="0.25">
      <c r="A204" s="515">
        <v>199</v>
      </c>
      <c r="B204" t="s">
        <v>230</v>
      </c>
      <c r="C204" s="308" t="s">
        <v>18</v>
      </c>
      <c r="D204" s="308" t="s">
        <v>16</v>
      </c>
      <c r="F204" s="516">
        <v>0</v>
      </c>
      <c r="G204" s="516">
        <v>0</v>
      </c>
      <c r="H204" s="516">
        <v>0</v>
      </c>
      <c r="I204" s="517"/>
      <c r="J204" s="516">
        <v>0</v>
      </c>
      <c r="K204" s="516">
        <v>0</v>
      </c>
      <c r="L204" s="516">
        <v>0</v>
      </c>
      <c r="M204" s="517"/>
      <c r="N204" s="342">
        <v>0</v>
      </c>
      <c r="O204" s="518">
        <v>0</v>
      </c>
      <c r="P204" s="518">
        <v>0</v>
      </c>
      <c r="Q204" s="519"/>
      <c r="R204" s="516">
        <v>0</v>
      </c>
      <c r="S204" s="516">
        <v>0</v>
      </c>
      <c r="T204" s="516">
        <v>0</v>
      </c>
      <c r="U204" s="517"/>
      <c r="V204" s="342">
        <v>0</v>
      </c>
      <c r="W204" s="518">
        <v>0</v>
      </c>
    </row>
    <row r="205" spans="1:23" x14ac:dyDescent="0.25">
      <c r="A205" s="515">
        <v>200</v>
      </c>
      <c r="B205" t="s">
        <v>231</v>
      </c>
      <c r="C205" s="308" t="s">
        <v>18</v>
      </c>
      <c r="D205" s="308" t="s">
        <v>16</v>
      </c>
      <c r="F205" s="516">
        <v>0</v>
      </c>
      <c r="G205" s="516">
        <v>0</v>
      </c>
      <c r="H205" s="516">
        <v>0</v>
      </c>
      <c r="I205" s="517"/>
      <c r="J205" s="516">
        <v>0</v>
      </c>
      <c r="K205" s="516">
        <v>0</v>
      </c>
      <c r="L205" s="516">
        <v>0</v>
      </c>
      <c r="M205" s="517"/>
      <c r="N205" s="342">
        <v>0</v>
      </c>
      <c r="O205" s="518">
        <v>0</v>
      </c>
      <c r="P205" s="518">
        <v>0</v>
      </c>
      <c r="Q205" s="519"/>
      <c r="R205" s="516">
        <v>0</v>
      </c>
      <c r="S205" s="516">
        <v>0</v>
      </c>
      <c r="T205" s="516">
        <v>0</v>
      </c>
      <c r="U205" s="517"/>
      <c r="V205" s="342">
        <v>0</v>
      </c>
      <c r="W205" s="518">
        <v>0</v>
      </c>
    </row>
    <row r="206" spans="1:23" x14ac:dyDescent="0.25">
      <c r="A206" s="515">
        <v>201</v>
      </c>
      <c r="B206" t="s">
        <v>2422</v>
      </c>
      <c r="C206" s="308" t="s">
        <v>148</v>
      </c>
      <c r="D206" s="308" t="s">
        <v>20</v>
      </c>
      <c r="F206" s="516">
        <v>2243</v>
      </c>
      <c r="G206" s="516">
        <v>28311901.879999965</v>
      </c>
      <c r="H206" s="516">
        <v>26040</v>
      </c>
      <c r="I206" s="517"/>
      <c r="J206" s="516">
        <v>0</v>
      </c>
      <c r="K206" s="516">
        <v>0</v>
      </c>
      <c r="L206" s="516">
        <v>0</v>
      </c>
      <c r="M206" s="517"/>
      <c r="N206" s="342">
        <v>2243</v>
      </c>
      <c r="O206" s="518">
        <v>28311901.879999965</v>
      </c>
      <c r="P206" s="518">
        <v>26040</v>
      </c>
      <c r="Q206" s="519"/>
      <c r="R206" s="516">
        <v>0</v>
      </c>
      <c r="S206" s="516">
        <v>0</v>
      </c>
      <c r="T206" s="516">
        <v>0</v>
      </c>
      <c r="U206" s="517"/>
      <c r="V206" s="342">
        <v>2243</v>
      </c>
      <c r="W206" s="518">
        <v>28311901.879999965</v>
      </c>
    </row>
    <row r="207" spans="1:23" x14ac:dyDescent="0.25">
      <c r="A207" s="515">
        <v>202</v>
      </c>
      <c r="B207" t="s">
        <v>232</v>
      </c>
      <c r="C207" s="308" t="s">
        <v>148</v>
      </c>
      <c r="D207" s="308" t="s">
        <v>16</v>
      </c>
      <c r="F207" s="516">
        <v>18</v>
      </c>
      <c r="G207" s="516">
        <v>55712</v>
      </c>
      <c r="H207" s="516">
        <v>270</v>
      </c>
      <c r="I207" s="517"/>
      <c r="J207" s="516">
        <v>0</v>
      </c>
      <c r="K207" s="516">
        <v>0</v>
      </c>
      <c r="L207" s="516">
        <v>0</v>
      </c>
      <c r="M207" s="517"/>
      <c r="N207" s="342">
        <v>18</v>
      </c>
      <c r="O207" s="518">
        <v>55712</v>
      </c>
      <c r="P207" s="518">
        <v>270</v>
      </c>
      <c r="Q207" s="519"/>
      <c r="R207" s="516">
        <v>0</v>
      </c>
      <c r="S207" s="516">
        <v>0</v>
      </c>
      <c r="T207" s="516">
        <v>0</v>
      </c>
      <c r="U207" s="517"/>
      <c r="V207" s="342">
        <v>18</v>
      </c>
      <c r="W207" s="518">
        <v>55712</v>
      </c>
    </row>
    <row r="208" spans="1:23" x14ac:dyDescent="0.25">
      <c r="A208" s="515">
        <v>203</v>
      </c>
      <c r="B208" t="s">
        <v>233</v>
      </c>
      <c r="C208" s="308" t="s">
        <v>24</v>
      </c>
      <c r="D208" s="308" t="s">
        <v>16</v>
      </c>
      <c r="F208" s="516">
        <v>7</v>
      </c>
      <c r="G208" s="516">
        <v>190513</v>
      </c>
      <c r="H208" s="516">
        <v>350</v>
      </c>
      <c r="I208" s="517"/>
      <c r="J208" s="516">
        <v>0</v>
      </c>
      <c r="K208" s="516">
        <v>0</v>
      </c>
      <c r="L208" s="516">
        <v>0</v>
      </c>
      <c r="M208" s="517"/>
      <c r="N208" s="342">
        <v>7</v>
      </c>
      <c r="O208" s="518">
        <v>190513</v>
      </c>
      <c r="P208" s="518">
        <v>350</v>
      </c>
      <c r="Q208" s="519"/>
      <c r="R208" s="516">
        <v>0</v>
      </c>
      <c r="S208" s="516">
        <v>0</v>
      </c>
      <c r="T208" s="516">
        <v>0</v>
      </c>
      <c r="U208" s="517"/>
      <c r="V208" s="342">
        <v>7</v>
      </c>
      <c r="W208" s="518">
        <v>190513</v>
      </c>
    </row>
    <row r="209" spans="1:23" x14ac:dyDescent="0.25">
      <c r="A209" s="515">
        <v>204</v>
      </c>
      <c r="B209" t="s">
        <v>234</v>
      </c>
      <c r="C209" s="308" t="s">
        <v>25</v>
      </c>
      <c r="D209" s="308" t="s">
        <v>16</v>
      </c>
      <c r="F209" s="516">
        <v>0</v>
      </c>
      <c r="G209" s="516">
        <v>0</v>
      </c>
      <c r="H209" s="516">
        <v>0</v>
      </c>
      <c r="I209" s="517"/>
      <c r="J209" s="516">
        <v>0</v>
      </c>
      <c r="K209" s="516">
        <v>0</v>
      </c>
      <c r="L209" s="516">
        <v>0</v>
      </c>
      <c r="M209" s="517"/>
      <c r="N209" s="342">
        <v>0</v>
      </c>
      <c r="O209" s="518">
        <v>0</v>
      </c>
      <c r="P209" s="518">
        <v>0</v>
      </c>
      <c r="Q209" s="519"/>
      <c r="R209" s="516">
        <v>0</v>
      </c>
      <c r="S209" s="516">
        <v>0</v>
      </c>
      <c r="T209" s="516">
        <v>0</v>
      </c>
      <c r="U209" s="517"/>
      <c r="V209" s="342">
        <v>0</v>
      </c>
      <c r="W209" s="518">
        <v>0</v>
      </c>
    </row>
    <row r="210" spans="1:23" x14ac:dyDescent="0.25">
      <c r="A210" s="515">
        <v>205</v>
      </c>
      <c r="B210" t="s">
        <v>235</v>
      </c>
      <c r="C210" s="308" t="s">
        <v>92</v>
      </c>
      <c r="D210" s="308" t="s">
        <v>16</v>
      </c>
      <c r="F210" s="520">
        <v>49</v>
      </c>
      <c r="G210" s="522">
        <v>342300.83999999997</v>
      </c>
      <c r="H210" s="520">
        <v>980</v>
      </c>
      <c r="I210" s="517"/>
      <c r="J210" s="516">
        <v>0</v>
      </c>
      <c r="K210" s="516">
        <v>0</v>
      </c>
      <c r="L210" s="516">
        <v>0</v>
      </c>
      <c r="M210" s="517"/>
      <c r="N210" s="342">
        <v>49</v>
      </c>
      <c r="O210" s="518">
        <v>342300.83999999997</v>
      </c>
      <c r="P210" s="518">
        <v>980</v>
      </c>
      <c r="Q210" s="519"/>
      <c r="R210" s="516">
        <v>0</v>
      </c>
      <c r="S210" s="516">
        <v>0</v>
      </c>
      <c r="T210" s="516">
        <v>0</v>
      </c>
      <c r="U210" s="517"/>
      <c r="V210" s="342">
        <v>49</v>
      </c>
      <c r="W210" s="518">
        <v>342300.83999999997</v>
      </c>
    </row>
    <row r="211" spans="1:23" x14ac:dyDescent="0.25">
      <c r="A211" s="515">
        <v>206</v>
      </c>
      <c r="B211" t="s">
        <v>3166</v>
      </c>
      <c r="C211" s="308" t="s">
        <v>18</v>
      </c>
      <c r="D211" s="308" t="s">
        <v>40</v>
      </c>
      <c r="F211" s="516">
        <v>1</v>
      </c>
      <c r="G211" s="516">
        <v>150000</v>
      </c>
      <c r="H211" s="516">
        <v>150</v>
      </c>
      <c r="I211" s="517"/>
      <c r="J211" s="516">
        <v>0</v>
      </c>
      <c r="K211" s="516">
        <v>0</v>
      </c>
      <c r="L211" s="516">
        <v>0</v>
      </c>
      <c r="M211" s="517"/>
      <c r="N211" s="342">
        <v>1</v>
      </c>
      <c r="O211" s="518">
        <v>150000</v>
      </c>
      <c r="P211" s="518">
        <v>150</v>
      </c>
      <c r="Q211" s="519"/>
      <c r="R211" s="516">
        <v>0</v>
      </c>
      <c r="S211" s="516">
        <v>0</v>
      </c>
      <c r="T211" s="516">
        <v>0</v>
      </c>
      <c r="U211" s="517"/>
      <c r="V211" s="342">
        <v>1</v>
      </c>
      <c r="W211" s="518">
        <v>150000</v>
      </c>
    </row>
    <row r="212" spans="1:23" x14ac:dyDescent="0.25">
      <c r="A212" s="515">
        <v>207</v>
      </c>
      <c r="B212" t="s">
        <v>236</v>
      </c>
      <c r="C212" s="308" t="s">
        <v>18</v>
      </c>
      <c r="D212" s="308" t="s">
        <v>20</v>
      </c>
      <c r="F212" s="516">
        <v>1</v>
      </c>
      <c r="G212" s="516">
        <v>5000</v>
      </c>
      <c r="H212" s="516">
        <v>25</v>
      </c>
      <c r="I212" s="517"/>
      <c r="J212" s="516">
        <v>0</v>
      </c>
      <c r="K212" s="516">
        <v>0</v>
      </c>
      <c r="L212" s="516">
        <v>0</v>
      </c>
      <c r="M212" s="517"/>
      <c r="N212" s="342">
        <v>1</v>
      </c>
      <c r="O212" s="518">
        <v>5000</v>
      </c>
      <c r="P212" s="518">
        <v>25</v>
      </c>
      <c r="Q212" s="519"/>
      <c r="R212" s="516">
        <v>0</v>
      </c>
      <c r="S212" s="516">
        <v>0</v>
      </c>
      <c r="T212" s="516">
        <v>0</v>
      </c>
      <c r="U212" s="517"/>
      <c r="V212" s="342">
        <v>1</v>
      </c>
      <c r="W212" s="518">
        <v>5000</v>
      </c>
    </row>
    <row r="213" spans="1:23" x14ac:dyDescent="0.25">
      <c r="A213" s="515">
        <v>208</v>
      </c>
      <c r="B213" t="s">
        <v>237</v>
      </c>
      <c r="C213" s="308" t="s">
        <v>18</v>
      </c>
      <c r="D213" s="308" t="s">
        <v>20</v>
      </c>
      <c r="F213" s="516">
        <v>4</v>
      </c>
      <c r="G213" s="516">
        <v>8838</v>
      </c>
      <c r="H213" s="516">
        <v>100</v>
      </c>
      <c r="I213" s="517"/>
      <c r="J213" s="516">
        <v>0</v>
      </c>
      <c r="K213" s="516">
        <v>0</v>
      </c>
      <c r="L213" s="516">
        <v>0</v>
      </c>
      <c r="M213" s="517"/>
      <c r="N213" s="342">
        <v>4</v>
      </c>
      <c r="O213" s="518">
        <v>8838</v>
      </c>
      <c r="P213" s="518">
        <v>100</v>
      </c>
      <c r="Q213" s="519"/>
      <c r="R213" s="516">
        <v>0</v>
      </c>
      <c r="S213" s="516">
        <v>0</v>
      </c>
      <c r="T213" s="516">
        <v>0</v>
      </c>
      <c r="U213" s="517"/>
      <c r="V213" s="342">
        <v>4</v>
      </c>
      <c r="W213" s="518">
        <v>8838</v>
      </c>
    </row>
    <row r="214" spans="1:23" x14ac:dyDescent="0.25">
      <c r="A214" s="515">
        <v>209</v>
      </c>
      <c r="B214" t="s">
        <v>238</v>
      </c>
      <c r="C214" s="308" t="s">
        <v>18</v>
      </c>
      <c r="D214" s="308" t="s">
        <v>20</v>
      </c>
      <c r="F214" s="516">
        <v>1</v>
      </c>
      <c r="G214" s="516">
        <v>2901</v>
      </c>
      <c r="H214" s="516">
        <v>25</v>
      </c>
      <c r="I214" s="517"/>
      <c r="J214" s="516">
        <v>0</v>
      </c>
      <c r="K214" s="516">
        <v>0</v>
      </c>
      <c r="L214" s="516">
        <v>0</v>
      </c>
      <c r="M214" s="517"/>
      <c r="N214" s="342">
        <v>1</v>
      </c>
      <c r="O214" s="518">
        <v>2901</v>
      </c>
      <c r="P214" s="518">
        <v>25</v>
      </c>
      <c r="Q214" s="519"/>
      <c r="R214" s="516">
        <v>0</v>
      </c>
      <c r="S214" s="516">
        <v>0</v>
      </c>
      <c r="T214" s="516">
        <v>0</v>
      </c>
      <c r="U214" s="517"/>
      <c r="V214" s="342">
        <v>1</v>
      </c>
      <c r="W214" s="518">
        <v>2901</v>
      </c>
    </row>
    <row r="215" spans="1:23" x14ac:dyDescent="0.25">
      <c r="A215" s="515">
        <v>210</v>
      </c>
      <c r="B215" t="s">
        <v>239</v>
      </c>
      <c r="C215" s="308" t="s">
        <v>18</v>
      </c>
      <c r="D215" s="308" t="s">
        <v>20</v>
      </c>
      <c r="F215" s="516">
        <v>4</v>
      </c>
      <c r="G215" s="516">
        <v>6115.6</v>
      </c>
      <c r="H215" s="516">
        <v>100</v>
      </c>
      <c r="I215" s="517"/>
      <c r="J215" s="516">
        <v>0</v>
      </c>
      <c r="K215" s="516">
        <v>0</v>
      </c>
      <c r="L215" s="516">
        <v>0</v>
      </c>
      <c r="M215" s="517"/>
      <c r="N215" s="342">
        <v>4</v>
      </c>
      <c r="O215" s="518">
        <v>6115.6</v>
      </c>
      <c r="P215" s="518">
        <v>100</v>
      </c>
      <c r="Q215" s="519"/>
      <c r="R215" s="516">
        <v>0</v>
      </c>
      <c r="S215" s="516">
        <v>0</v>
      </c>
      <c r="T215" s="516">
        <v>0</v>
      </c>
      <c r="U215" s="517"/>
      <c r="V215" s="342">
        <v>4</v>
      </c>
      <c r="W215" s="518">
        <v>6115.6</v>
      </c>
    </row>
    <row r="216" spans="1:23" x14ac:dyDescent="0.25">
      <c r="A216" s="515">
        <v>211</v>
      </c>
      <c r="B216" t="s">
        <v>240</v>
      </c>
      <c r="C216" s="308" t="s">
        <v>18</v>
      </c>
      <c r="D216" s="308" t="s">
        <v>20</v>
      </c>
      <c r="F216" s="516">
        <v>0</v>
      </c>
      <c r="G216" s="516">
        <v>0</v>
      </c>
      <c r="H216" s="516">
        <v>0</v>
      </c>
      <c r="I216" s="517"/>
      <c r="J216" s="516">
        <v>0</v>
      </c>
      <c r="K216" s="516">
        <v>0</v>
      </c>
      <c r="L216" s="516">
        <v>0</v>
      </c>
      <c r="M216" s="517"/>
      <c r="N216" s="342">
        <v>0</v>
      </c>
      <c r="O216" s="518">
        <v>0</v>
      </c>
      <c r="P216" s="518">
        <v>0</v>
      </c>
      <c r="Q216" s="519"/>
      <c r="R216" s="516">
        <v>0</v>
      </c>
      <c r="S216" s="516">
        <v>0</v>
      </c>
      <c r="T216" s="516">
        <v>0</v>
      </c>
      <c r="U216" s="517"/>
      <c r="V216" s="342">
        <v>0</v>
      </c>
      <c r="W216" s="518">
        <v>0</v>
      </c>
    </row>
    <row r="217" spans="1:23" x14ac:dyDescent="0.25">
      <c r="A217" s="515">
        <v>212</v>
      </c>
      <c r="B217" t="s">
        <v>241</v>
      </c>
      <c r="C217" s="308" t="s">
        <v>242</v>
      </c>
      <c r="D217" s="308" t="s">
        <v>16</v>
      </c>
      <c r="F217" s="516">
        <v>0</v>
      </c>
      <c r="G217" s="516">
        <v>0</v>
      </c>
      <c r="H217" s="516">
        <v>0</v>
      </c>
      <c r="I217" s="517"/>
      <c r="J217" s="516">
        <v>0</v>
      </c>
      <c r="K217" s="516">
        <v>0</v>
      </c>
      <c r="L217" s="516">
        <v>0</v>
      </c>
      <c r="M217" s="517"/>
      <c r="N217" s="342">
        <v>0</v>
      </c>
      <c r="O217" s="518">
        <v>0</v>
      </c>
      <c r="P217" s="518">
        <v>0</v>
      </c>
      <c r="Q217" s="519"/>
      <c r="R217" s="516">
        <v>0</v>
      </c>
      <c r="S217" s="516">
        <v>0</v>
      </c>
      <c r="T217" s="516">
        <v>0</v>
      </c>
      <c r="U217" s="517"/>
      <c r="V217" s="342">
        <v>0</v>
      </c>
      <c r="W217" s="518">
        <v>0</v>
      </c>
    </row>
    <row r="218" spans="1:23" x14ac:dyDescent="0.25">
      <c r="A218" s="515">
        <v>213</v>
      </c>
      <c r="B218" t="s">
        <v>243</v>
      </c>
      <c r="C218" s="308" t="s">
        <v>108</v>
      </c>
      <c r="D218" s="308" t="s">
        <v>16</v>
      </c>
      <c r="F218" s="516">
        <v>112</v>
      </c>
      <c r="G218" s="516">
        <v>69613.850000000006</v>
      </c>
      <c r="H218" s="516">
        <v>560</v>
      </c>
      <c r="I218" s="517"/>
      <c r="J218" s="516">
        <v>0</v>
      </c>
      <c r="K218" s="516">
        <v>0</v>
      </c>
      <c r="L218" s="516">
        <v>0</v>
      </c>
      <c r="M218" s="517"/>
      <c r="N218" s="342">
        <v>112</v>
      </c>
      <c r="O218" s="518">
        <v>69613.850000000006</v>
      </c>
      <c r="P218" s="518">
        <v>560</v>
      </c>
      <c r="Q218" s="519"/>
      <c r="R218" s="516">
        <v>0</v>
      </c>
      <c r="S218" s="516">
        <v>0</v>
      </c>
      <c r="T218" s="516">
        <v>0</v>
      </c>
      <c r="U218" s="517"/>
      <c r="V218" s="342">
        <v>112</v>
      </c>
      <c r="W218" s="518">
        <v>69613.850000000006</v>
      </c>
    </row>
    <row r="219" spans="1:23" x14ac:dyDescent="0.25">
      <c r="A219" s="515">
        <v>214</v>
      </c>
      <c r="B219" t="s">
        <v>244</v>
      </c>
      <c r="C219" s="308" t="s">
        <v>92</v>
      </c>
      <c r="D219" s="308" t="s">
        <v>45</v>
      </c>
      <c r="F219" s="516">
        <v>453</v>
      </c>
      <c r="G219" s="516">
        <v>14738116.959999999</v>
      </c>
      <c r="H219" s="516">
        <v>13590</v>
      </c>
      <c r="I219" s="517"/>
      <c r="J219" s="516">
        <v>0</v>
      </c>
      <c r="K219" s="516">
        <v>0</v>
      </c>
      <c r="L219" s="516">
        <v>0</v>
      </c>
      <c r="M219" s="517"/>
      <c r="N219" s="342">
        <v>453</v>
      </c>
      <c r="O219" s="518">
        <v>14738116.959999999</v>
      </c>
      <c r="P219" s="518">
        <v>13590</v>
      </c>
      <c r="Q219" s="519"/>
      <c r="R219" s="516">
        <v>0</v>
      </c>
      <c r="S219" s="516">
        <v>0</v>
      </c>
      <c r="T219" s="516">
        <v>0</v>
      </c>
      <c r="U219" s="517"/>
      <c r="V219" s="342">
        <v>453</v>
      </c>
      <c r="W219" s="518">
        <v>14738116.959999999</v>
      </c>
    </row>
    <row r="220" spans="1:23" x14ac:dyDescent="0.25">
      <c r="A220" s="515">
        <v>215</v>
      </c>
      <c r="B220" t="s">
        <v>245</v>
      </c>
      <c r="C220" s="308" t="s">
        <v>15</v>
      </c>
      <c r="D220" s="308" t="s">
        <v>16</v>
      </c>
      <c r="F220" s="516">
        <v>190</v>
      </c>
      <c r="G220" s="516">
        <v>3535778.98</v>
      </c>
      <c r="H220" s="516">
        <v>3880</v>
      </c>
      <c r="I220" s="517"/>
      <c r="J220" s="516">
        <v>0</v>
      </c>
      <c r="K220" s="516">
        <v>0</v>
      </c>
      <c r="L220" s="516">
        <v>0</v>
      </c>
      <c r="M220" s="517"/>
      <c r="N220" s="342">
        <v>190</v>
      </c>
      <c r="O220" s="518">
        <v>3535778.98</v>
      </c>
      <c r="P220" s="518">
        <v>3880</v>
      </c>
      <c r="Q220" s="519"/>
      <c r="R220" s="516">
        <v>0</v>
      </c>
      <c r="S220" s="516">
        <v>0</v>
      </c>
      <c r="T220" s="516">
        <v>0</v>
      </c>
      <c r="U220" s="517"/>
      <c r="V220" s="342">
        <v>190</v>
      </c>
      <c r="W220" s="518">
        <v>3535778.98</v>
      </c>
    </row>
    <row r="221" spans="1:23" x14ac:dyDescent="0.25">
      <c r="A221" s="515">
        <v>216</v>
      </c>
      <c r="B221" t="s">
        <v>246</v>
      </c>
      <c r="C221" s="308" t="s">
        <v>18</v>
      </c>
      <c r="D221" s="308" t="s">
        <v>16</v>
      </c>
      <c r="F221" s="516">
        <v>0</v>
      </c>
      <c r="G221" s="516">
        <v>0</v>
      </c>
      <c r="H221" s="516">
        <v>0</v>
      </c>
      <c r="I221" s="517"/>
      <c r="J221" s="516">
        <v>0</v>
      </c>
      <c r="K221" s="516">
        <v>0</v>
      </c>
      <c r="L221" s="516">
        <v>0</v>
      </c>
      <c r="M221" s="517"/>
      <c r="N221" s="342">
        <v>0</v>
      </c>
      <c r="O221" s="518">
        <v>0</v>
      </c>
      <c r="P221" s="518">
        <v>0</v>
      </c>
      <c r="Q221" s="519"/>
      <c r="R221" s="516">
        <v>0</v>
      </c>
      <c r="S221" s="516">
        <v>0</v>
      </c>
      <c r="T221" s="516">
        <v>0</v>
      </c>
      <c r="U221" s="517"/>
      <c r="V221" s="342">
        <v>0</v>
      </c>
      <c r="W221" s="518">
        <v>0</v>
      </c>
    </row>
    <row r="222" spans="1:23" x14ac:dyDescent="0.25">
      <c r="A222" s="515">
        <v>217</v>
      </c>
      <c r="B222" t="s">
        <v>247</v>
      </c>
      <c r="C222" s="308" t="s">
        <v>15</v>
      </c>
      <c r="D222" s="308" t="s">
        <v>43</v>
      </c>
      <c r="F222" s="516">
        <v>209</v>
      </c>
      <c r="G222" s="516">
        <v>268300.95999999996</v>
      </c>
      <c r="H222" s="516">
        <v>2090</v>
      </c>
      <c r="I222" s="517"/>
      <c r="J222" s="516">
        <v>0</v>
      </c>
      <c r="K222" s="516">
        <v>0</v>
      </c>
      <c r="L222" s="516">
        <v>0</v>
      </c>
      <c r="M222" s="517"/>
      <c r="N222" s="342">
        <v>209</v>
      </c>
      <c r="O222" s="518">
        <v>268300.95999999996</v>
      </c>
      <c r="P222" s="518">
        <v>2090</v>
      </c>
      <c r="Q222" s="519"/>
      <c r="R222" s="516">
        <v>0</v>
      </c>
      <c r="S222" s="516">
        <v>0</v>
      </c>
      <c r="T222" s="516">
        <v>0</v>
      </c>
      <c r="U222" s="517"/>
      <c r="V222" s="342">
        <v>209</v>
      </c>
      <c r="W222" s="518">
        <v>268300.95999999996</v>
      </c>
    </row>
    <row r="223" spans="1:23" x14ac:dyDescent="0.25">
      <c r="A223" s="515">
        <v>218</v>
      </c>
      <c r="B223" t="s">
        <v>248</v>
      </c>
      <c r="C223" s="308" t="s">
        <v>15</v>
      </c>
      <c r="D223" s="308" t="s">
        <v>16</v>
      </c>
      <c r="F223" s="516">
        <v>0</v>
      </c>
      <c r="G223" s="516">
        <v>0</v>
      </c>
      <c r="H223" s="516">
        <v>0</v>
      </c>
      <c r="I223" s="517"/>
      <c r="J223" s="516">
        <v>0</v>
      </c>
      <c r="K223" s="516">
        <v>0</v>
      </c>
      <c r="L223" s="516">
        <v>0</v>
      </c>
      <c r="M223" s="517"/>
      <c r="N223" s="342">
        <v>0</v>
      </c>
      <c r="O223" s="518">
        <v>0</v>
      </c>
      <c r="P223" s="518">
        <v>0</v>
      </c>
      <c r="Q223" s="519"/>
      <c r="R223" s="516">
        <v>0</v>
      </c>
      <c r="S223" s="516">
        <v>0</v>
      </c>
      <c r="T223" s="516">
        <v>0</v>
      </c>
      <c r="U223" s="517"/>
      <c r="V223" s="342">
        <v>0</v>
      </c>
      <c r="W223" s="518">
        <v>0</v>
      </c>
    </row>
    <row r="224" spans="1:23" x14ac:dyDescent="0.25">
      <c r="A224" s="515">
        <v>219</v>
      </c>
      <c r="B224" t="s">
        <v>249</v>
      </c>
      <c r="C224" s="308" t="s">
        <v>15</v>
      </c>
      <c r="D224" s="308" t="s">
        <v>16</v>
      </c>
      <c r="F224" s="516">
        <v>0</v>
      </c>
      <c r="G224" s="516">
        <v>0</v>
      </c>
      <c r="H224" s="516">
        <v>0</v>
      </c>
      <c r="I224" s="517"/>
      <c r="J224" s="516">
        <v>0</v>
      </c>
      <c r="K224" s="516">
        <v>0</v>
      </c>
      <c r="L224" s="516">
        <v>0</v>
      </c>
      <c r="M224" s="517"/>
      <c r="N224" s="342">
        <v>0</v>
      </c>
      <c r="O224" s="518">
        <v>0</v>
      </c>
      <c r="P224" s="518">
        <v>0</v>
      </c>
      <c r="Q224" s="519"/>
      <c r="R224" s="516">
        <v>0</v>
      </c>
      <c r="S224" s="516">
        <v>0</v>
      </c>
      <c r="T224" s="516">
        <v>0</v>
      </c>
      <c r="U224" s="517"/>
      <c r="V224" s="342">
        <v>0</v>
      </c>
      <c r="W224" s="518">
        <v>0</v>
      </c>
    </row>
    <row r="225" spans="1:23" x14ac:dyDescent="0.25">
      <c r="A225" s="515">
        <v>220</v>
      </c>
      <c r="B225" t="s">
        <v>250</v>
      </c>
      <c r="C225" s="308" t="s">
        <v>18</v>
      </c>
      <c r="D225" s="308" t="s">
        <v>20</v>
      </c>
      <c r="F225" s="516">
        <v>43</v>
      </c>
      <c r="G225" s="516">
        <v>88235</v>
      </c>
      <c r="H225" s="516">
        <v>870</v>
      </c>
      <c r="I225" s="517"/>
      <c r="J225" s="516">
        <v>0</v>
      </c>
      <c r="K225" s="516">
        <v>0</v>
      </c>
      <c r="L225" s="516">
        <v>0</v>
      </c>
      <c r="M225" s="517"/>
      <c r="N225" s="342">
        <v>43</v>
      </c>
      <c r="O225" s="518">
        <v>88235</v>
      </c>
      <c r="P225" s="518">
        <v>870</v>
      </c>
      <c r="Q225" s="519"/>
      <c r="R225" s="516">
        <v>0</v>
      </c>
      <c r="S225" s="516">
        <v>0</v>
      </c>
      <c r="T225" s="516">
        <v>0</v>
      </c>
      <c r="U225" s="517"/>
      <c r="V225" s="342">
        <v>43</v>
      </c>
      <c r="W225" s="518">
        <v>88235</v>
      </c>
    </row>
    <row r="226" spans="1:23" x14ac:dyDescent="0.25">
      <c r="A226" s="515">
        <v>221</v>
      </c>
      <c r="B226" t="s">
        <v>251</v>
      </c>
      <c r="C226" s="308" t="s">
        <v>15</v>
      </c>
      <c r="D226" s="308" t="s">
        <v>16</v>
      </c>
      <c r="F226" s="516">
        <v>1</v>
      </c>
      <c r="G226" s="516">
        <v>5810</v>
      </c>
      <c r="H226" s="516">
        <v>50</v>
      </c>
      <c r="I226" s="517"/>
      <c r="J226" s="516">
        <v>0</v>
      </c>
      <c r="K226" s="516">
        <v>0</v>
      </c>
      <c r="L226" s="516">
        <v>0</v>
      </c>
      <c r="M226" s="517"/>
      <c r="N226" s="342">
        <v>1</v>
      </c>
      <c r="O226" s="518">
        <v>5810</v>
      </c>
      <c r="P226" s="518">
        <v>50</v>
      </c>
      <c r="Q226" s="519"/>
      <c r="R226" s="516">
        <v>0</v>
      </c>
      <c r="S226" s="516">
        <v>0</v>
      </c>
      <c r="T226" s="516">
        <v>0</v>
      </c>
      <c r="U226" s="517"/>
      <c r="V226" s="342">
        <v>1</v>
      </c>
      <c r="W226" s="518">
        <v>5810</v>
      </c>
    </row>
    <row r="227" spans="1:23" x14ac:dyDescent="0.25">
      <c r="A227" s="515">
        <v>222</v>
      </c>
      <c r="B227" t="s">
        <v>252</v>
      </c>
      <c r="C227" s="308" t="s">
        <v>18</v>
      </c>
      <c r="D227" s="308" t="s">
        <v>16</v>
      </c>
      <c r="F227" s="516">
        <v>0</v>
      </c>
      <c r="G227" s="516">
        <v>0</v>
      </c>
      <c r="H227" s="516">
        <v>0</v>
      </c>
      <c r="I227" s="517"/>
      <c r="J227" s="516">
        <v>0</v>
      </c>
      <c r="K227" s="516">
        <v>0</v>
      </c>
      <c r="L227" s="516">
        <v>0</v>
      </c>
      <c r="M227" s="517"/>
      <c r="N227" s="342">
        <v>0</v>
      </c>
      <c r="O227" s="518">
        <v>0</v>
      </c>
      <c r="P227" s="518">
        <v>0</v>
      </c>
      <c r="Q227" s="519"/>
      <c r="R227" s="516">
        <v>0</v>
      </c>
      <c r="S227" s="516">
        <v>0</v>
      </c>
      <c r="T227" s="516">
        <v>0</v>
      </c>
      <c r="U227" s="517"/>
      <c r="V227" s="342">
        <v>0</v>
      </c>
      <c r="W227" s="518">
        <v>0</v>
      </c>
    </row>
    <row r="228" spans="1:23" x14ac:dyDescent="0.25">
      <c r="A228" s="515">
        <v>223</v>
      </c>
      <c r="B228" t="s">
        <v>253</v>
      </c>
      <c r="C228" s="308" t="s">
        <v>15</v>
      </c>
      <c r="D228" s="308" t="s">
        <v>45</v>
      </c>
      <c r="F228" s="516">
        <v>5</v>
      </c>
      <c r="G228" s="516">
        <v>2863.2799999999997</v>
      </c>
      <c r="H228" s="516">
        <v>40</v>
      </c>
      <c r="I228" s="517"/>
      <c r="J228" s="516">
        <v>0</v>
      </c>
      <c r="K228" s="516">
        <v>0</v>
      </c>
      <c r="L228" s="516">
        <v>0</v>
      </c>
      <c r="M228" s="517"/>
      <c r="N228" s="342">
        <v>5</v>
      </c>
      <c r="O228" s="518">
        <v>2863.2799999999997</v>
      </c>
      <c r="P228" s="518">
        <v>40</v>
      </c>
      <c r="Q228" s="519"/>
      <c r="R228" s="516">
        <v>0</v>
      </c>
      <c r="S228" s="516">
        <v>0</v>
      </c>
      <c r="T228" s="516">
        <v>0</v>
      </c>
      <c r="U228" s="517"/>
      <c r="V228" s="342">
        <v>5</v>
      </c>
      <c r="W228" s="518">
        <v>2863.2799999999997</v>
      </c>
    </row>
    <row r="229" spans="1:23" x14ac:dyDescent="0.25">
      <c r="A229" s="515">
        <v>224</v>
      </c>
      <c r="B229" t="s">
        <v>254</v>
      </c>
      <c r="C229" s="308" t="s">
        <v>255</v>
      </c>
      <c r="D229" s="308" t="s">
        <v>16</v>
      </c>
      <c r="F229" s="516">
        <v>0</v>
      </c>
      <c r="G229" s="516">
        <v>0</v>
      </c>
      <c r="H229" s="516">
        <v>0</v>
      </c>
      <c r="I229" s="517"/>
      <c r="J229" s="516">
        <v>0</v>
      </c>
      <c r="K229" s="516">
        <v>0</v>
      </c>
      <c r="L229" s="516">
        <v>0</v>
      </c>
      <c r="M229" s="517"/>
      <c r="N229" s="342">
        <v>0</v>
      </c>
      <c r="O229" s="518">
        <v>0</v>
      </c>
      <c r="P229" s="518">
        <v>0</v>
      </c>
      <c r="Q229" s="519"/>
      <c r="R229" s="516">
        <v>0</v>
      </c>
      <c r="S229" s="516">
        <v>0</v>
      </c>
      <c r="T229" s="516">
        <v>0</v>
      </c>
      <c r="U229" s="517"/>
      <c r="V229" s="342">
        <v>0</v>
      </c>
      <c r="W229" s="518">
        <v>0</v>
      </c>
    </row>
    <row r="230" spans="1:23" x14ac:dyDescent="0.25">
      <c r="A230" s="515">
        <v>225</v>
      </c>
      <c r="B230" t="s">
        <v>256</v>
      </c>
      <c r="C230" s="308"/>
      <c r="D230" s="308" t="s">
        <v>16</v>
      </c>
      <c r="F230" s="516">
        <v>123</v>
      </c>
      <c r="G230" s="516">
        <v>174750.97</v>
      </c>
      <c r="H230" s="516">
        <v>1230</v>
      </c>
      <c r="I230" s="517"/>
      <c r="J230" s="516">
        <v>0</v>
      </c>
      <c r="K230" s="516">
        <v>0</v>
      </c>
      <c r="L230" s="516">
        <v>0</v>
      </c>
      <c r="M230" s="517"/>
      <c r="N230" s="342">
        <v>123</v>
      </c>
      <c r="O230" s="518">
        <v>174750.97</v>
      </c>
      <c r="P230" s="518">
        <v>1230</v>
      </c>
      <c r="Q230" s="519"/>
      <c r="R230" s="516">
        <v>0</v>
      </c>
      <c r="S230" s="516">
        <v>0</v>
      </c>
      <c r="T230" s="516">
        <v>0</v>
      </c>
      <c r="U230" s="517"/>
      <c r="V230" s="342">
        <v>123</v>
      </c>
      <c r="W230" s="518">
        <v>174750.97</v>
      </c>
    </row>
    <row r="231" spans="1:23" x14ac:dyDescent="0.25">
      <c r="A231" s="515">
        <v>226</v>
      </c>
      <c r="B231" t="s">
        <v>2229</v>
      </c>
      <c r="C231" s="308" t="s">
        <v>255</v>
      </c>
      <c r="D231" s="308" t="s">
        <v>16</v>
      </c>
      <c r="F231" s="516">
        <v>0</v>
      </c>
      <c r="G231" s="516">
        <v>0</v>
      </c>
      <c r="H231" s="516">
        <v>0</v>
      </c>
      <c r="I231" s="517"/>
      <c r="J231" s="516">
        <v>0</v>
      </c>
      <c r="K231" s="516">
        <v>0</v>
      </c>
      <c r="L231" s="516">
        <v>0</v>
      </c>
      <c r="M231" s="517"/>
      <c r="N231" s="342">
        <v>0</v>
      </c>
      <c r="O231" s="518">
        <v>0</v>
      </c>
      <c r="P231" s="518">
        <v>0</v>
      </c>
      <c r="Q231" s="519"/>
      <c r="R231" s="516">
        <v>0</v>
      </c>
      <c r="S231" s="516">
        <v>0</v>
      </c>
      <c r="T231" s="516">
        <v>0</v>
      </c>
      <c r="U231" s="517"/>
      <c r="V231" s="342">
        <v>0</v>
      </c>
      <c r="W231" s="518">
        <v>0</v>
      </c>
    </row>
    <row r="232" spans="1:23" x14ac:dyDescent="0.25">
      <c r="A232" s="515">
        <v>227</v>
      </c>
      <c r="B232" t="s">
        <v>257</v>
      </c>
      <c r="C232" s="308" t="s">
        <v>258</v>
      </c>
      <c r="D232" s="308" t="s">
        <v>16</v>
      </c>
      <c r="F232" s="516">
        <v>0</v>
      </c>
      <c r="G232" s="516">
        <v>0</v>
      </c>
      <c r="H232" s="516">
        <v>0</v>
      </c>
      <c r="I232" s="517"/>
      <c r="J232" s="516">
        <v>0</v>
      </c>
      <c r="K232" s="516">
        <v>0</v>
      </c>
      <c r="L232" s="516">
        <v>0</v>
      </c>
      <c r="M232" s="517"/>
      <c r="N232" s="342">
        <v>0</v>
      </c>
      <c r="O232" s="518">
        <v>0</v>
      </c>
      <c r="P232" s="518">
        <v>0</v>
      </c>
      <c r="Q232" s="519"/>
      <c r="R232" s="516">
        <v>0</v>
      </c>
      <c r="S232" s="516">
        <v>0</v>
      </c>
      <c r="T232" s="516">
        <v>0</v>
      </c>
      <c r="U232" s="517"/>
      <c r="V232" s="342">
        <v>0</v>
      </c>
      <c r="W232" s="518">
        <v>0</v>
      </c>
    </row>
    <row r="233" spans="1:23" x14ac:dyDescent="0.25">
      <c r="A233" s="515">
        <v>228</v>
      </c>
      <c r="B233" t="s">
        <v>259</v>
      </c>
      <c r="C233" s="308" t="s">
        <v>15</v>
      </c>
      <c r="D233" s="308" t="s">
        <v>45</v>
      </c>
      <c r="F233" s="520">
        <v>10</v>
      </c>
      <c r="G233" s="522">
        <v>5600.01</v>
      </c>
      <c r="H233" s="520">
        <v>80</v>
      </c>
      <c r="I233" s="517"/>
      <c r="J233" s="516">
        <v>0</v>
      </c>
      <c r="K233" s="516">
        <v>0</v>
      </c>
      <c r="L233" s="516">
        <v>0</v>
      </c>
      <c r="M233" s="517"/>
      <c r="N233" s="342">
        <v>10</v>
      </c>
      <c r="O233" s="518">
        <v>5600.01</v>
      </c>
      <c r="P233" s="518">
        <v>80</v>
      </c>
      <c r="Q233" s="519"/>
      <c r="R233" s="516">
        <v>0</v>
      </c>
      <c r="S233" s="516">
        <v>0</v>
      </c>
      <c r="T233" s="516">
        <v>0</v>
      </c>
      <c r="U233" s="517"/>
      <c r="V233" s="342">
        <v>10</v>
      </c>
      <c r="W233" s="518">
        <v>5600.01</v>
      </c>
    </row>
    <row r="234" spans="1:23" x14ac:dyDescent="0.25">
      <c r="A234" s="515">
        <v>229</v>
      </c>
      <c r="B234" t="s">
        <v>260</v>
      </c>
      <c r="C234" s="308" t="s">
        <v>18</v>
      </c>
      <c r="D234" s="308" t="s">
        <v>16</v>
      </c>
      <c r="F234" s="516">
        <v>1</v>
      </c>
      <c r="G234" s="516">
        <v>7400</v>
      </c>
      <c r="H234" s="516">
        <v>50</v>
      </c>
      <c r="I234" s="517"/>
      <c r="J234" s="516">
        <v>0</v>
      </c>
      <c r="K234" s="516">
        <v>0</v>
      </c>
      <c r="L234" s="516">
        <v>0</v>
      </c>
      <c r="M234" s="517"/>
      <c r="N234" s="342">
        <v>1</v>
      </c>
      <c r="O234" s="518">
        <v>7400</v>
      </c>
      <c r="P234" s="518">
        <v>50</v>
      </c>
      <c r="Q234" s="519"/>
      <c r="R234" s="516">
        <v>0</v>
      </c>
      <c r="S234" s="516">
        <v>0</v>
      </c>
      <c r="T234" s="516">
        <v>0</v>
      </c>
      <c r="U234" s="517"/>
      <c r="V234" s="342">
        <v>1</v>
      </c>
      <c r="W234" s="518">
        <v>7400</v>
      </c>
    </row>
    <row r="235" spans="1:23" x14ac:dyDescent="0.25">
      <c r="A235" s="515">
        <v>230</v>
      </c>
      <c r="B235" t="s">
        <v>261</v>
      </c>
      <c r="C235" s="308" t="s">
        <v>25</v>
      </c>
      <c r="D235" s="308" t="s">
        <v>16</v>
      </c>
      <c r="F235" s="516">
        <v>0</v>
      </c>
      <c r="G235" s="516">
        <v>0</v>
      </c>
      <c r="H235" s="516">
        <v>0</v>
      </c>
      <c r="I235" s="517"/>
      <c r="J235" s="516">
        <v>0</v>
      </c>
      <c r="K235" s="516">
        <v>0</v>
      </c>
      <c r="L235" s="516">
        <v>0</v>
      </c>
      <c r="M235" s="517"/>
      <c r="N235" s="342">
        <v>0</v>
      </c>
      <c r="O235" s="518">
        <v>0</v>
      </c>
      <c r="P235" s="518">
        <v>0</v>
      </c>
      <c r="Q235" s="519"/>
      <c r="R235" s="516">
        <v>0</v>
      </c>
      <c r="S235" s="516">
        <v>0</v>
      </c>
      <c r="T235" s="516">
        <v>0</v>
      </c>
      <c r="U235" s="517"/>
      <c r="V235" s="342">
        <v>0</v>
      </c>
      <c r="W235" s="518">
        <v>0</v>
      </c>
    </row>
    <row r="236" spans="1:23" x14ac:dyDescent="0.25">
      <c r="A236" s="515">
        <v>231</v>
      </c>
      <c r="B236" t="s">
        <v>262</v>
      </c>
      <c r="C236" s="308" t="s">
        <v>25</v>
      </c>
      <c r="D236" s="308" t="s">
        <v>16</v>
      </c>
      <c r="F236" s="516">
        <v>0</v>
      </c>
      <c r="G236" s="516">
        <v>0</v>
      </c>
      <c r="H236" s="516">
        <v>0</v>
      </c>
      <c r="I236" s="517"/>
      <c r="J236" s="516">
        <v>0</v>
      </c>
      <c r="K236" s="516">
        <v>0</v>
      </c>
      <c r="L236" s="516">
        <v>0</v>
      </c>
      <c r="M236" s="517"/>
      <c r="N236" s="342">
        <v>0</v>
      </c>
      <c r="O236" s="518">
        <v>0</v>
      </c>
      <c r="P236" s="518">
        <v>0</v>
      </c>
      <c r="Q236" s="519"/>
      <c r="R236" s="516">
        <v>0</v>
      </c>
      <c r="S236" s="516">
        <v>0</v>
      </c>
      <c r="T236" s="516">
        <v>0</v>
      </c>
      <c r="U236" s="517"/>
      <c r="V236" s="342">
        <v>0</v>
      </c>
      <c r="W236" s="518">
        <v>0</v>
      </c>
    </row>
    <row r="237" spans="1:23" x14ac:dyDescent="0.25">
      <c r="A237" s="515">
        <v>232</v>
      </c>
      <c r="B237" t="s">
        <v>263</v>
      </c>
      <c r="C237" s="308" t="s">
        <v>25</v>
      </c>
      <c r="D237" s="308" t="s">
        <v>16</v>
      </c>
      <c r="F237" s="516">
        <v>1</v>
      </c>
      <c r="G237" s="516">
        <v>1206</v>
      </c>
      <c r="H237" s="516">
        <v>8</v>
      </c>
      <c r="I237" s="517"/>
      <c r="J237" s="516">
        <v>0</v>
      </c>
      <c r="K237" s="516">
        <v>0</v>
      </c>
      <c r="L237" s="516">
        <v>0</v>
      </c>
      <c r="M237" s="517"/>
      <c r="N237" s="342">
        <v>1</v>
      </c>
      <c r="O237" s="518">
        <v>1206</v>
      </c>
      <c r="P237" s="518">
        <v>8</v>
      </c>
      <c r="Q237" s="519"/>
      <c r="R237" s="516">
        <v>0</v>
      </c>
      <c r="S237" s="516">
        <v>0</v>
      </c>
      <c r="T237" s="516">
        <v>0</v>
      </c>
      <c r="U237" s="517"/>
      <c r="V237" s="342">
        <v>1</v>
      </c>
      <c r="W237" s="518">
        <v>1206</v>
      </c>
    </row>
    <row r="238" spans="1:23" x14ac:dyDescent="0.25">
      <c r="A238" s="515">
        <v>233</v>
      </c>
      <c r="B238" t="s">
        <v>264</v>
      </c>
      <c r="C238" s="308"/>
      <c r="D238" s="308" t="s">
        <v>16</v>
      </c>
      <c r="F238" s="516">
        <v>0</v>
      </c>
      <c r="G238" s="516">
        <v>0</v>
      </c>
      <c r="H238" s="516">
        <v>0</v>
      </c>
      <c r="I238" s="517"/>
      <c r="J238" s="516">
        <v>0</v>
      </c>
      <c r="K238" s="516">
        <v>0</v>
      </c>
      <c r="L238" s="516">
        <v>0</v>
      </c>
      <c r="M238" s="517"/>
      <c r="N238" s="342">
        <v>0</v>
      </c>
      <c r="O238" s="518">
        <v>0</v>
      </c>
      <c r="P238" s="518">
        <v>0</v>
      </c>
      <c r="Q238" s="519"/>
      <c r="R238" s="516">
        <v>0</v>
      </c>
      <c r="S238" s="516">
        <v>0</v>
      </c>
      <c r="T238" s="516">
        <v>0</v>
      </c>
      <c r="U238" s="517"/>
      <c r="V238" s="342">
        <v>0</v>
      </c>
      <c r="W238" s="518">
        <v>0</v>
      </c>
    </row>
    <row r="239" spans="1:23" x14ac:dyDescent="0.25">
      <c r="A239" s="515">
        <v>234</v>
      </c>
      <c r="B239" t="s">
        <v>265</v>
      </c>
      <c r="C239" s="308" t="s">
        <v>25</v>
      </c>
      <c r="D239" s="308" t="s">
        <v>16</v>
      </c>
      <c r="F239" s="516">
        <v>0</v>
      </c>
      <c r="G239" s="516">
        <v>0</v>
      </c>
      <c r="H239" s="516">
        <v>0</v>
      </c>
      <c r="I239" s="517"/>
      <c r="J239" s="516">
        <v>0</v>
      </c>
      <c r="K239" s="516">
        <v>0</v>
      </c>
      <c r="L239" s="516">
        <v>0</v>
      </c>
      <c r="M239" s="517"/>
      <c r="N239" s="342">
        <v>0</v>
      </c>
      <c r="O239" s="518">
        <v>0</v>
      </c>
      <c r="P239" s="518">
        <v>0</v>
      </c>
      <c r="Q239" s="519"/>
      <c r="R239" s="516">
        <v>0</v>
      </c>
      <c r="S239" s="516">
        <v>0</v>
      </c>
      <c r="T239" s="516">
        <v>0</v>
      </c>
      <c r="U239" s="517"/>
      <c r="V239" s="342">
        <v>0</v>
      </c>
      <c r="W239" s="518">
        <v>0</v>
      </c>
    </row>
    <row r="240" spans="1:23" x14ac:dyDescent="0.25">
      <c r="A240" s="515">
        <v>235</v>
      </c>
      <c r="B240" t="s">
        <v>266</v>
      </c>
      <c r="C240" s="308" t="s">
        <v>25</v>
      </c>
      <c r="D240" s="308" t="s">
        <v>16</v>
      </c>
      <c r="F240" s="516">
        <v>10</v>
      </c>
      <c r="G240" s="516">
        <v>11009.369999999999</v>
      </c>
      <c r="H240" s="516">
        <v>80</v>
      </c>
      <c r="I240" s="517"/>
      <c r="J240" s="516">
        <v>0</v>
      </c>
      <c r="K240" s="516">
        <v>0</v>
      </c>
      <c r="L240" s="516">
        <v>0</v>
      </c>
      <c r="M240" s="517"/>
      <c r="N240" s="342">
        <v>10</v>
      </c>
      <c r="O240" s="518">
        <v>11009.369999999999</v>
      </c>
      <c r="P240" s="518">
        <v>80</v>
      </c>
      <c r="Q240" s="519"/>
      <c r="R240" s="516">
        <v>0</v>
      </c>
      <c r="S240" s="516">
        <v>0</v>
      </c>
      <c r="T240" s="516">
        <v>0</v>
      </c>
      <c r="U240" s="517"/>
      <c r="V240" s="342">
        <v>10</v>
      </c>
      <c r="W240" s="518">
        <v>11009.369999999999</v>
      </c>
    </row>
    <row r="241" spans="1:23" x14ac:dyDescent="0.25">
      <c r="A241" s="515">
        <v>236</v>
      </c>
      <c r="B241" t="s">
        <v>267</v>
      </c>
      <c r="C241" s="308" t="s">
        <v>25</v>
      </c>
      <c r="D241" s="308" t="s">
        <v>16</v>
      </c>
      <c r="F241" s="516">
        <v>0</v>
      </c>
      <c r="G241" s="516">
        <v>0</v>
      </c>
      <c r="H241" s="516">
        <v>0</v>
      </c>
      <c r="I241" s="517"/>
      <c r="J241" s="516">
        <v>0</v>
      </c>
      <c r="K241" s="516">
        <v>0</v>
      </c>
      <c r="L241" s="516">
        <v>0</v>
      </c>
      <c r="M241" s="517"/>
      <c r="N241" s="342">
        <v>0</v>
      </c>
      <c r="O241" s="518">
        <v>0</v>
      </c>
      <c r="P241" s="518">
        <v>0</v>
      </c>
      <c r="Q241" s="519"/>
      <c r="R241" s="516">
        <v>0</v>
      </c>
      <c r="S241" s="516">
        <v>0</v>
      </c>
      <c r="T241" s="516">
        <v>0</v>
      </c>
      <c r="U241" s="517"/>
      <c r="V241" s="342">
        <v>0</v>
      </c>
      <c r="W241" s="518">
        <v>0</v>
      </c>
    </row>
    <row r="242" spans="1:23" x14ac:dyDescent="0.25">
      <c r="A242" s="515">
        <v>237</v>
      </c>
      <c r="B242" t="s">
        <v>268</v>
      </c>
      <c r="C242" s="308" t="s">
        <v>25</v>
      </c>
      <c r="D242" s="308" t="s">
        <v>16</v>
      </c>
      <c r="F242" s="516">
        <v>44</v>
      </c>
      <c r="G242" s="516">
        <v>34121.800000000003</v>
      </c>
      <c r="H242" s="516">
        <v>352</v>
      </c>
      <c r="I242" s="517"/>
      <c r="J242" s="516">
        <v>0</v>
      </c>
      <c r="K242" s="516">
        <v>0</v>
      </c>
      <c r="L242" s="516">
        <v>0</v>
      </c>
      <c r="M242" s="517"/>
      <c r="N242" s="342">
        <v>44</v>
      </c>
      <c r="O242" s="518">
        <v>34121.800000000003</v>
      </c>
      <c r="P242" s="518">
        <v>352</v>
      </c>
      <c r="Q242" s="519"/>
      <c r="R242" s="516">
        <v>0</v>
      </c>
      <c r="S242" s="516">
        <v>0</v>
      </c>
      <c r="T242" s="516">
        <v>0</v>
      </c>
      <c r="U242" s="517"/>
      <c r="V242" s="342">
        <v>44</v>
      </c>
      <c r="W242" s="518">
        <v>34121.800000000003</v>
      </c>
    </row>
    <row r="243" spans="1:23" x14ac:dyDescent="0.25">
      <c r="A243" s="515">
        <v>238</v>
      </c>
      <c r="B243" t="s">
        <v>269</v>
      </c>
      <c r="C243" s="308" t="s">
        <v>25</v>
      </c>
      <c r="D243" s="308" t="s">
        <v>16</v>
      </c>
      <c r="F243" s="516">
        <v>7</v>
      </c>
      <c r="G243" s="516">
        <v>7186</v>
      </c>
      <c r="H243" s="516">
        <v>56</v>
      </c>
      <c r="I243" s="517"/>
      <c r="J243" s="516">
        <v>0</v>
      </c>
      <c r="K243" s="516">
        <v>0</v>
      </c>
      <c r="L243" s="516">
        <v>0</v>
      </c>
      <c r="M243" s="517"/>
      <c r="N243" s="342">
        <v>7</v>
      </c>
      <c r="O243" s="518">
        <v>7186</v>
      </c>
      <c r="P243" s="518">
        <v>56</v>
      </c>
      <c r="Q243" s="519"/>
      <c r="R243" s="516">
        <v>0</v>
      </c>
      <c r="S243" s="516">
        <v>0</v>
      </c>
      <c r="T243" s="516">
        <v>0</v>
      </c>
      <c r="U243" s="517"/>
      <c r="V243" s="342">
        <v>7</v>
      </c>
      <c r="W243" s="518">
        <v>7186</v>
      </c>
    </row>
    <row r="244" spans="1:23" x14ac:dyDescent="0.25">
      <c r="A244" s="515">
        <v>239</v>
      </c>
      <c r="B244" t="s">
        <v>270</v>
      </c>
      <c r="C244" s="308" t="s">
        <v>25</v>
      </c>
      <c r="D244" s="308" t="s">
        <v>16</v>
      </c>
      <c r="F244" s="516">
        <v>3</v>
      </c>
      <c r="G244" s="516">
        <v>2699</v>
      </c>
      <c r="H244" s="516">
        <v>24</v>
      </c>
      <c r="I244" s="517"/>
      <c r="J244" s="516">
        <v>0</v>
      </c>
      <c r="K244" s="516">
        <v>0</v>
      </c>
      <c r="L244" s="516">
        <v>0</v>
      </c>
      <c r="M244" s="517"/>
      <c r="N244" s="342">
        <v>3</v>
      </c>
      <c r="O244" s="518">
        <v>2699</v>
      </c>
      <c r="P244" s="518">
        <v>24</v>
      </c>
      <c r="Q244" s="519"/>
      <c r="R244" s="516">
        <v>0</v>
      </c>
      <c r="S244" s="516">
        <v>0</v>
      </c>
      <c r="T244" s="516">
        <v>0</v>
      </c>
      <c r="U244" s="517"/>
      <c r="V244" s="342">
        <v>3</v>
      </c>
      <c r="W244" s="518">
        <v>2699</v>
      </c>
    </row>
    <row r="245" spans="1:23" x14ac:dyDescent="0.25">
      <c r="A245" s="515">
        <v>240</v>
      </c>
      <c r="B245" t="s">
        <v>271</v>
      </c>
      <c r="C245" s="308" t="s">
        <v>25</v>
      </c>
      <c r="D245" s="308" t="s">
        <v>16</v>
      </c>
      <c r="F245" s="516">
        <v>3</v>
      </c>
      <c r="G245" s="516">
        <v>1320</v>
      </c>
      <c r="H245" s="516">
        <v>24</v>
      </c>
      <c r="I245" s="517"/>
      <c r="J245" s="516">
        <v>0</v>
      </c>
      <c r="K245" s="516">
        <v>0</v>
      </c>
      <c r="L245" s="516">
        <v>0</v>
      </c>
      <c r="M245" s="517"/>
      <c r="N245" s="342">
        <v>3</v>
      </c>
      <c r="O245" s="518">
        <v>1320</v>
      </c>
      <c r="P245" s="518">
        <v>24</v>
      </c>
      <c r="Q245" s="519"/>
      <c r="R245" s="516">
        <v>0</v>
      </c>
      <c r="S245" s="516">
        <v>0</v>
      </c>
      <c r="T245" s="516">
        <v>0</v>
      </c>
      <c r="U245" s="517"/>
      <c r="V245" s="342">
        <v>3</v>
      </c>
      <c r="W245" s="518">
        <v>1320</v>
      </c>
    </row>
    <row r="246" spans="1:23" x14ac:dyDescent="0.25">
      <c r="A246" s="515">
        <v>241</v>
      </c>
      <c r="B246" t="s">
        <v>272</v>
      </c>
      <c r="C246" s="308" t="s">
        <v>25</v>
      </c>
      <c r="D246" s="308" t="s">
        <v>16</v>
      </c>
      <c r="F246" s="516">
        <v>1</v>
      </c>
      <c r="G246" s="516">
        <v>1039</v>
      </c>
      <c r="H246" s="516">
        <v>8</v>
      </c>
      <c r="I246" s="517"/>
      <c r="J246" s="516">
        <v>0</v>
      </c>
      <c r="K246" s="516">
        <v>0</v>
      </c>
      <c r="L246" s="516">
        <v>0</v>
      </c>
      <c r="M246" s="517"/>
      <c r="N246" s="342">
        <v>1</v>
      </c>
      <c r="O246" s="518">
        <v>1039</v>
      </c>
      <c r="P246" s="518">
        <v>8</v>
      </c>
      <c r="Q246" s="519"/>
      <c r="R246" s="516">
        <v>0</v>
      </c>
      <c r="S246" s="516">
        <v>0</v>
      </c>
      <c r="T246" s="516">
        <v>0</v>
      </c>
      <c r="U246" s="517"/>
      <c r="V246" s="342">
        <v>1</v>
      </c>
      <c r="W246" s="518">
        <v>1039</v>
      </c>
    </row>
    <row r="247" spans="1:23" x14ac:dyDescent="0.25">
      <c r="A247" s="515">
        <v>242</v>
      </c>
      <c r="B247" t="s">
        <v>273</v>
      </c>
      <c r="C247" s="308" t="s">
        <v>25</v>
      </c>
      <c r="D247" s="308" t="s">
        <v>16</v>
      </c>
      <c r="F247" s="516">
        <v>1</v>
      </c>
      <c r="G247" s="516">
        <v>7466</v>
      </c>
      <c r="H247" s="516">
        <v>8</v>
      </c>
      <c r="I247" s="517"/>
      <c r="J247" s="516">
        <v>0</v>
      </c>
      <c r="K247" s="516">
        <v>0</v>
      </c>
      <c r="L247" s="516">
        <v>0</v>
      </c>
      <c r="M247" s="517"/>
      <c r="N247" s="342">
        <v>1</v>
      </c>
      <c r="O247" s="518">
        <v>7466</v>
      </c>
      <c r="P247" s="518">
        <v>8</v>
      </c>
      <c r="Q247" s="519"/>
      <c r="R247" s="516">
        <v>0</v>
      </c>
      <c r="S247" s="516">
        <v>0</v>
      </c>
      <c r="T247" s="516">
        <v>0</v>
      </c>
      <c r="U247" s="517"/>
      <c r="V247" s="342">
        <v>1</v>
      </c>
      <c r="W247" s="518">
        <v>7466</v>
      </c>
    </row>
    <row r="248" spans="1:23" x14ac:dyDescent="0.25">
      <c r="A248" s="515">
        <v>243</v>
      </c>
      <c r="B248" t="s">
        <v>274</v>
      </c>
      <c r="C248" s="308" t="s">
        <v>25</v>
      </c>
      <c r="D248" s="308" t="s">
        <v>16</v>
      </c>
      <c r="F248" s="516">
        <v>12</v>
      </c>
      <c r="G248" s="516">
        <v>7454</v>
      </c>
      <c r="H248" s="516">
        <v>96</v>
      </c>
      <c r="I248" s="517"/>
      <c r="J248" s="516">
        <v>0</v>
      </c>
      <c r="K248" s="516">
        <v>0</v>
      </c>
      <c r="L248" s="516">
        <v>0</v>
      </c>
      <c r="M248" s="517"/>
      <c r="N248" s="342">
        <v>12</v>
      </c>
      <c r="O248" s="518">
        <v>7454</v>
      </c>
      <c r="P248" s="518">
        <v>96</v>
      </c>
      <c r="Q248" s="519"/>
      <c r="R248" s="516">
        <v>0</v>
      </c>
      <c r="S248" s="516">
        <v>0</v>
      </c>
      <c r="T248" s="516">
        <v>0</v>
      </c>
      <c r="U248" s="517"/>
      <c r="V248" s="342">
        <v>12</v>
      </c>
      <c r="W248" s="518">
        <v>7454</v>
      </c>
    </row>
    <row r="249" spans="1:23" x14ac:dyDescent="0.25">
      <c r="A249" s="515">
        <v>244</v>
      </c>
      <c r="B249" t="s">
        <v>275</v>
      </c>
      <c r="C249" s="308" t="s">
        <v>25</v>
      </c>
      <c r="D249" s="308" t="s">
        <v>16</v>
      </c>
      <c r="F249" s="516">
        <v>0</v>
      </c>
      <c r="G249" s="516">
        <v>0</v>
      </c>
      <c r="H249" s="516">
        <v>0</v>
      </c>
      <c r="I249" s="517"/>
      <c r="J249" s="516">
        <v>0</v>
      </c>
      <c r="K249" s="516">
        <v>0</v>
      </c>
      <c r="L249" s="516">
        <v>0</v>
      </c>
      <c r="M249" s="517"/>
      <c r="N249" s="342">
        <v>0</v>
      </c>
      <c r="O249" s="518">
        <v>0</v>
      </c>
      <c r="P249" s="518">
        <v>0</v>
      </c>
      <c r="Q249" s="519"/>
      <c r="R249" s="516">
        <v>0</v>
      </c>
      <c r="S249" s="516">
        <v>0</v>
      </c>
      <c r="T249" s="516">
        <v>0</v>
      </c>
      <c r="U249" s="517"/>
      <c r="V249" s="342">
        <v>0</v>
      </c>
      <c r="W249" s="518">
        <v>0</v>
      </c>
    </row>
    <row r="250" spans="1:23" x14ac:dyDescent="0.25">
      <c r="A250" s="515">
        <v>245</v>
      </c>
      <c r="B250" t="s">
        <v>276</v>
      </c>
      <c r="C250" s="308" t="s">
        <v>154</v>
      </c>
      <c r="D250" s="308" t="s">
        <v>20</v>
      </c>
      <c r="F250" s="516">
        <v>0</v>
      </c>
      <c r="G250" s="516">
        <v>0</v>
      </c>
      <c r="H250" s="516">
        <v>0</v>
      </c>
      <c r="I250" s="517"/>
      <c r="J250" s="516">
        <v>0</v>
      </c>
      <c r="K250" s="516">
        <v>0</v>
      </c>
      <c r="L250" s="516">
        <v>0</v>
      </c>
      <c r="M250" s="517"/>
      <c r="N250" s="342">
        <v>0</v>
      </c>
      <c r="O250" s="518">
        <v>0</v>
      </c>
      <c r="P250" s="518">
        <v>0</v>
      </c>
      <c r="Q250" s="519"/>
      <c r="R250" s="516">
        <v>0</v>
      </c>
      <c r="S250" s="516">
        <v>0</v>
      </c>
      <c r="T250" s="516">
        <v>0</v>
      </c>
      <c r="U250" s="517"/>
      <c r="V250" s="342">
        <v>0</v>
      </c>
      <c r="W250" s="518">
        <v>0</v>
      </c>
    </row>
    <row r="251" spans="1:23" x14ac:dyDescent="0.25">
      <c r="A251" s="515">
        <v>246</v>
      </c>
      <c r="B251" t="s">
        <v>277</v>
      </c>
      <c r="C251" s="308" t="s">
        <v>154</v>
      </c>
      <c r="D251" s="308" t="s">
        <v>16</v>
      </c>
      <c r="F251" s="516">
        <v>0</v>
      </c>
      <c r="G251" s="516">
        <v>0</v>
      </c>
      <c r="H251" s="516">
        <v>0</v>
      </c>
      <c r="I251" s="517"/>
      <c r="J251" s="516">
        <v>0</v>
      </c>
      <c r="K251" s="516">
        <v>0</v>
      </c>
      <c r="L251" s="516">
        <v>0</v>
      </c>
      <c r="M251" s="517"/>
      <c r="N251" s="342">
        <v>0</v>
      </c>
      <c r="O251" s="518">
        <v>0</v>
      </c>
      <c r="P251" s="518">
        <v>0</v>
      </c>
      <c r="Q251" s="519"/>
      <c r="R251" s="516">
        <v>0</v>
      </c>
      <c r="S251" s="516">
        <v>0</v>
      </c>
      <c r="T251" s="516">
        <v>0</v>
      </c>
      <c r="U251" s="517"/>
      <c r="V251" s="342">
        <v>0</v>
      </c>
      <c r="W251" s="518">
        <v>0</v>
      </c>
    </row>
    <row r="252" spans="1:23" x14ac:dyDescent="0.25">
      <c r="A252" s="515">
        <v>247</v>
      </c>
      <c r="B252" t="s">
        <v>278</v>
      </c>
      <c r="C252" s="308" t="s">
        <v>24</v>
      </c>
      <c r="D252" s="308" t="s">
        <v>16</v>
      </c>
      <c r="F252" s="516">
        <v>27</v>
      </c>
      <c r="G252" s="516">
        <v>1766650.3</v>
      </c>
      <c r="H252" s="516">
        <v>1200</v>
      </c>
      <c r="I252" s="517"/>
      <c r="J252" s="516">
        <v>0</v>
      </c>
      <c r="K252" s="516">
        <v>0</v>
      </c>
      <c r="L252" s="516">
        <v>0</v>
      </c>
      <c r="M252" s="517"/>
      <c r="N252" s="342">
        <v>27</v>
      </c>
      <c r="O252" s="518">
        <v>1766650.3</v>
      </c>
      <c r="P252" s="518">
        <v>1200</v>
      </c>
      <c r="Q252" s="519"/>
      <c r="R252" s="516">
        <v>0</v>
      </c>
      <c r="S252" s="516">
        <v>0</v>
      </c>
      <c r="T252" s="516">
        <v>0</v>
      </c>
      <c r="U252" s="517"/>
      <c r="V252" s="342">
        <v>27</v>
      </c>
      <c r="W252" s="518">
        <v>1766650.3</v>
      </c>
    </row>
    <row r="253" spans="1:23" x14ac:dyDescent="0.25">
      <c r="A253" s="515">
        <v>248</v>
      </c>
      <c r="B253" t="s">
        <v>279</v>
      </c>
      <c r="C253" s="308" t="s">
        <v>41</v>
      </c>
      <c r="D253" s="308" t="s">
        <v>20</v>
      </c>
      <c r="F253" s="516">
        <v>0</v>
      </c>
      <c r="G253" s="516">
        <v>0</v>
      </c>
      <c r="H253" s="516">
        <v>0</v>
      </c>
      <c r="I253" s="517"/>
      <c r="J253" s="516">
        <v>0</v>
      </c>
      <c r="K253" s="516">
        <v>0</v>
      </c>
      <c r="L253" s="516">
        <v>0</v>
      </c>
      <c r="M253" s="517"/>
      <c r="N253" s="342">
        <v>0</v>
      </c>
      <c r="O253" s="518">
        <v>0</v>
      </c>
      <c r="P253" s="518">
        <v>0</v>
      </c>
      <c r="Q253" s="519"/>
      <c r="R253" s="516">
        <v>0</v>
      </c>
      <c r="S253" s="516">
        <v>0</v>
      </c>
      <c r="T253" s="516">
        <v>0</v>
      </c>
      <c r="U253" s="517"/>
      <c r="V253" s="342">
        <v>0</v>
      </c>
      <c r="W253" s="518">
        <v>0</v>
      </c>
    </row>
    <row r="254" spans="1:23" x14ac:dyDescent="0.25">
      <c r="A254" s="515">
        <v>249</v>
      </c>
      <c r="B254" t="s">
        <v>280</v>
      </c>
      <c r="C254" s="308" t="s">
        <v>25</v>
      </c>
      <c r="D254" s="308" t="s">
        <v>16</v>
      </c>
      <c r="F254" s="516">
        <v>0</v>
      </c>
      <c r="G254" s="516">
        <v>0</v>
      </c>
      <c r="H254" s="516">
        <v>0</v>
      </c>
      <c r="I254" s="517"/>
      <c r="J254" s="516">
        <v>0</v>
      </c>
      <c r="K254" s="516">
        <v>0</v>
      </c>
      <c r="L254" s="516">
        <v>0</v>
      </c>
      <c r="M254" s="517"/>
      <c r="N254" s="342">
        <v>0</v>
      </c>
      <c r="O254" s="518">
        <v>0</v>
      </c>
      <c r="P254" s="518">
        <v>0</v>
      </c>
      <c r="Q254" s="519"/>
      <c r="R254" s="516">
        <v>0</v>
      </c>
      <c r="S254" s="516">
        <v>0</v>
      </c>
      <c r="T254" s="516">
        <v>0</v>
      </c>
      <c r="U254" s="517"/>
      <c r="V254" s="342">
        <v>0</v>
      </c>
      <c r="W254" s="518">
        <v>0</v>
      </c>
    </row>
    <row r="255" spans="1:23" x14ac:dyDescent="0.25">
      <c r="A255" s="515">
        <v>250</v>
      </c>
      <c r="B255" t="s">
        <v>281</v>
      </c>
      <c r="C255" s="308" t="s">
        <v>148</v>
      </c>
      <c r="D255" s="308" t="s">
        <v>16</v>
      </c>
      <c r="F255" s="516">
        <v>0</v>
      </c>
      <c r="G255" s="516">
        <v>0</v>
      </c>
      <c r="H255" s="516">
        <v>0</v>
      </c>
      <c r="I255" s="517"/>
      <c r="J255" s="516">
        <v>0</v>
      </c>
      <c r="K255" s="516">
        <v>0</v>
      </c>
      <c r="L255" s="516">
        <v>0</v>
      </c>
      <c r="M255" s="517"/>
      <c r="N255" s="342">
        <v>0</v>
      </c>
      <c r="O255" s="518">
        <v>0</v>
      </c>
      <c r="P255" s="518">
        <v>0</v>
      </c>
      <c r="Q255" s="519"/>
      <c r="R255" s="516">
        <v>0</v>
      </c>
      <c r="S255" s="516">
        <v>0</v>
      </c>
      <c r="T255" s="516">
        <v>0</v>
      </c>
      <c r="U255" s="517"/>
      <c r="V255" s="342">
        <v>0</v>
      </c>
      <c r="W255" s="518">
        <v>0</v>
      </c>
    </row>
    <row r="256" spans="1:23" x14ac:dyDescent="0.25">
      <c r="A256" s="515">
        <v>251</v>
      </c>
      <c r="B256" t="s">
        <v>282</v>
      </c>
      <c r="C256" s="308" t="s">
        <v>27</v>
      </c>
      <c r="D256" s="308" t="s">
        <v>16</v>
      </c>
      <c r="F256" s="516">
        <v>0</v>
      </c>
      <c r="G256" s="516">
        <v>0</v>
      </c>
      <c r="H256" s="516">
        <v>0</v>
      </c>
      <c r="I256" s="517"/>
      <c r="J256" s="516">
        <v>0</v>
      </c>
      <c r="K256" s="516">
        <v>0</v>
      </c>
      <c r="L256" s="516">
        <v>0</v>
      </c>
      <c r="M256" s="517"/>
      <c r="N256" s="342">
        <v>0</v>
      </c>
      <c r="O256" s="518">
        <v>0</v>
      </c>
      <c r="P256" s="518">
        <v>0</v>
      </c>
      <c r="Q256" s="519"/>
      <c r="R256" s="516">
        <v>0</v>
      </c>
      <c r="S256" s="516">
        <v>0</v>
      </c>
      <c r="T256" s="516">
        <v>0</v>
      </c>
      <c r="U256" s="517"/>
      <c r="V256" s="342">
        <v>0</v>
      </c>
      <c r="W256" s="518">
        <v>0</v>
      </c>
    </row>
    <row r="257" spans="1:23" x14ac:dyDescent="0.25">
      <c r="A257" s="515">
        <v>252</v>
      </c>
      <c r="B257" t="s">
        <v>283</v>
      </c>
      <c r="C257" s="308" t="s">
        <v>135</v>
      </c>
      <c r="D257" s="308" t="s">
        <v>16</v>
      </c>
      <c r="F257" s="516">
        <v>0</v>
      </c>
      <c r="G257" s="516">
        <v>0</v>
      </c>
      <c r="H257" s="516">
        <v>0</v>
      </c>
      <c r="I257" s="517"/>
      <c r="J257" s="516">
        <v>0</v>
      </c>
      <c r="K257" s="516">
        <v>0</v>
      </c>
      <c r="L257" s="516">
        <v>0</v>
      </c>
      <c r="M257" s="517"/>
      <c r="N257" s="342">
        <v>0</v>
      </c>
      <c r="O257" s="518">
        <v>0</v>
      </c>
      <c r="P257" s="518">
        <v>0</v>
      </c>
      <c r="Q257" s="519"/>
      <c r="R257" s="516">
        <v>0</v>
      </c>
      <c r="S257" s="516">
        <v>0</v>
      </c>
      <c r="T257" s="516">
        <v>0</v>
      </c>
      <c r="U257" s="517"/>
      <c r="V257" s="342">
        <v>0</v>
      </c>
      <c r="W257" s="518">
        <v>0</v>
      </c>
    </row>
    <row r="258" spans="1:23" x14ac:dyDescent="0.25">
      <c r="A258" s="515">
        <v>253</v>
      </c>
      <c r="B258" t="s">
        <v>284</v>
      </c>
      <c r="C258" s="308" t="s">
        <v>15</v>
      </c>
      <c r="D258" s="308" t="s">
        <v>16</v>
      </c>
      <c r="F258" s="516">
        <v>3094</v>
      </c>
      <c r="G258" s="516">
        <v>8487358.9800000004</v>
      </c>
      <c r="H258" s="516">
        <v>46410</v>
      </c>
      <c r="I258" s="517"/>
      <c r="J258" s="516">
        <v>0</v>
      </c>
      <c r="K258" s="516">
        <v>0</v>
      </c>
      <c r="L258" s="516">
        <v>0</v>
      </c>
      <c r="M258" s="517"/>
      <c r="N258" s="342">
        <v>3094</v>
      </c>
      <c r="O258" s="518">
        <v>8487358.9800000004</v>
      </c>
      <c r="P258" s="518">
        <v>46410</v>
      </c>
      <c r="Q258" s="519"/>
      <c r="R258" s="516">
        <v>0</v>
      </c>
      <c r="S258" s="516">
        <v>0</v>
      </c>
      <c r="T258" s="516">
        <v>0</v>
      </c>
      <c r="U258" s="517"/>
      <c r="V258" s="342">
        <v>3094</v>
      </c>
      <c r="W258" s="518">
        <v>8487358.9800000004</v>
      </c>
    </row>
    <row r="259" spans="1:23" x14ac:dyDescent="0.25">
      <c r="A259" s="515">
        <v>254</v>
      </c>
      <c r="B259" t="s">
        <v>285</v>
      </c>
      <c r="C259" s="308" t="s">
        <v>18</v>
      </c>
      <c r="D259" s="308" t="s">
        <v>20</v>
      </c>
      <c r="F259" s="516">
        <v>2</v>
      </c>
      <c r="G259" s="516">
        <v>10578</v>
      </c>
      <c r="H259" s="516">
        <v>50</v>
      </c>
      <c r="I259" s="517"/>
      <c r="J259" s="516">
        <v>0</v>
      </c>
      <c r="K259" s="516">
        <v>0</v>
      </c>
      <c r="L259" s="516">
        <v>0</v>
      </c>
      <c r="M259" s="517"/>
      <c r="N259" s="342">
        <v>2</v>
      </c>
      <c r="O259" s="518">
        <v>10578</v>
      </c>
      <c r="P259" s="518">
        <v>50</v>
      </c>
      <c r="Q259" s="519"/>
      <c r="R259" s="516">
        <v>0</v>
      </c>
      <c r="S259" s="516">
        <v>0</v>
      </c>
      <c r="T259" s="516">
        <v>0</v>
      </c>
      <c r="U259" s="517"/>
      <c r="V259" s="342">
        <v>2</v>
      </c>
      <c r="W259" s="518">
        <v>10578</v>
      </c>
    </row>
    <row r="260" spans="1:23" x14ac:dyDescent="0.25">
      <c r="A260" s="515">
        <v>255</v>
      </c>
      <c r="B260" t="s">
        <v>286</v>
      </c>
      <c r="C260" s="308" t="s">
        <v>24</v>
      </c>
      <c r="D260" s="308" t="s">
        <v>16</v>
      </c>
      <c r="F260" s="516">
        <v>4</v>
      </c>
      <c r="G260" s="516">
        <v>19382</v>
      </c>
      <c r="H260" s="516">
        <v>100</v>
      </c>
      <c r="I260" s="517"/>
      <c r="J260" s="516">
        <v>0</v>
      </c>
      <c r="K260" s="516">
        <v>0</v>
      </c>
      <c r="L260" s="516">
        <v>0</v>
      </c>
      <c r="M260" s="517"/>
      <c r="N260" s="342">
        <v>4</v>
      </c>
      <c r="O260" s="518">
        <v>19382</v>
      </c>
      <c r="P260" s="518">
        <v>100</v>
      </c>
      <c r="Q260" s="519"/>
      <c r="R260" s="516">
        <v>0</v>
      </c>
      <c r="S260" s="516">
        <v>0</v>
      </c>
      <c r="T260" s="516">
        <v>0</v>
      </c>
      <c r="U260" s="517"/>
      <c r="V260" s="342">
        <v>4</v>
      </c>
      <c r="W260" s="518">
        <v>19382</v>
      </c>
    </row>
    <row r="261" spans="1:23" x14ac:dyDescent="0.25">
      <c r="A261" s="515">
        <v>256</v>
      </c>
      <c r="B261" t="s">
        <v>287</v>
      </c>
      <c r="C261" s="308" t="s">
        <v>15</v>
      </c>
      <c r="D261" s="308" t="s">
        <v>16</v>
      </c>
      <c r="F261" s="516">
        <v>1</v>
      </c>
      <c r="G261" s="516">
        <v>1380</v>
      </c>
      <c r="H261" s="516">
        <v>8</v>
      </c>
      <c r="I261" s="517"/>
      <c r="J261" s="516">
        <v>0</v>
      </c>
      <c r="K261" s="522">
        <v>0</v>
      </c>
      <c r="L261" s="522">
        <v>0</v>
      </c>
      <c r="M261" s="517"/>
      <c r="N261" s="342">
        <v>1</v>
      </c>
      <c r="O261" s="518">
        <v>1380</v>
      </c>
      <c r="P261" s="518">
        <v>8</v>
      </c>
      <c r="Q261" s="519"/>
      <c r="R261" s="516">
        <v>0</v>
      </c>
      <c r="S261" s="516">
        <v>0</v>
      </c>
      <c r="T261" s="516">
        <v>0</v>
      </c>
      <c r="U261" s="517"/>
      <c r="V261" s="342">
        <v>1</v>
      </c>
      <c r="W261" s="518">
        <v>1380</v>
      </c>
    </row>
    <row r="262" spans="1:23" x14ac:dyDescent="0.25">
      <c r="A262" s="515">
        <v>257</v>
      </c>
      <c r="B262" t="s">
        <v>288</v>
      </c>
      <c r="C262" s="308" t="s">
        <v>15</v>
      </c>
      <c r="D262" s="308" t="s">
        <v>16</v>
      </c>
      <c r="F262" s="516">
        <v>1</v>
      </c>
      <c r="G262" s="516">
        <v>1280.95</v>
      </c>
      <c r="H262" s="516">
        <v>8</v>
      </c>
      <c r="I262" s="517"/>
      <c r="J262" s="516">
        <v>0</v>
      </c>
      <c r="K262" s="516">
        <v>0</v>
      </c>
      <c r="L262" s="516">
        <v>0</v>
      </c>
      <c r="M262" s="517"/>
      <c r="N262" s="342">
        <v>1</v>
      </c>
      <c r="O262" s="518">
        <v>1280.95</v>
      </c>
      <c r="P262" s="518">
        <v>8</v>
      </c>
      <c r="Q262" s="519"/>
      <c r="R262" s="516">
        <v>0</v>
      </c>
      <c r="S262" s="516">
        <v>0</v>
      </c>
      <c r="T262" s="516">
        <v>0</v>
      </c>
      <c r="U262" s="517"/>
      <c r="V262" s="342">
        <v>1</v>
      </c>
      <c r="W262" s="518">
        <v>1280.95</v>
      </c>
    </row>
    <row r="263" spans="1:23" x14ac:dyDescent="0.25">
      <c r="A263" s="515">
        <v>258</v>
      </c>
      <c r="B263" t="s">
        <v>289</v>
      </c>
      <c r="C263" s="308" t="s">
        <v>15</v>
      </c>
      <c r="D263" s="308" t="s">
        <v>16</v>
      </c>
      <c r="F263" s="516">
        <v>29</v>
      </c>
      <c r="G263" s="516">
        <v>58189.55</v>
      </c>
      <c r="H263" s="516">
        <v>232</v>
      </c>
      <c r="I263" s="517"/>
      <c r="J263" s="516">
        <v>0</v>
      </c>
      <c r="K263" s="516">
        <v>0</v>
      </c>
      <c r="L263" s="516">
        <v>0</v>
      </c>
      <c r="M263" s="517"/>
      <c r="N263" s="342">
        <v>29</v>
      </c>
      <c r="O263" s="518">
        <v>58189.55</v>
      </c>
      <c r="P263" s="518">
        <v>232</v>
      </c>
      <c r="Q263" s="519"/>
      <c r="R263" s="516">
        <v>0</v>
      </c>
      <c r="S263" s="516">
        <v>0</v>
      </c>
      <c r="T263" s="516">
        <v>0</v>
      </c>
      <c r="U263" s="517"/>
      <c r="V263" s="342">
        <v>29</v>
      </c>
      <c r="W263" s="518">
        <v>58189.55</v>
      </c>
    </row>
    <row r="264" spans="1:23" x14ac:dyDescent="0.25">
      <c r="A264" s="515">
        <v>259</v>
      </c>
      <c r="B264" t="s">
        <v>290</v>
      </c>
      <c r="C264" s="308" t="s">
        <v>15</v>
      </c>
      <c r="D264" s="308" t="s">
        <v>16</v>
      </c>
      <c r="F264" s="516">
        <v>3</v>
      </c>
      <c r="G264" s="516">
        <v>4081.51</v>
      </c>
      <c r="H264" s="516">
        <v>24</v>
      </c>
      <c r="I264" s="517"/>
      <c r="J264" s="516">
        <v>0</v>
      </c>
      <c r="K264" s="516">
        <v>0</v>
      </c>
      <c r="L264" s="516">
        <v>0</v>
      </c>
      <c r="M264" s="517"/>
      <c r="N264" s="342">
        <v>3</v>
      </c>
      <c r="O264" s="518">
        <v>4081.51</v>
      </c>
      <c r="P264" s="518">
        <v>24</v>
      </c>
      <c r="Q264" s="519"/>
      <c r="R264" s="516">
        <v>0</v>
      </c>
      <c r="S264" s="516">
        <v>0</v>
      </c>
      <c r="T264" s="516">
        <v>0</v>
      </c>
      <c r="U264" s="517"/>
      <c r="V264" s="342">
        <v>3</v>
      </c>
      <c r="W264" s="518">
        <v>4081.51</v>
      </c>
    </row>
    <row r="265" spans="1:23" x14ac:dyDescent="0.25">
      <c r="A265" s="515">
        <v>260</v>
      </c>
      <c r="B265" t="s">
        <v>3303</v>
      </c>
      <c r="C265" s="308" t="s">
        <v>136</v>
      </c>
      <c r="D265" s="308" t="s">
        <v>16</v>
      </c>
      <c r="F265" s="516">
        <v>0</v>
      </c>
      <c r="G265" s="516">
        <v>0</v>
      </c>
      <c r="H265" s="516">
        <v>0</v>
      </c>
      <c r="I265" s="517"/>
      <c r="J265" s="516">
        <v>0</v>
      </c>
      <c r="K265" s="516">
        <v>0</v>
      </c>
      <c r="L265" s="516">
        <v>0</v>
      </c>
      <c r="M265" s="517"/>
      <c r="N265" s="342">
        <v>0</v>
      </c>
      <c r="O265" s="518">
        <v>0</v>
      </c>
      <c r="P265" s="518">
        <v>0</v>
      </c>
      <c r="Q265" s="519"/>
      <c r="R265" s="520">
        <v>0</v>
      </c>
      <c r="S265" s="521">
        <v>0</v>
      </c>
      <c r="T265" s="516">
        <v>0</v>
      </c>
      <c r="U265" s="517"/>
      <c r="V265" s="342">
        <v>0</v>
      </c>
      <c r="W265" s="518">
        <v>0</v>
      </c>
    </row>
    <row r="266" spans="1:23" x14ac:dyDescent="0.25">
      <c r="A266" s="515">
        <v>261</v>
      </c>
      <c r="B266" t="s">
        <v>291</v>
      </c>
      <c r="C266" s="308" t="s">
        <v>25</v>
      </c>
      <c r="D266" s="308" t="s">
        <v>16</v>
      </c>
      <c r="F266" s="516">
        <v>251</v>
      </c>
      <c r="G266" s="516">
        <v>398234.57000000018</v>
      </c>
      <c r="H266" s="516">
        <v>1757</v>
      </c>
      <c r="I266" s="517"/>
      <c r="J266" s="516">
        <v>0</v>
      </c>
      <c r="K266" s="516">
        <v>0</v>
      </c>
      <c r="L266" s="516">
        <v>0</v>
      </c>
      <c r="M266" s="517"/>
      <c r="N266" s="342">
        <v>251</v>
      </c>
      <c r="O266" s="518">
        <v>398234.57000000018</v>
      </c>
      <c r="P266" s="518">
        <v>1757</v>
      </c>
      <c r="Q266" s="519"/>
      <c r="R266" s="516">
        <v>0</v>
      </c>
      <c r="S266" s="516">
        <v>0</v>
      </c>
      <c r="T266" s="516">
        <v>0</v>
      </c>
      <c r="U266" s="517"/>
      <c r="V266" s="342">
        <v>251</v>
      </c>
      <c r="W266" s="518">
        <v>398234.57000000018</v>
      </c>
    </row>
    <row r="267" spans="1:23" x14ac:dyDescent="0.25">
      <c r="A267" s="515">
        <v>262</v>
      </c>
      <c r="B267" t="s">
        <v>3088</v>
      </c>
      <c r="C267" s="308" t="s">
        <v>255</v>
      </c>
      <c r="D267" s="308" t="s">
        <v>16</v>
      </c>
      <c r="F267" s="516">
        <v>50</v>
      </c>
      <c r="G267" s="516">
        <v>106634.46</v>
      </c>
      <c r="H267" s="516">
        <v>500</v>
      </c>
      <c r="I267" s="517"/>
      <c r="J267" s="516">
        <v>0</v>
      </c>
      <c r="K267" s="516">
        <v>0</v>
      </c>
      <c r="L267" s="516">
        <v>0</v>
      </c>
      <c r="M267" s="517"/>
      <c r="N267" s="342">
        <v>50</v>
      </c>
      <c r="O267" s="518">
        <v>106634.46</v>
      </c>
      <c r="P267" s="518">
        <v>500</v>
      </c>
      <c r="Q267" s="519"/>
      <c r="R267" s="516">
        <v>0</v>
      </c>
      <c r="S267" s="516">
        <v>0</v>
      </c>
      <c r="T267" s="516">
        <v>0</v>
      </c>
      <c r="U267" s="517"/>
      <c r="V267" s="342">
        <v>50</v>
      </c>
      <c r="W267" s="518">
        <v>106634.46</v>
      </c>
    </row>
    <row r="268" spans="1:23" x14ac:dyDescent="0.25">
      <c r="A268" s="515">
        <v>263</v>
      </c>
      <c r="B268" t="s">
        <v>292</v>
      </c>
      <c r="C268" s="308" t="s">
        <v>41</v>
      </c>
      <c r="D268" s="308" t="s">
        <v>16</v>
      </c>
      <c r="F268" s="516">
        <v>6</v>
      </c>
      <c r="G268" s="516">
        <v>8300</v>
      </c>
      <c r="H268" s="516">
        <v>90</v>
      </c>
      <c r="I268" s="517"/>
      <c r="J268" s="516">
        <v>0</v>
      </c>
      <c r="K268" s="516">
        <v>0</v>
      </c>
      <c r="L268" s="516">
        <v>0</v>
      </c>
      <c r="M268" s="517"/>
      <c r="N268" s="342">
        <v>6</v>
      </c>
      <c r="O268" s="518">
        <v>8300</v>
      </c>
      <c r="P268" s="518">
        <v>90</v>
      </c>
      <c r="Q268" s="519"/>
      <c r="R268" s="516">
        <v>0</v>
      </c>
      <c r="S268" s="516">
        <v>0</v>
      </c>
      <c r="T268" s="516">
        <v>0</v>
      </c>
      <c r="U268" s="517"/>
      <c r="V268" s="342">
        <v>6</v>
      </c>
      <c r="W268" s="518">
        <v>8300</v>
      </c>
    </row>
    <row r="269" spans="1:23" x14ac:dyDescent="0.25">
      <c r="A269" s="515">
        <v>264</v>
      </c>
      <c r="B269" t="s">
        <v>293</v>
      </c>
      <c r="C269" s="308" t="s">
        <v>294</v>
      </c>
      <c r="D269" s="308" t="s">
        <v>87</v>
      </c>
      <c r="F269" s="516">
        <v>0</v>
      </c>
      <c r="G269" s="516">
        <v>0</v>
      </c>
      <c r="H269" s="516">
        <v>0</v>
      </c>
      <c r="I269" s="517"/>
      <c r="J269" s="516">
        <v>0</v>
      </c>
      <c r="K269" s="516">
        <v>0</v>
      </c>
      <c r="L269" s="516">
        <v>0</v>
      </c>
      <c r="M269" s="517"/>
      <c r="N269" s="342">
        <v>0</v>
      </c>
      <c r="O269" s="518">
        <v>0</v>
      </c>
      <c r="P269" s="518">
        <v>0</v>
      </c>
      <c r="Q269" s="519"/>
      <c r="R269" s="516">
        <v>0</v>
      </c>
      <c r="S269" s="516">
        <v>0</v>
      </c>
      <c r="T269" s="516">
        <v>0</v>
      </c>
      <c r="U269" s="517"/>
      <c r="V269" s="342">
        <v>0</v>
      </c>
      <c r="W269" s="518">
        <v>0</v>
      </c>
    </row>
    <row r="270" spans="1:23" x14ac:dyDescent="0.25">
      <c r="A270" s="515">
        <v>265</v>
      </c>
      <c r="B270" t="s">
        <v>295</v>
      </c>
      <c r="C270" s="308" t="s">
        <v>158</v>
      </c>
      <c r="D270" s="308" t="s">
        <v>16</v>
      </c>
      <c r="F270" s="516">
        <v>2</v>
      </c>
      <c r="G270" s="516">
        <v>100000</v>
      </c>
      <c r="H270" s="516">
        <v>80</v>
      </c>
      <c r="I270" s="517"/>
      <c r="J270" s="516">
        <v>0</v>
      </c>
      <c r="K270" s="516">
        <v>0</v>
      </c>
      <c r="L270" s="516">
        <v>0</v>
      </c>
      <c r="M270" s="517"/>
      <c r="N270" s="342">
        <v>2</v>
      </c>
      <c r="O270" s="518">
        <v>100000</v>
      </c>
      <c r="P270" s="518">
        <v>80</v>
      </c>
      <c r="Q270" s="519"/>
      <c r="R270" s="516">
        <v>0</v>
      </c>
      <c r="S270" s="516">
        <v>0</v>
      </c>
      <c r="T270" s="516">
        <v>0</v>
      </c>
      <c r="U270" s="517"/>
      <c r="V270" s="342">
        <v>2</v>
      </c>
      <c r="W270" s="518">
        <v>100000</v>
      </c>
    </row>
    <row r="271" spans="1:23" x14ac:dyDescent="0.25">
      <c r="A271" s="515">
        <v>266</v>
      </c>
      <c r="B271" t="s">
        <v>296</v>
      </c>
      <c r="C271" s="308" t="s">
        <v>15</v>
      </c>
      <c r="D271" s="308" t="s">
        <v>43</v>
      </c>
      <c r="F271" s="516">
        <v>350</v>
      </c>
      <c r="G271" s="516">
        <v>632654.8600000001</v>
      </c>
      <c r="H271" s="516">
        <v>3500</v>
      </c>
      <c r="I271" s="517"/>
      <c r="J271" s="516">
        <v>0</v>
      </c>
      <c r="K271" s="516">
        <v>0</v>
      </c>
      <c r="L271" s="516">
        <v>0</v>
      </c>
      <c r="M271" s="517"/>
      <c r="N271" s="342">
        <v>350</v>
      </c>
      <c r="O271" s="518">
        <v>632654.8600000001</v>
      </c>
      <c r="P271" s="518">
        <v>3500</v>
      </c>
      <c r="Q271" s="519"/>
      <c r="R271" s="516">
        <v>0</v>
      </c>
      <c r="S271" s="516">
        <v>0</v>
      </c>
      <c r="T271" s="516">
        <v>0</v>
      </c>
      <c r="U271" s="517"/>
      <c r="V271" s="342">
        <v>350</v>
      </c>
      <c r="W271" s="518">
        <v>632654.8600000001</v>
      </c>
    </row>
    <row r="272" spans="1:23" x14ac:dyDescent="0.25">
      <c r="A272" s="515">
        <v>267</v>
      </c>
      <c r="B272" t="s">
        <v>297</v>
      </c>
      <c r="C272" s="308" t="s">
        <v>24</v>
      </c>
      <c r="D272" s="308" t="s">
        <v>16</v>
      </c>
      <c r="F272" s="516">
        <v>1</v>
      </c>
      <c r="G272" s="516">
        <v>12444.5</v>
      </c>
      <c r="H272" s="516">
        <v>40</v>
      </c>
      <c r="I272" s="517"/>
      <c r="J272" s="516">
        <v>0</v>
      </c>
      <c r="K272" s="516">
        <v>0</v>
      </c>
      <c r="L272" s="516">
        <v>0</v>
      </c>
      <c r="M272" s="517"/>
      <c r="N272" s="342">
        <v>1</v>
      </c>
      <c r="O272" s="518">
        <v>12444.5</v>
      </c>
      <c r="P272" s="518">
        <v>40</v>
      </c>
      <c r="Q272" s="519"/>
      <c r="R272" s="516">
        <v>0</v>
      </c>
      <c r="S272" s="516">
        <v>0</v>
      </c>
      <c r="T272" s="516">
        <v>0</v>
      </c>
      <c r="U272" s="517"/>
      <c r="V272" s="342">
        <v>1</v>
      </c>
      <c r="W272" s="518">
        <v>12444.5</v>
      </c>
    </row>
    <row r="273" spans="1:23" x14ac:dyDescent="0.25">
      <c r="A273" s="515">
        <v>268</v>
      </c>
      <c r="B273" t="s">
        <v>298</v>
      </c>
      <c r="C273" s="308" t="s">
        <v>24</v>
      </c>
      <c r="D273" s="308" t="s">
        <v>16</v>
      </c>
      <c r="F273" s="516">
        <v>0</v>
      </c>
      <c r="G273" s="516">
        <v>0</v>
      </c>
      <c r="H273" s="516">
        <v>0</v>
      </c>
      <c r="I273" s="517"/>
      <c r="J273" s="516">
        <v>0</v>
      </c>
      <c r="K273" s="516">
        <v>0</v>
      </c>
      <c r="L273" s="516">
        <v>0</v>
      </c>
      <c r="M273" s="517"/>
      <c r="N273" s="342">
        <v>0</v>
      </c>
      <c r="O273" s="518">
        <v>0</v>
      </c>
      <c r="P273" s="518">
        <v>0</v>
      </c>
      <c r="Q273" s="519"/>
      <c r="R273" s="516">
        <v>0</v>
      </c>
      <c r="S273" s="516">
        <v>0</v>
      </c>
      <c r="T273" s="516">
        <v>0</v>
      </c>
      <c r="U273" s="517"/>
      <c r="V273" s="342">
        <v>0</v>
      </c>
      <c r="W273" s="518">
        <v>0</v>
      </c>
    </row>
    <row r="274" spans="1:23" x14ac:dyDescent="0.25">
      <c r="A274" s="515">
        <v>269</v>
      </c>
      <c r="B274" t="s">
        <v>299</v>
      </c>
      <c r="C274" s="308" t="s">
        <v>24</v>
      </c>
      <c r="D274" s="308" t="s">
        <v>16</v>
      </c>
      <c r="F274" s="516">
        <v>19</v>
      </c>
      <c r="G274" s="516">
        <v>1632750</v>
      </c>
      <c r="H274" s="516">
        <v>1600</v>
      </c>
      <c r="I274" s="517"/>
      <c r="J274" s="516">
        <v>0</v>
      </c>
      <c r="K274" s="516">
        <v>0</v>
      </c>
      <c r="L274" s="516">
        <v>0</v>
      </c>
      <c r="M274" s="517"/>
      <c r="N274" s="342">
        <v>19</v>
      </c>
      <c r="O274" s="518">
        <v>1632750</v>
      </c>
      <c r="P274" s="518">
        <v>1600</v>
      </c>
      <c r="Q274" s="519"/>
      <c r="R274" s="516">
        <v>0</v>
      </c>
      <c r="S274" s="516">
        <v>0</v>
      </c>
      <c r="T274" s="516">
        <v>0</v>
      </c>
      <c r="U274" s="517"/>
      <c r="V274" s="342">
        <v>19</v>
      </c>
      <c r="W274" s="518">
        <v>1632750</v>
      </c>
    </row>
    <row r="275" spans="1:23" x14ac:dyDescent="0.25">
      <c r="A275" s="515">
        <v>270</v>
      </c>
      <c r="B275" t="s">
        <v>300</v>
      </c>
      <c r="C275" s="308" t="s">
        <v>24</v>
      </c>
      <c r="D275" s="308" t="s">
        <v>16</v>
      </c>
      <c r="F275" s="516">
        <v>1</v>
      </c>
      <c r="G275" s="516">
        <v>20709.71</v>
      </c>
      <c r="H275" s="516">
        <v>40</v>
      </c>
      <c r="I275" s="517"/>
      <c r="J275" s="516">
        <v>0</v>
      </c>
      <c r="K275" s="516">
        <v>0</v>
      </c>
      <c r="L275" s="516">
        <v>0</v>
      </c>
      <c r="M275" s="517"/>
      <c r="N275" s="342">
        <v>1</v>
      </c>
      <c r="O275" s="518">
        <v>20709.71</v>
      </c>
      <c r="P275" s="518">
        <v>40</v>
      </c>
      <c r="Q275" s="519"/>
      <c r="R275" s="520">
        <v>0</v>
      </c>
      <c r="S275" s="521">
        <v>0</v>
      </c>
      <c r="T275" s="516">
        <v>0</v>
      </c>
      <c r="U275" s="517"/>
      <c r="V275" s="342">
        <v>1</v>
      </c>
      <c r="W275" s="518">
        <v>20709.71</v>
      </c>
    </row>
    <row r="276" spans="1:23" x14ac:dyDescent="0.25">
      <c r="A276" s="515">
        <v>271</v>
      </c>
      <c r="B276" t="s">
        <v>301</v>
      </c>
      <c r="C276" s="308" t="s">
        <v>24</v>
      </c>
      <c r="D276" s="308" t="s">
        <v>16</v>
      </c>
      <c r="F276" s="516">
        <v>0</v>
      </c>
      <c r="G276" s="516">
        <v>0</v>
      </c>
      <c r="H276" s="516">
        <v>0</v>
      </c>
      <c r="I276" s="517"/>
      <c r="J276" s="516">
        <v>0</v>
      </c>
      <c r="K276" s="516">
        <v>0</v>
      </c>
      <c r="L276" s="516">
        <v>0</v>
      </c>
      <c r="M276" s="517"/>
      <c r="N276" s="342">
        <v>0</v>
      </c>
      <c r="O276" s="518">
        <v>0</v>
      </c>
      <c r="P276" s="518">
        <v>0</v>
      </c>
      <c r="Q276" s="519"/>
      <c r="R276" s="516">
        <v>0</v>
      </c>
      <c r="S276" s="516">
        <v>0</v>
      </c>
      <c r="T276" s="516">
        <v>0</v>
      </c>
      <c r="U276" s="517"/>
      <c r="V276" s="342">
        <v>0</v>
      </c>
      <c r="W276" s="518">
        <v>0</v>
      </c>
    </row>
    <row r="277" spans="1:23" x14ac:dyDescent="0.25">
      <c r="A277" s="515">
        <v>272</v>
      </c>
      <c r="B277" t="s">
        <v>302</v>
      </c>
      <c r="C277" s="308" t="s">
        <v>24</v>
      </c>
      <c r="D277" s="308" t="s">
        <v>16</v>
      </c>
      <c r="F277" s="516">
        <v>0</v>
      </c>
      <c r="G277" s="516">
        <v>0</v>
      </c>
      <c r="H277" s="516">
        <v>0</v>
      </c>
      <c r="I277" s="517"/>
      <c r="J277" s="516">
        <v>0</v>
      </c>
      <c r="K277" s="516">
        <v>0</v>
      </c>
      <c r="L277" s="516">
        <v>0</v>
      </c>
      <c r="M277" s="517"/>
      <c r="N277" s="342">
        <v>0</v>
      </c>
      <c r="O277" s="518">
        <v>0</v>
      </c>
      <c r="P277" s="518">
        <v>0</v>
      </c>
      <c r="Q277" s="519"/>
      <c r="R277" s="516">
        <v>0</v>
      </c>
      <c r="S277" s="516">
        <v>0</v>
      </c>
      <c r="T277" s="516">
        <v>0</v>
      </c>
      <c r="U277" s="517"/>
      <c r="V277" s="342">
        <v>0</v>
      </c>
      <c r="W277" s="518">
        <v>0</v>
      </c>
    </row>
    <row r="278" spans="1:23" x14ac:dyDescent="0.25">
      <c r="A278" s="515">
        <v>273</v>
      </c>
      <c r="B278" t="s">
        <v>303</v>
      </c>
      <c r="C278" s="308" t="s">
        <v>24</v>
      </c>
      <c r="D278" s="308" t="s">
        <v>16</v>
      </c>
      <c r="F278" s="516">
        <v>0</v>
      </c>
      <c r="G278" s="516">
        <v>0</v>
      </c>
      <c r="H278" s="516">
        <v>0</v>
      </c>
      <c r="I278" s="517"/>
      <c r="J278" s="516">
        <v>0</v>
      </c>
      <c r="K278" s="516">
        <v>0</v>
      </c>
      <c r="L278" s="516">
        <v>0</v>
      </c>
      <c r="M278" s="517"/>
      <c r="N278" s="342">
        <v>0</v>
      </c>
      <c r="O278" s="518">
        <v>0</v>
      </c>
      <c r="P278" s="518">
        <v>0</v>
      </c>
      <c r="Q278" s="519"/>
      <c r="R278" s="516">
        <v>0</v>
      </c>
      <c r="S278" s="516">
        <v>0</v>
      </c>
      <c r="T278" s="516">
        <v>0</v>
      </c>
      <c r="U278" s="517"/>
      <c r="V278" s="342">
        <v>0</v>
      </c>
      <c r="W278" s="518">
        <v>0</v>
      </c>
    </row>
    <row r="279" spans="1:23" x14ac:dyDescent="0.25">
      <c r="A279" s="515">
        <v>274</v>
      </c>
      <c r="B279" t="s">
        <v>304</v>
      </c>
      <c r="C279" s="308" t="s">
        <v>24</v>
      </c>
      <c r="D279" s="308" t="s">
        <v>16</v>
      </c>
      <c r="F279" s="516">
        <v>0</v>
      </c>
      <c r="G279" s="516">
        <v>0</v>
      </c>
      <c r="H279" s="516">
        <v>0</v>
      </c>
      <c r="I279" s="517"/>
      <c r="J279" s="516">
        <v>0</v>
      </c>
      <c r="K279" s="516">
        <v>0</v>
      </c>
      <c r="L279" s="516">
        <v>0</v>
      </c>
      <c r="M279" s="517"/>
      <c r="N279" s="342">
        <v>0</v>
      </c>
      <c r="O279" s="518">
        <v>0</v>
      </c>
      <c r="P279" s="518">
        <v>0</v>
      </c>
      <c r="Q279" s="519"/>
      <c r="R279" s="516">
        <v>0</v>
      </c>
      <c r="S279" s="516">
        <v>0</v>
      </c>
      <c r="T279" s="516">
        <v>0</v>
      </c>
      <c r="U279" s="517"/>
      <c r="V279" s="342">
        <v>0</v>
      </c>
      <c r="W279" s="518">
        <v>0</v>
      </c>
    </row>
    <row r="280" spans="1:23" x14ac:dyDescent="0.25">
      <c r="A280" s="515">
        <v>275</v>
      </c>
      <c r="B280" t="s">
        <v>305</v>
      </c>
      <c r="C280" s="308" t="s">
        <v>24</v>
      </c>
      <c r="D280" s="308" t="s">
        <v>16</v>
      </c>
      <c r="F280" s="516">
        <v>0</v>
      </c>
      <c r="G280" s="516">
        <v>0</v>
      </c>
      <c r="H280" s="516">
        <v>0</v>
      </c>
      <c r="I280" s="517"/>
      <c r="J280" s="516">
        <v>0</v>
      </c>
      <c r="K280" s="516">
        <v>0</v>
      </c>
      <c r="L280" s="516">
        <v>0</v>
      </c>
      <c r="M280" s="517"/>
      <c r="N280" s="342">
        <v>0</v>
      </c>
      <c r="O280" s="518">
        <v>0</v>
      </c>
      <c r="P280" s="518">
        <v>0</v>
      </c>
      <c r="Q280" s="519"/>
      <c r="R280" s="516">
        <v>0</v>
      </c>
      <c r="S280" s="516">
        <v>0</v>
      </c>
      <c r="T280" s="516">
        <v>0</v>
      </c>
      <c r="U280" s="517"/>
      <c r="V280" s="342">
        <v>0</v>
      </c>
      <c r="W280" s="518">
        <v>0</v>
      </c>
    </row>
    <row r="281" spans="1:23" x14ac:dyDescent="0.25">
      <c r="A281" s="515">
        <v>276</v>
      </c>
      <c r="B281" t="s">
        <v>306</v>
      </c>
      <c r="C281" s="308" t="s">
        <v>24</v>
      </c>
      <c r="D281" s="308" t="s">
        <v>16</v>
      </c>
      <c r="F281" s="516">
        <v>0</v>
      </c>
      <c r="G281" s="516">
        <v>0</v>
      </c>
      <c r="H281" s="516">
        <v>0</v>
      </c>
      <c r="I281" s="517"/>
      <c r="J281" s="516">
        <v>0</v>
      </c>
      <c r="K281" s="516">
        <v>0</v>
      </c>
      <c r="L281" s="516">
        <v>0</v>
      </c>
      <c r="M281" s="517"/>
      <c r="N281" s="342">
        <v>0</v>
      </c>
      <c r="O281" s="518">
        <v>0</v>
      </c>
      <c r="P281" s="518">
        <v>0</v>
      </c>
      <c r="Q281" s="519"/>
      <c r="R281" s="516">
        <v>0</v>
      </c>
      <c r="S281" s="516">
        <v>0</v>
      </c>
      <c r="T281" s="516">
        <v>0</v>
      </c>
      <c r="U281" s="517"/>
      <c r="V281" s="342">
        <v>0</v>
      </c>
      <c r="W281" s="518">
        <v>0</v>
      </c>
    </row>
    <row r="282" spans="1:23" x14ac:dyDescent="0.25">
      <c r="A282" s="515">
        <v>277</v>
      </c>
      <c r="B282" t="s">
        <v>307</v>
      </c>
      <c r="C282" s="308" t="s">
        <v>24</v>
      </c>
      <c r="D282" s="308" t="s">
        <v>16</v>
      </c>
      <c r="F282" s="516">
        <v>0</v>
      </c>
      <c r="G282" s="516">
        <v>0</v>
      </c>
      <c r="H282" s="516">
        <v>0</v>
      </c>
      <c r="I282" s="517"/>
      <c r="J282" s="516">
        <v>0</v>
      </c>
      <c r="K282" s="516">
        <v>0</v>
      </c>
      <c r="L282" s="516">
        <v>0</v>
      </c>
      <c r="M282" s="517"/>
      <c r="N282" s="342">
        <v>0</v>
      </c>
      <c r="O282" s="518">
        <v>0</v>
      </c>
      <c r="P282" s="518">
        <v>0</v>
      </c>
      <c r="Q282" s="519"/>
      <c r="R282" s="516">
        <v>0</v>
      </c>
      <c r="S282" s="516">
        <v>0</v>
      </c>
      <c r="T282" s="516">
        <v>0</v>
      </c>
      <c r="U282" s="517"/>
      <c r="V282" s="342">
        <v>0</v>
      </c>
      <c r="W282" s="518">
        <v>0</v>
      </c>
    </row>
    <row r="283" spans="1:23" x14ac:dyDescent="0.25">
      <c r="A283" s="515">
        <v>278</v>
      </c>
      <c r="B283" t="s">
        <v>308</v>
      </c>
      <c r="C283" s="308" t="s">
        <v>255</v>
      </c>
      <c r="D283" s="308" t="s">
        <v>16</v>
      </c>
      <c r="F283" s="516">
        <v>0</v>
      </c>
      <c r="G283" s="516">
        <v>0</v>
      </c>
      <c r="H283" s="516">
        <v>0</v>
      </c>
      <c r="I283" s="517"/>
      <c r="J283" s="516">
        <v>0</v>
      </c>
      <c r="K283" s="516">
        <v>0</v>
      </c>
      <c r="L283" s="516">
        <v>0</v>
      </c>
      <c r="M283" s="517"/>
      <c r="N283" s="342">
        <v>0</v>
      </c>
      <c r="O283" s="518">
        <v>0</v>
      </c>
      <c r="P283" s="518">
        <v>0</v>
      </c>
      <c r="Q283" s="519"/>
      <c r="R283" s="516">
        <v>0</v>
      </c>
      <c r="S283" s="516">
        <v>0</v>
      </c>
      <c r="T283" s="516">
        <v>0</v>
      </c>
      <c r="U283" s="517"/>
      <c r="V283" s="342">
        <v>0</v>
      </c>
      <c r="W283" s="518">
        <v>0</v>
      </c>
    </row>
    <row r="284" spans="1:23" x14ac:dyDescent="0.25">
      <c r="A284" s="515">
        <v>279</v>
      </c>
      <c r="B284" t="s">
        <v>309</v>
      </c>
      <c r="C284" s="308" t="s">
        <v>18</v>
      </c>
      <c r="D284" s="308" t="s">
        <v>20</v>
      </c>
      <c r="F284" s="516">
        <v>25</v>
      </c>
      <c r="G284" s="516">
        <v>95560</v>
      </c>
      <c r="H284" s="516">
        <v>625</v>
      </c>
      <c r="I284" s="517"/>
      <c r="J284" s="516">
        <v>0</v>
      </c>
      <c r="K284" s="516">
        <v>0</v>
      </c>
      <c r="L284" s="516">
        <v>0</v>
      </c>
      <c r="M284" s="517"/>
      <c r="N284" s="342">
        <v>25</v>
      </c>
      <c r="O284" s="518">
        <v>95560</v>
      </c>
      <c r="P284" s="518">
        <v>625</v>
      </c>
      <c r="Q284" s="519"/>
      <c r="R284" s="516">
        <v>0</v>
      </c>
      <c r="S284" s="516">
        <v>0</v>
      </c>
      <c r="T284" s="516">
        <v>0</v>
      </c>
      <c r="U284" s="517"/>
      <c r="V284" s="342">
        <v>25</v>
      </c>
      <c r="W284" s="518">
        <v>95560</v>
      </c>
    </row>
    <row r="285" spans="1:23" x14ac:dyDescent="0.25">
      <c r="A285" s="515">
        <v>280</v>
      </c>
      <c r="B285" t="s">
        <v>311</v>
      </c>
      <c r="C285" s="308" t="s">
        <v>18</v>
      </c>
      <c r="D285" s="308" t="s">
        <v>16</v>
      </c>
      <c r="F285" s="516">
        <v>0</v>
      </c>
      <c r="G285" s="516">
        <v>0</v>
      </c>
      <c r="H285" s="516">
        <v>0</v>
      </c>
      <c r="I285" s="517"/>
      <c r="J285" s="516">
        <v>0</v>
      </c>
      <c r="K285" s="516">
        <v>0</v>
      </c>
      <c r="L285" s="516">
        <v>0</v>
      </c>
      <c r="M285" s="517"/>
      <c r="N285" s="342">
        <v>0</v>
      </c>
      <c r="O285" s="518">
        <v>0</v>
      </c>
      <c r="P285" s="518">
        <v>0</v>
      </c>
      <c r="Q285" s="519"/>
      <c r="R285" s="516">
        <v>0</v>
      </c>
      <c r="S285" s="516">
        <v>0</v>
      </c>
      <c r="T285" s="516">
        <v>0</v>
      </c>
      <c r="U285" s="517"/>
      <c r="V285" s="342">
        <v>0</v>
      </c>
      <c r="W285" s="518">
        <v>0</v>
      </c>
    </row>
    <row r="286" spans="1:23" x14ac:dyDescent="0.25">
      <c r="A286" s="515">
        <v>281</v>
      </c>
      <c r="B286" t="s">
        <v>310</v>
      </c>
      <c r="C286" s="308" t="s">
        <v>18</v>
      </c>
      <c r="D286" s="308" t="s">
        <v>16</v>
      </c>
      <c r="F286" s="516">
        <v>0</v>
      </c>
      <c r="G286" s="516">
        <v>0</v>
      </c>
      <c r="H286" s="516">
        <v>0</v>
      </c>
      <c r="I286" s="517"/>
      <c r="J286" s="516">
        <v>0</v>
      </c>
      <c r="K286" s="516">
        <v>0</v>
      </c>
      <c r="L286" s="516">
        <v>0</v>
      </c>
      <c r="M286" s="517"/>
      <c r="N286" s="342">
        <v>0</v>
      </c>
      <c r="O286" s="518">
        <v>0</v>
      </c>
      <c r="P286" s="518">
        <v>0</v>
      </c>
      <c r="Q286" s="519"/>
      <c r="R286" s="516">
        <v>0</v>
      </c>
      <c r="S286" s="516">
        <v>0</v>
      </c>
      <c r="T286" s="516">
        <v>0</v>
      </c>
      <c r="U286" s="517"/>
      <c r="V286" s="342">
        <v>0</v>
      </c>
      <c r="W286" s="518">
        <v>0</v>
      </c>
    </row>
    <row r="287" spans="1:23" x14ac:dyDescent="0.25">
      <c r="A287" s="515">
        <v>282</v>
      </c>
      <c r="B287" t="s">
        <v>312</v>
      </c>
      <c r="C287" s="308" t="s">
        <v>313</v>
      </c>
      <c r="D287" s="308" t="s">
        <v>16</v>
      </c>
      <c r="F287" s="516">
        <v>0</v>
      </c>
      <c r="G287" s="516">
        <v>0</v>
      </c>
      <c r="H287" s="516">
        <v>0</v>
      </c>
      <c r="I287" s="517"/>
      <c r="J287" s="516">
        <v>0</v>
      </c>
      <c r="K287" s="516">
        <v>0</v>
      </c>
      <c r="L287" s="516">
        <v>0</v>
      </c>
      <c r="M287" s="517"/>
      <c r="N287" s="342">
        <v>0</v>
      </c>
      <c r="O287" s="518">
        <v>0</v>
      </c>
      <c r="P287" s="518">
        <v>0</v>
      </c>
      <c r="Q287" s="519"/>
      <c r="R287" s="516">
        <v>0</v>
      </c>
      <c r="S287" s="516">
        <v>0</v>
      </c>
      <c r="T287" s="516">
        <v>0</v>
      </c>
      <c r="U287" s="517"/>
      <c r="V287" s="342">
        <v>0</v>
      </c>
      <c r="W287" s="518">
        <v>0</v>
      </c>
    </row>
    <row r="288" spans="1:23" x14ac:dyDescent="0.25">
      <c r="A288" s="515">
        <v>283</v>
      </c>
      <c r="B288" t="s">
        <v>314</v>
      </c>
      <c r="C288" s="308" t="s">
        <v>15</v>
      </c>
      <c r="D288" s="308" t="s">
        <v>20</v>
      </c>
      <c r="F288" s="516">
        <v>0</v>
      </c>
      <c r="G288" s="516">
        <v>0</v>
      </c>
      <c r="H288" s="516">
        <v>0</v>
      </c>
      <c r="I288" s="517"/>
      <c r="J288" s="516">
        <v>0</v>
      </c>
      <c r="K288" s="516">
        <v>0</v>
      </c>
      <c r="L288" s="516">
        <v>0</v>
      </c>
      <c r="M288" s="517"/>
      <c r="N288" s="342">
        <v>0</v>
      </c>
      <c r="O288" s="518">
        <v>0</v>
      </c>
      <c r="P288" s="518">
        <v>0</v>
      </c>
      <c r="Q288" s="519"/>
      <c r="R288" s="516">
        <v>0</v>
      </c>
      <c r="S288" s="516">
        <v>0</v>
      </c>
      <c r="T288" s="516">
        <v>0</v>
      </c>
      <c r="U288" s="517"/>
      <c r="V288" s="342">
        <v>0</v>
      </c>
      <c r="W288" s="518">
        <v>0</v>
      </c>
    </row>
    <row r="289" spans="1:23" x14ac:dyDescent="0.25">
      <c r="A289" s="515">
        <v>284</v>
      </c>
      <c r="B289" t="s">
        <v>315</v>
      </c>
      <c r="C289" s="308" t="s">
        <v>15</v>
      </c>
      <c r="D289" s="308" t="s">
        <v>16</v>
      </c>
      <c r="F289" s="516">
        <v>0</v>
      </c>
      <c r="G289" s="516">
        <v>0</v>
      </c>
      <c r="H289" s="516">
        <v>0</v>
      </c>
      <c r="I289" s="517"/>
      <c r="J289" s="516">
        <v>0</v>
      </c>
      <c r="K289" s="516">
        <v>0</v>
      </c>
      <c r="L289" s="516">
        <v>0</v>
      </c>
      <c r="M289" s="517"/>
      <c r="N289" s="342">
        <v>0</v>
      </c>
      <c r="O289" s="518">
        <v>0</v>
      </c>
      <c r="P289" s="518">
        <v>0</v>
      </c>
      <c r="Q289" s="519"/>
      <c r="R289" s="516">
        <v>0</v>
      </c>
      <c r="S289" s="516">
        <v>0</v>
      </c>
      <c r="T289" s="516">
        <v>0</v>
      </c>
      <c r="U289" s="517"/>
      <c r="V289" s="342">
        <v>0</v>
      </c>
      <c r="W289" s="518">
        <v>0</v>
      </c>
    </row>
    <row r="290" spans="1:23" x14ac:dyDescent="0.25">
      <c r="A290" s="515">
        <v>285</v>
      </c>
      <c r="B290" t="s">
        <v>316</v>
      </c>
      <c r="C290" s="308" t="s">
        <v>18</v>
      </c>
      <c r="D290" s="308" t="s">
        <v>16</v>
      </c>
      <c r="F290" s="516">
        <v>5</v>
      </c>
      <c r="G290" s="516">
        <v>60500</v>
      </c>
      <c r="H290" s="516">
        <v>125</v>
      </c>
      <c r="I290" s="517"/>
      <c r="J290" s="516">
        <v>0</v>
      </c>
      <c r="K290" s="516">
        <v>0</v>
      </c>
      <c r="L290" s="516">
        <v>0</v>
      </c>
      <c r="M290" s="517"/>
      <c r="N290" s="342">
        <v>5</v>
      </c>
      <c r="O290" s="518">
        <v>60500</v>
      </c>
      <c r="P290" s="518">
        <v>125</v>
      </c>
      <c r="Q290" s="519"/>
      <c r="R290" s="516">
        <v>0</v>
      </c>
      <c r="S290" s="516">
        <v>0</v>
      </c>
      <c r="T290" s="516">
        <v>0</v>
      </c>
      <c r="U290" s="517"/>
      <c r="V290" s="342">
        <v>5</v>
      </c>
      <c r="W290" s="518">
        <v>60500</v>
      </c>
    </row>
    <row r="291" spans="1:23" x14ac:dyDescent="0.25">
      <c r="A291" s="515">
        <v>286</v>
      </c>
      <c r="B291" t="s">
        <v>317</v>
      </c>
      <c r="C291" s="308" t="s">
        <v>148</v>
      </c>
      <c r="D291" s="308" t="s">
        <v>16</v>
      </c>
      <c r="F291" s="516">
        <v>0</v>
      </c>
      <c r="G291" s="516">
        <v>0</v>
      </c>
      <c r="H291" s="516">
        <v>0</v>
      </c>
      <c r="I291" s="517"/>
      <c r="J291" s="516">
        <v>0</v>
      </c>
      <c r="K291" s="516">
        <v>0</v>
      </c>
      <c r="L291" s="516">
        <v>0</v>
      </c>
      <c r="M291" s="517"/>
      <c r="N291" s="342">
        <v>0</v>
      </c>
      <c r="O291" s="518">
        <v>0</v>
      </c>
      <c r="P291" s="518">
        <v>0</v>
      </c>
      <c r="Q291" s="519"/>
      <c r="R291" s="516">
        <v>0</v>
      </c>
      <c r="S291" s="516">
        <v>0</v>
      </c>
      <c r="T291" s="516">
        <v>0</v>
      </c>
      <c r="U291" s="517"/>
      <c r="V291" s="342">
        <v>0</v>
      </c>
      <c r="W291" s="518">
        <v>0</v>
      </c>
    </row>
    <row r="292" spans="1:23" x14ac:dyDescent="0.25">
      <c r="A292" s="515">
        <v>287</v>
      </c>
      <c r="B292" t="s">
        <v>318</v>
      </c>
      <c r="C292" s="308" t="s">
        <v>18</v>
      </c>
      <c r="D292" s="308" t="s">
        <v>16</v>
      </c>
      <c r="F292" s="516">
        <v>0</v>
      </c>
      <c r="G292" s="516">
        <v>0</v>
      </c>
      <c r="H292" s="516">
        <v>0</v>
      </c>
      <c r="I292" s="517"/>
      <c r="J292" s="516">
        <v>0</v>
      </c>
      <c r="K292" s="516">
        <v>0</v>
      </c>
      <c r="L292" s="516">
        <v>0</v>
      </c>
      <c r="M292" s="517"/>
      <c r="N292" s="342">
        <v>0</v>
      </c>
      <c r="O292" s="518">
        <v>0</v>
      </c>
      <c r="P292" s="518">
        <v>0</v>
      </c>
      <c r="Q292" s="519"/>
      <c r="R292" s="516">
        <v>0</v>
      </c>
      <c r="S292" s="516">
        <v>0</v>
      </c>
      <c r="T292" s="516">
        <v>0</v>
      </c>
      <c r="U292" s="517"/>
      <c r="V292" s="342">
        <v>0</v>
      </c>
      <c r="W292" s="518">
        <v>0</v>
      </c>
    </row>
    <row r="293" spans="1:23" x14ac:dyDescent="0.25">
      <c r="A293" s="515">
        <v>288</v>
      </c>
      <c r="B293" t="s">
        <v>319</v>
      </c>
      <c r="C293" s="308" t="s">
        <v>18</v>
      </c>
      <c r="D293" s="308" t="s">
        <v>20</v>
      </c>
      <c r="F293" s="516">
        <v>12</v>
      </c>
      <c r="G293" s="516">
        <v>124544.52000000002</v>
      </c>
      <c r="H293" s="516">
        <v>600</v>
      </c>
      <c r="I293" s="517"/>
      <c r="J293" s="516">
        <v>0</v>
      </c>
      <c r="K293" s="516">
        <v>0</v>
      </c>
      <c r="L293" s="516">
        <v>0</v>
      </c>
      <c r="M293" s="517"/>
      <c r="N293" s="342">
        <v>12</v>
      </c>
      <c r="O293" s="518">
        <v>124544.52000000002</v>
      </c>
      <c r="P293" s="518">
        <v>600</v>
      </c>
      <c r="Q293" s="519"/>
      <c r="R293" s="516">
        <v>0</v>
      </c>
      <c r="S293" s="516">
        <v>0</v>
      </c>
      <c r="T293" s="516">
        <v>0</v>
      </c>
      <c r="U293" s="517"/>
      <c r="V293" s="342">
        <v>12</v>
      </c>
      <c r="W293" s="518">
        <v>124544.52000000002</v>
      </c>
    </row>
    <row r="294" spans="1:23" x14ac:dyDescent="0.25">
      <c r="A294" s="515">
        <v>289</v>
      </c>
      <c r="B294" t="s">
        <v>320</v>
      </c>
      <c r="C294" s="308" t="s">
        <v>18</v>
      </c>
      <c r="D294" s="308" t="s">
        <v>20</v>
      </c>
      <c r="F294" s="516">
        <v>0</v>
      </c>
      <c r="G294" s="516">
        <v>0</v>
      </c>
      <c r="H294" s="516">
        <v>0</v>
      </c>
      <c r="I294" s="517"/>
      <c r="J294" s="516">
        <v>0</v>
      </c>
      <c r="K294" s="516">
        <v>0</v>
      </c>
      <c r="L294" s="516">
        <v>0</v>
      </c>
      <c r="M294" s="517"/>
      <c r="N294" s="342">
        <v>0</v>
      </c>
      <c r="O294" s="518">
        <v>0</v>
      </c>
      <c r="P294" s="518">
        <v>0</v>
      </c>
      <c r="Q294" s="519"/>
      <c r="R294" s="516">
        <v>0</v>
      </c>
      <c r="S294" s="516">
        <v>0</v>
      </c>
      <c r="T294" s="516">
        <v>0</v>
      </c>
      <c r="U294" s="517"/>
      <c r="V294" s="342">
        <v>0</v>
      </c>
      <c r="W294" s="518">
        <v>0</v>
      </c>
    </row>
    <row r="295" spans="1:23" x14ac:dyDescent="0.25">
      <c r="A295" s="515">
        <v>290</v>
      </c>
      <c r="B295" t="s">
        <v>321</v>
      </c>
      <c r="C295" s="308" t="s">
        <v>18</v>
      </c>
      <c r="D295" s="308" t="s">
        <v>20</v>
      </c>
      <c r="F295" s="516">
        <v>13</v>
      </c>
      <c r="G295" s="516">
        <v>240649.77</v>
      </c>
      <c r="H295" s="516">
        <v>650</v>
      </c>
      <c r="I295" s="517"/>
      <c r="J295" s="516">
        <v>0</v>
      </c>
      <c r="K295" s="516">
        <v>0</v>
      </c>
      <c r="L295" s="516">
        <v>0</v>
      </c>
      <c r="M295" s="517"/>
      <c r="N295" s="342">
        <v>13</v>
      </c>
      <c r="O295" s="518">
        <v>240649.77</v>
      </c>
      <c r="P295" s="518">
        <v>650</v>
      </c>
      <c r="Q295" s="519"/>
      <c r="R295" s="516">
        <v>0</v>
      </c>
      <c r="S295" s="516">
        <v>0</v>
      </c>
      <c r="T295" s="516">
        <v>0</v>
      </c>
      <c r="U295" s="517"/>
      <c r="V295" s="342">
        <v>13</v>
      </c>
      <c r="W295" s="518">
        <v>240649.77</v>
      </c>
    </row>
    <row r="296" spans="1:23" x14ac:dyDescent="0.25">
      <c r="A296" s="515">
        <v>291</v>
      </c>
      <c r="B296" t="s">
        <v>322</v>
      </c>
      <c r="C296" s="308" t="s">
        <v>18</v>
      </c>
      <c r="D296" s="308" t="s">
        <v>20</v>
      </c>
      <c r="F296" s="516">
        <v>9</v>
      </c>
      <c r="G296" s="516">
        <v>155327.27000000002</v>
      </c>
      <c r="H296" s="516">
        <v>450</v>
      </c>
      <c r="I296" s="517"/>
      <c r="J296" s="516">
        <v>0</v>
      </c>
      <c r="K296" s="516">
        <v>0</v>
      </c>
      <c r="L296" s="516">
        <v>0</v>
      </c>
      <c r="M296" s="517"/>
      <c r="N296" s="342">
        <v>9</v>
      </c>
      <c r="O296" s="518">
        <v>155327.27000000002</v>
      </c>
      <c r="P296" s="518">
        <v>450</v>
      </c>
      <c r="Q296" s="519"/>
      <c r="R296" s="516">
        <v>0</v>
      </c>
      <c r="S296" s="516">
        <v>0</v>
      </c>
      <c r="T296" s="516">
        <v>0</v>
      </c>
      <c r="U296" s="517"/>
      <c r="V296" s="342">
        <v>9</v>
      </c>
      <c r="W296" s="518">
        <v>155327.27000000002</v>
      </c>
    </row>
    <row r="297" spans="1:23" x14ac:dyDescent="0.25">
      <c r="A297" s="515">
        <v>292</v>
      </c>
      <c r="B297" t="s">
        <v>323</v>
      </c>
      <c r="C297" s="308" t="s">
        <v>18</v>
      </c>
      <c r="D297" s="308" t="s">
        <v>20</v>
      </c>
      <c r="F297" s="516">
        <v>9</v>
      </c>
      <c r="G297" s="516">
        <v>166400</v>
      </c>
      <c r="H297" s="516">
        <v>450</v>
      </c>
      <c r="I297" s="517"/>
      <c r="J297" s="516">
        <v>0</v>
      </c>
      <c r="K297" s="516">
        <v>0</v>
      </c>
      <c r="L297" s="516">
        <v>0</v>
      </c>
      <c r="M297" s="517"/>
      <c r="N297" s="342">
        <v>9</v>
      </c>
      <c r="O297" s="518">
        <v>166400</v>
      </c>
      <c r="P297" s="518">
        <v>450</v>
      </c>
      <c r="Q297" s="519"/>
      <c r="R297" s="516">
        <v>0</v>
      </c>
      <c r="S297" s="516">
        <v>0</v>
      </c>
      <c r="T297" s="516">
        <v>0</v>
      </c>
      <c r="U297" s="517"/>
      <c r="V297" s="342">
        <v>9</v>
      </c>
      <c r="W297" s="518">
        <v>166400</v>
      </c>
    </row>
    <row r="298" spans="1:23" x14ac:dyDescent="0.25">
      <c r="A298" s="515">
        <v>293</v>
      </c>
      <c r="B298" t="s">
        <v>324</v>
      </c>
      <c r="C298" s="308" t="s">
        <v>18</v>
      </c>
      <c r="D298" s="308" t="s">
        <v>20</v>
      </c>
      <c r="F298" s="516">
        <v>0</v>
      </c>
      <c r="G298" s="516">
        <v>0</v>
      </c>
      <c r="H298" s="516">
        <v>0</v>
      </c>
      <c r="I298" s="517"/>
      <c r="J298" s="516">
        <v>0</v>
      </c>
      <c r="K298" s="516">
        <v>0</v>
      </c>
      <c r="L298" s="516">
        <v>0</v>
      </c>
      <c r="M298" s="517"/>
      <c r="N298" s="342">
        <v>0</v>
      </c>
      <c r="O298" s="518">
        <v>0</v>
      </c>
      <c r="P298" s="518">
        <v>0</v>
      </c>
      <c r="Q298" s="519"/>
      <c r="R298" s="516">
        <v>0</v>
      </c>
      <c r="S298" s="516">
        <v>0</v>
      </c>
      <c r="T298" s="516">
        <v>0</v>
      </c>
      <c r="U298" s="517"/>
      <c r="V298" s="342">
        <v>0</v>
      </c>
      <c r="W298" s="518">
        <v>0</v>
      </c>
    </row>
    <row r="299" spans="1:23" x14ac:dyDescent="0.25">
      <c r="A299" s="515">
        <v>294</v>
      </c>
      <c r="B299" t="s">
        <v>325</v>
      </c>
      <c r="C299" s="308" t="s">
        <v>326</v>
      </c>
      <c r="D299" s="308" t="s">
        <v>327</v>
      </c>
      <c r="F299" s="516">
        <v>1635</v>
      </c>
      <c r="G299" s="516">
        <v>173753148.95999998</v>
      </c>
      <c r="H299" s="516">
        <v>98100</v>
      </c>
      <c r="I299" s="517"/>
      <c r="J299" s="516">
        <v>0</v>
      </c>
      <c r="K299" s="516">
        <v>0</v>
      </c>
      <c r="L299" s="516">
        <v>0</v>
      </c>
      <c r="M299" s="517"/>
      <c r="N299" s="342">
        <v>1635</v>
      </c>
      <c r="O299" s="518">
        <v>173753148.95999998</v>
      </c>
      <c r="P299" s="518">
        <v>98100</v>
      </c>
      <c r="Q299" s="519"/>
      <c r="R299" s="516">
        <v>0</v>
      </c>
      <c r="S299" s="516">
        <v>0</v>
      </c>
      <c r="T299" s="516">
        <v>0</v>
      </c>
      <c r="U299" s="517"/>
      <c r="V299" s="342">
        <v>1635</v>
      </c>
      <c r="W299" s="518">
        <v>173753148.95999998</v>
      </c>
    </row>
    <row r="300" spans="1:23" x14ac:dyDescent="0.25">
      <c r="A300" s="515">
        <v>295</v>
      </c>
      <c r="B300" t="s">
        <v>3079</v>
      </c>
      <c r="C300" s="308" t="s">
        <v>136</v>
      </c>
      <c r="D300" s="308" t="s">
        <v>516</v>
      </c>
      <c r="F300" s="516">
        <v>3</v>
      </c>
      <c r="G300" s="516">
        <v>42178</v>
      </c>
      <c r="H300" s="516">
        <v>90</v>
      </c>
      <c r="I300" s="517"/>
      <c r="J300" s="516">
        <v>0</v>
      </c>
      <c r="K300" s="516">
        <v>0</v>
      </c>
      <c r="L300" s="516">
        <v>0</v>
      </c>
      <c r="M300" s="517"/>
      <c r="N300" s="342">
        <v>3</v>
      </c>
      <c r="O300" s="518">
        <v>42178</v>
      </c>
      <c r="P300" s="518">
        <v>90</v>
      </c>
      <c r="Q300" s="519"/>
      <c r="R300" s="516">
        <v>0</v>
      </c>
      <c r="S300" s="516">
        <v>0</v>
      </c>
      <c r="T300" s="516">
        <v>0</v>
      </c>
      <c r="U300" s="517"/>
      <c r="V300" s="342">
        <v>3</v>
      </c>
      <c r="W300" s="518">
        <v>42178</v>
      </c>
    </row>
    <row r="301" spans="1:23" x14ac:dyDescent="0.25">
      <c r="A301" s="515">
        <v>296</v>
      </c>
      <c r="B301" t="s">
        <v>330</v>
      </c>
      <c r="C301" s="308"/>
      <c r="D301" s="308" t="s">
        <v>16</v>
      </c>
      <c r="F301" s="516">
        <v>0</v>
      </c>
      <c r="G301" s="516">
        <v>0</v>
      </c>
      <c r="H301" s="516">
        <v>0</v>
      </c>
      <c r="I301" s="517"/>
      <c r="J301" s="516">
        <v>0</v>
      </c>
      <c r="K301" s="516">
        <v>0</v>
      </c>
      <c r="L301" s="516">
        <v>0</v>
      </c>
      <c r="M301" s="517"/>
      <c r="N301" s="342">
        <v>0</v>
      </c>
      <c r="O301" s="518">
        <v>0</v>
      </c>
      <c r="P301" s="518">
        <v>0</v>
      </c>
      <c r="Q301" s="519"/>
      <c r="R301" s="516">
        <v>0</v>
      </c>
      <c r="S301" s="516">
        <v>0</v>
      </c>
      <c r="T301" s="516">
        <v>0</v>
      </c>
      <c r="U301" s="517"/>
      <c r="V301" s="342">
        <v>0</v>
      </c>
      <c r="W301" s="518">
        <v>0</v>
      </c>
    </row>
    <row r="302" spans="1:23" x14ac:dyDescent="0.25">
      <c r="A302" s="515">
        <v>297</v>
      </c>
      <c r="B302" t="s">
        <v>331</v>
      </c>
      <c r="C302" s="308" t="s">
        <v>242</v>
      </c>
      <c r="D302" s="308" t="s">
        <v>332</v>
      </c>
      <c r="F302" s="516">
        <v>5</v>
      </c>
      <c r="G302" s="516">
        <v>1354.53</v>
      </c>
      <c r="H302" s="516">
        <v>50</v>
      </c>
      <c r="I302" s="517"/>
      <c r="J302" s="516">
        <v>0</v>
      </c>
      <c r="K302" s="516">
        <v>0</v>
      </c>
      <c r="L302" s="516">
        <v>0</v>
      </c>
      <c r="M302" s="517"/>
      <c r="N302" s="342">
        <v>5</v>
      </c>
      <c r="O302" s="518">
        <v>1354.53</v>
      </c>
      <c r="P302" s="518">
        <v>50</v>
      </c>
      <c r="Q302" s="519"/>
      <c r="R302" s="516">
        <v>0</v>
      </c>
      <c r="S302" s="516">
        <v>0</v>
      </c>
      <c r="T302" s="516">
        <v>0</v>
      </c>
      <c r="U302" s="517"/>
      <c r="V302" s="342">
        <v>5</v>
      </c>
      <c r="W302" s="518">
        <v>1354.53</v>
      </c>
    </row>
    <row r="303" spans="1:23" x14ac:dyDescent="0.25">
      <c r="A303" s="515">
        <v>298</v>
      </c>
      <c r="B303" t="s">
        <v>328</v>
      </c>
      <c r="C303" s="308" t="s">
        <v>329</v>
      </c>
      <c r="D303" s="308" t="s">
        <v>16</v>
      </c>
      <c r="F303" s="516">
        <v>0</v>
      </c>
      <c r="G303" s="516">
        <v>0</v>
      </c>
      <c r="H303" s="516">
        <v>0</v>
      </c>
      <c r="I303" s="517"/>
      <c r="J303" s="516">
        <v>0</v>
      </c>
      <c r="K303" s="516">
        <v>0</v>
      </c>
      <c r="L303" s="516">
        <v>0</v>
      </c>
      <c r="M303" s="517"/>
      <c r="N303" s="342">
        <v>0</v>
      </c>
      <c r="O303" s="518">
        <v>0</v>
      </c>
      <c r="P303" s="518">
        <v>0</v>
      </c>
      <c r="Q303" s="519"/>
      <c r="R303" s="516">
        <v>0</v>
      </c>
      <c r="S303" s="516">
        <v>0</v>
      </c>
      <c r="T303" s="516">
        <v>0</v>
      </c>
      <c r="U303" s="517"/>
      <c r="V303" s="342">
        <v>0</v>
      </c>
      <c r="W303" s="518">
        <v>0</v>
      </c>
    </row>
    <row r="304" spans="1:23" x14ac:dyDescent="0.25">
      <c r="A304" s="515">
        <v>299</v>
      </c>
      <c r="B304" t="s">
        <v>333</v>
      </c>
      <c r="C304" s="308"/>
      <c r="D304" s="308"/>
      <c r="F304" s="516">
        <v>1</v>
      </c>
      <c r="G304" s="516">
        <v>999</v>
      </c>
      <c r="H304" s="516">
        <v>15</v>
      </c>
      <c r="I304" s="517"/>
      <c r="J304" s="516">
        <v>0</v>
      </c>
      <c r="K304" s="516">
        <v>0</v>
      </c>
      <c r="L304" s="516">
        <v>0</v>
      </c>
      <c r="M304" s="517"/>
      <c r="N304" s="342">
        <v>1</v>
      </c>
      <c r="O304" s="518">
        <v>999</v>
      </c>
      <c r="P304" s="518">
        <v>15</v>
      </c>
      <c r="Q304" s="519"/>
      <c r="R304" s="516">
        <v>0</v>
      </c>
      <c r="S304" s="516">
        <v>0</v>
      </c>
      <c r="T304" s="516">
        <v>0</v>
      </c>
      <c r="U304" s="517"/>
      <c r="V304" s="342">
        <v>1</v>
      </c>
      <c r="W304" s="518">
        <v>999</v>
      </c>
    </row>
    <row r="305" spans="1:23" x14ac:dyDescent="0.25">
      <c r="A305" s="515">
        <v>300</v>
      </c>
      <c r="B305" t="s">
        <v>334</v>
      </c>
      <c r="C305" s="308" t="s">
        <v>18</v>
      </c>
      <c r="D305" s="308" t="s">
        <v>16</v>
      </c>
      <c r="F305" s="516">
        <v>29</v>
      </c>
      <c r="G305" s="516">
        <v>284832.40000000002</v>
      </c>
      <c r="H305" s="516">
        <v>870</v>
      </c>
      <c r="I305" s="517"/>
      <c r="J305" s="516">
        <v>0</v>
      </c>
      <c r="K305" s="516">
        <v>0</v>
      </c>
      <c r="L305" s="516">
        <v>0</v>
      </c>
      <c r="M305" s="517"/>
      <c r="N305" s="342">
        <v>29</v>
      </c>
      <c r="O305" s="518">
        <v>284832.40000000002</v>
      </c>
      <c r="P305" s="518">
        <v>870</v>
      </c>
      <c r="Q305" s="519"/>
      <c r="R305" s="516">
        <v>0</v>
      </c>
      <c r="S305" s="516">
        <v>0</v>
      </c>
      <c r="T305" s="516">
        <v>0</v>
      </c>
      <c r="U305" s="517"/>
      <c r="V305" s="342">
        <v>29</v>
      </c>
      <c r="W305" s="518">
        <v>284832.40000000002</v>
      </c>
    </row>
    <row r="306" spans="1:23" x14ac:dyDescent="0.25">
      <c r="A306" s="515">
        <v>301</v>
      </c>
      <c r="B306" t="s">
        <v>2230</v>
      </c>
      <c r="C306" s="308" t="s">
        <v>18</v>
      </c>
      <c r="D306" s="308" t="s">
        <v>20</v>
      </c>
      <c r="F306" s="516">
        <v>0</v>
      </c>
      <c r="G306" s="516">
        <v>0</v>
      </c>
      <c r="H306" s="516">
        <v>0</v>
      </c>
      <c r="I306" s="517"/>
      <c r="J306" s="516">
        <v>0</v>
      </c>
      <c r="K306" s="516">
        <v>0</v>
      </c>
      <c r="L306" s="516">
        <v>0</v>
      </c>
      <c r="M306" s="517"/>
      <c r="N306" s="342">
        <v>0</v>
      </c>
      <c r="O306" s="518">
        <v>0</v>
      </c>
      <c r="P306" s="518">
        <v>0</v>
      </c>
      <c r="Q306" s="519"/>
      <c r="R306" s="516">
        <v>0</v>
      </c>
      <c r="S306" s="516">
        <v>0</v>
      </c>
      <c r="T306" s="516">
        <v>0</v>
      </c>
      <c r="U306" s="517"/>
      <c r="V306" s="342">
        <v>0</v>
      </c>
      <c r="W306" s="518">
        <v>0</v>
      </c>
    </row>
    <row r="307" spans="1:23" x14ac:dyDescent="0.25">
      <c r="A307" s="515">
        <v>302</v>
      </c>
      <c r="B307" t="s">
        <v>335</v>
      </c>
      <c r="C307" s="308" t="s">
        <v>18</v>
      </c>
      <c r="D307" s="308" t="s">
        <v>20</v>
      </c>
      <c r="F307" s="516">
        <v>0</v>
      </c>
      <c r="G307" s="516">
        <v>0</v>
      </c>
      <c r="H307" s="516">
        <v>0</v>
      </c>
      <c r="I307" s="517"/>
      <c r="J307" s="516">
        <v>0</v>
      </c>
      <c r="K307" s="516">
        <v>0</v>
      </c>
      <c r="L307" s="516">
        <v>0</v>
      </c>
      <c r="M307" s="517"/>
      <c r="N307" s="342">
        <v>0</v>
      </c>
      <c r="O307" s="518">
        <v>0</v>
      </c>
      <c r="P307" s="518">
        <v>0</v>
      </c>
      <c r="Q307" s="519"/>
      <c r="R307" s="516">
        <v>0</v>
      </c>
      <c r="S307" s="516">
        <v>0</v>
      </c>
      <c r="T307" s="516">
        <v>0</v>
      </c>
      <c r="U307" s="517"/>
      <c r="V307" s="342">
        <v>0</v>
      </c>
      <c r="W307" s="518">
        <v>0</v>
      </c>
    </row>
    <row r="308" spans="1:23" x14ac:dyDescent="0.25">
      <c r="A308" s="515">
        <v>303</v>
      </c>
      <c r="B308" t="s">
        <v>2231</v>
      </c>
      <c r="C308" s="308" t="s">
        <v>18</v>
      </c>
      <c r="D308" s="308" t="s">
        <v>20</v>
      </c>
      <c r="F308" s="516">
        <v>0</v>
      </c>
      <c r="G308" s="516">
        <v>0</v>
      </c>
      <c r="H308" s="516">
        <v>0</v>
      </c>
      <c r="I308" s="517"/>
      <c r="J308" s="516">
        <v>0</v>
      </c>
      <c r="K308" s="516">
        <v>0</v>
      </c>
      <c r="L308" s="516">
        <v>0</v>
      </c>
      <c r="M308" s="517"/>
      <c r="N308" s="342">
        <v>0</v>
      </c>
      <c r="O308" s="518">
        <v>0</v>
      </c>
      <c r="P308" s="518">
        <v>0</v>
      </c>
      <c r="Q308" s="519"/>
      <c r="R308" s="516">
        <v>0</v>
      </c>
      <c r="S308" s="516">
        <v>0</v>
      </c>
      <c r="T308" s="516">
        <v>0</v>
      </c>
      <c r="U308" s="517"/>
      <c r="V308" s="342">
        <v>0</v>
      </c>
      <c r="W308" s="518">
        <v>0</v>
      </c>
    </row>
    <row r="309" spans="1:23" x14ac:dyDescent="0.25">
      <c r="A309" s="515">
        <v>304</v>
      </c>
      <c r="B309" t="s">
        <v>2232</v>
      </c>
      <c r="C309" s="308" t="s">
        <v>18</v>
      </c>
      <c r="D309" s="308" t="s">
        <v>20</v>
      </c>
      <c r="F309" s="516">
        <v>0</v>
      </c>
      <c r="G309" s="516">
        <v>0</v>
      </c>
      <c r="H309" s="516">
        <v>0</v>
      </c>
      <c r="I309" s="517"/>
      <c r="J309" s="516">
        <v>0</v>
      </c>
      <c r="K309" s="516">
        <v>0</v>
      </c>
      <c r="L309" s="516">
        <v>0</v>
      </c>
      <c r="M309" s="517"/>
      <c r="N309" s="342">
        <v>0</v>
      </c>
      <c r="O309" s="518">
        <v>0</v>
      </c>
      <c r="P309" s="518">
        <v>0</v>
      </c>
      <c r="Q309" s="519"/>
      <c r="R309" s="516">
        <v>0</v>
      </c>
      <c r="S309" s="516">
        <v>0</v>
      </c>
      <c r="T309" s="516">
        <v>0</v>
      </c>
      <c r="U309" s="517"/>
      <c r="V309" s="342">
        <v>0</v>
      </c>
      <c r="W309" s="518">
        <v>0</v>
      </c>
    </row>
    <row r="310" spans="1:23" x14ac:dyDescent="0.25">
      <c r="A310" s="515">
        <v>305</v>
      </c>
      <c r="B310" t="s">
        <v>336</v>
      </c>
      <c r="C310" s="308" t="s">
        <v>18</v>
      </c>
      <c r="D310" s="308" t="s">
        <v>16</v>
      </c>
      <c r="F310" s="516">
        <v>1</v>
      </c>
      <c r="G310" s="516">
        <v>3350</v>
      </c>
      <c r="H310" s="516">
        <v>25</v>
      </c>
      <c r="I310" s="517"/>
      <c r="J310" s="516">
        <v>0</v>
      </c>
      <c r="K310" s="516">
        <v>0</v>
      </c>
      <c r="L310" s="516">
        <v>0</v>
      </c>
      <c r="M310" s="517"/>
      <c r="N310" s="342">
        <v>1</v>
      </c>
      <c r="O310" s="518">
        <v>3350</v>
      </c>
      <c r="P310" s="518">
        <v>25</v>
      </c>
      <c r="Q310" s="519"/>
      <c r="R310" s="516">
        <v>0</v>
      </c>
      <c r="S310" s="516">
        <v>0</v>
      </c>
      <c r="T310" s="516">
        <v>0</v>
      </c>
      <c r="U310" s="517"/>
      <c r="V310" s="342">
        <v>1</v>
      </c>
      <c r="W310" s="518">
        <v>3350</v>
      </c>
    </row>
    <row r="311" spans="1:23" x14ac:dyDescent="0.25">
      <c r="A311" s="515">
        <v>306</v>
      </c>
      <c r="B311" t="s">
        <v>337</v>
      </c>
      <c r="C311" s="308" t="s">
        <v>39</v>
      </c>
      <c r="D311" s="308" t="s">
        <v>16</v>
      </c>
      <c r="F311" s="516">
        <v>0</v>
      </c>
      <c r="G311" s="516">
        <v>0</v>
      </c>
      <c r="H311" s="516">
        <v>0</v>
      </c>
      <c r="I311" s="517"/>
      <c r="J311" s="516">
        <v>0</v>
      </c>
      <c r="K311" s="516">
        <v>0</v>
      </c>
      <c r="L311" s="516">
        <v>0</v>
      </c>
      <c r="M311" s="517"/>
      <c r="N311" s="342">
        <v>0</v>
      </c>
      <c r="O311" s="518">
        <v>0</v>
      </c>
      <c r="P311" s="518">
        <v>0</v>
      </c>
      <c r="Q311" s="519"/>
      <c r="R311" s="516">
        <v>0</v>
      </c>
      <c r="S311" s="516">
        <v>0</v>
      </c>
      <c r="T311" s="516">
        <v>0</v>
      </c>
      <c r="U311" s="517"/>
      <c r="V311" s="342">
        <v>0</v>
      </c>
      <c r="W311" s="518">
        <v>0</v>
      </c>
    </row>
    <row r="312" spans="1:23" x14ac:dyDescent="0.25">
      <c r="A312" s="515">
        <v>307</v>
      </c>
      <c r="B312" t="s">
        <v>338</v>
      </c>
      <c r="C312" s="308" t="s">
        <v>18</v>
      </c>
      <c r="D312" s="308" t="s">
        <v>16</v>
      </c>
      <c r="F312" s="516">
        <v>5</v>
      </c>
      <c r="G312" s="516">
        <v>5528.77</v>
      </c>
      <c r="H312" s="516">
        <v>35</v>
      </c>
      <c r="I312" s="517"/>
      <c r="J312" s="516">
        <v>0</v>
      </c>
      <c r="K312" s="516">
        <v>0</v>
      </c>
      <c r="L312" s="516">
        <v>0</v>
      </c>
      <c r="M312" s="517"/>
      <c r="N312" s="342">
        <v>5</v>
      </c>
      <c r="O312" s="518">
        <v>5528.77</v>
      </c>
      <c r="P312" s="518">
        <v>35</v>
      </c>
      <c r="Q312" s="519"/>
      <c r="R312" s="516">
        <v>0</v>
      </c>
      <c r="S312" s="516">
        <v>0</v>
      </c>
      <c r="T312" s="516">
        <v>0</v>
      </c>
      <c r="U312" s="517"/>
      <c r="V312" s="342">
        <v>5</v>
      </c>
      <c r="W312" s="518">
        <v>5528.77</v>
      </c>
    </row>
    <row r="313" spans="1:23" x14ac:dyDescent="0.25">
      <c r="A313" s="515">
        <v>308</v>
      </c>
      <c r="B313" t="s">
        <v>339</v>
      </c>
      <c r="C313" s="308" t="s">
        <v>39</v>
      </c>
      <c r="D313" s="308" t="s">
        <v>16</v>
      </c>
      <c r="F313" s="516">
        <v>6</v>
      </c>
      <c r="G313" s="516">
        <v>1280907.9100000001</v>
      </c>
      <c r="H313" s="516">
        <v>4050</v>
      </c>
      <c r="I313" s="517"/>
      <c r="J313" s="516">
        <v>0</v>
      </c>
      <c r="K313" s="516">
        <v>0</v>
      </c>
      <c r="L313" s="516">
        <v>0</v>
      </c>
      <c r="M313" s="517"/>
      <c r="N313" s="342">
        <v>6</v>
      </c>
      <c r="O313" s="518">
        <v>1280907.9100000001</v>
      </c>
      <c r="P313" s="518">
        <v>4050</v>
      </c>
      <c r="Q313" s="519"/>
      <c r="R313" s="516">
        <v>0</v>
      </c>
      <c r="S313" s="516">
        <v>0</v>
      </c>
      <c r="T313" s="516">
        <v>0</v>
      </c>
      <c r="U313" s="517"/>
      <c r="V313" s="342">
        <v>6</v>
      </c>
      <c r="W313" s="518">
        <v>1280907.9100000001</v>
      </c>
    </row>
    <row r="314" spans="1:23" x14ac:dyDescent="0.25">
      <c r="A314" s="515">
        <v>309</v>
      </c>
      <c r="B314" t="s">
        <v>340</v>
      </c>
      <c r="C314" s="308" t="s">
        <v>15</v>
      </c>
      <c r="D314" s="308" t="s">
        <v>20</v>
      </c>
      <c r="F314" s="516">
        <v>0</v>
      </c>
      <c r="G314" s="516">
        <v>0</v>
      </c>
      <c r="H314" s="516">
        <v>0</v>
      </c>
      <c r="I314" s="517"/>
      <c r="J314" s="516">
        <v>0</v>
      </c>
      <c r="K314" s="516">
        <v>0</v>
      </c>
      <c r="L314" s="516">
        <v>0</v>
      </c>
      <c r="M314" s="517"/>
      <c r="N314" s="342">
        <v>0</v>
      </c>
      <c r="O314" s="518">
        <v>0</v>
      </c>
      <c r="P314" s="518">
        <v>0</v>
      </c>
      <c r="Q314" s="519"/>
      <c r="R314" s="520">
        <v>0</v>
      </c>
      <c r="S314" s="521">
        <v>0</v>
      </c>
      <c r="T314" s="516">
        <v>0</v>
      </c>
      <c r="U314" s="517"/>
      <c r="V314" s="342">
        <v>0</v>
      </c>
      <c r="W314" s="518">
        <v>0</v>
      </c>
    </row>
    <row r="315" spans="1:23" x14ac:dyDescent="0.25">
      <c r="A315" s="515">
        <v>310</v>
      </c>
      <c r="B315" t="s">
        <v>3190</v>
      </c>
      <c r="C315" s="308" t="s">
        <v>39</v>
      </c>
      <c r="D315" s="308" t="s">
        <v>16</v>
      </c>
      <c r="F315" s="516">
        <v>0</v>
      </c>
      <c r="G315" s="516">
        <v>0</v>
      </c>
      <c r="H315" s="516">
        <v>0</v>
      </c>
      <c r="I315" s="517"/>
      <c r="J315" s="516">
        <v>0</v>
      </c>
      <c r="K315" s="516">
        <v>0</v>
      </c>
      <c r="L315" s="516">
        <v>0</v>
      </c>
      <c r="M315" s="517"/>
      <c r="N315" s="342">
        <v>0</v>
      </c>
      <c r="O315" s="518">
        <v>0</v>
      </c>
      <c r="P315" s="518">
        <v>0</v>
      </c>
      <c r="Q315" s="519"/>
      <c r="R315" s="516">
        <v>0</v>
      </c>
      <c r="S315" s="516">
        <v>0</v>
      </c>
      <c r="T315" s="516">
        <v>0</v>
      </c>
      <c r="U315" s="517"/>
      <c r="V315" s="342">
        <v>0</v>
      </c>
      <c r="W315" s="518">
        <v>0</v>
      </c>
    </row>
    <row r="316" spans="1:23" x14ac:dyDescent="0.25">
      <c r="A316" s="515">
        <v>311</v>
      </c>
      <c r="B316" t="s">
        <v>341</v>
      </c>
      <c r="C316" s="308"/>
      <c r="D316" s="308" t="s">
        <v>16</v>
      </c>
      <c r="F316" s="516">
        <v>2</v>
      </c>
      <c r="G316" s="516">
        <v>36835.85</v>
      </c>
      <c r="H316" s="516">
        <v>50</v>
      </c>
      <c r="I316" s="517"/>
      <c r="J316" s="516">
        <v>0</v>
      </c>
      <c r="K316" s="516">
        <v>0</v>
      </c>
      <c r="L316" s="516">
        <v>0</v>
      </c>
      <c r="M316" s="517"/>
      <c r="N316" s="342">
        <v>2</v>
      </c>
      <c r="O316" s="518">
        <v>36835.85</v>
      </c>
      <c r="P316" s="518">
        <v>50</v>
      </c>
      <c r="Q316" s="519"/>
      <c r="R316" s="516">
        <v>0</v>
      </c>
      <c r="S316" s="516">
        <v>0</v>
      </c>
      <c r="T316" s="516">
        <v>0</v>
      </c>
      <c r="U316" s="517"/>
      <c r="V316" s="342">
        <v>2</v>
      </c>
      <c r="W316" s="518">
        <v>36835.85</v>
      </c>
    </row>
    <row r="317" spans="1:23" x14ac:dyDescent="0.25">
      <c r="A317" s="515">
        <v>312</v>
      </c>
      <c r="B317" t="s">
        <v>342</v>
      </c>
      <c r="C317" s="308"/>
      <c r="D317" s="308" t="s">
        <v>16</v>
      </c>
      <c r="F317" s="516">
        <v>0</v>
      </c>
      <c r="G317" s="516">
        <v>0</v>
      </c>
      <c r="H317" s="516">
        <v>0</v>
      </c>
      <c r="I317" s="517"/>
      <c r="J317" s="516">
        <v>0</v>
      </c>
      <c r="K317" s="516">
        <v>0</v>
      </c>
      <c r="L317" s="516">
        <v>0</v>
      </c>
      <c r="M317" s="517"/>
      <c r="N317" s="342">
        <v>0</v>
      </c>
      <c r="O317" s="518">
        <v>0</v>
      </c>
      <c r="P317" s="518">
        <v>0</v>
      </c>
      <c r="Q317" s="519"/>
      <c r="R317" s="516">
        <v>0</v>
      </c>
      <c r="S317" s="516">
        <v>0</v>
      </c>
      <c r="T317" s="516">
        <v>0</v>
      </c>
      <c r="U317" s="517"/>
      <c r="V317" s="342">
        <v>0</v>
      </c>
      <c r="W317" s="518">
        <v>0</v>
      </c>
    </row>
    <row r="318" spans="1:23" x14ac:dyDescent="0.25">
      <c r="A318" s="515">
        <v>313</v>
      </c>
      <c r="B318" t="s">
        <v>343</v>
      </c>
      <c r="C318" s="308" t="s">
        <v>148</v>
      </c>
      <c r="D318" s="308" t="s">
        <v>16</v>
      </c>
      <c r="F318" s="516">
        <v>0</v>
      </c>
      <c r="G318" s="516">
        <v>0</v>
      </c>
      <c r="H318" s="516">
        <v>0</v>
      </c>
      <c r="I318" s="517"/>
      <c r="J318" s="516">
        <v>0</v>
      </c>
      <c r="K318" s="516">
        <v>0</v>
      </c>
      <c r="L318" s="516">
        <v>0</v>
      </c>
      <c r="M318" s="517"/>
      <c r="N318" s="342">
        <v>0</v>
      </c>
      <c r="O318" s="518">
        <v>0</v>
      </c>
      <c r="P318" s="518">
        <v>0</v>
      </c>
      <c r="Q318" s="519"/>
      <c r="R318" s="516">
        <v>0</v>
      </c>
      <c r="S318" s="516">
        <v>0</v>
      </c>
      <c r="T318" s="516">
        <v>0</v>
      </c>
      <c r="U318" s="517"/>
      <c r="V318" s="342">
        <v>0</v>
      </c>
      <c r="W318" s="518">
        <v>0</v>
      </c>
    </row>
    <row r="319" spans="1:23" x14ac:dyDescent="0.25">
      <c r="A319" s="515">
        <v>314</v>
      </c>
      <c r="B319" t="s">
        <v>344</v>
      </c>
      <c r="C319" s="308" t="s">
        <v>15</v>
      </c>
      <c r="D319" s="308" t="s">
        <v>16</v>
      </c>
      <c r="F319" s="516">
        <v>5</v>
      </c>
      <c r="G319" s="516">
        <v>92792.97</v>
      </c>
      <c r="H319" s="516">
        <v>150</v>
      </c>
      <c r="I319" s="517"/>
      <c r="J319" s="516">
        <v>0</v>
      </c>
      <c r="K319" s="516">
        <v>0</v>
      </c>
      <c r="L319" s="516">
        <v>0</v>
      </c>
      <c r="M319" s="517"/>
      <c r="N319" s="342">
        <v>5</v>
      </c>
      <c r="O319" s="518">
        <v>92792.97</v>
      </c>
      <c r="P319" s="518">
        <v>150</v>
      </c>
      <c r="Q319" s="519"/>
      <c r="R319" s="516">
        <v>0</v>
      </c>
      <c r="S319" s="516">
        <v>0</v>
      </c>
      <c r="T319" s="516">
        <v>0</v>
      </c>
      <c r="U319" s="517"/>
      <c r="V319" s="342">
        <v>5</v>
      </c>
      <c r="W319" s="518">
        <v>92792.97</v>
      </c>
    </row>
    <row r="320" spans="1:23" x14ac:dyDescent="0.25">
      <c r="A320" s="515">
        <v>315</v>
      </c>
      <c r="B320" t="s">
        <v>345</v>
      </c>
      <c r="C320" s="308" t="s">
        <v>329</v>
      </c>
      <c r="D320" s="308" t="s">
        <v>16</v>
      </c>
      <c r="F320" s="516">
        <v>0</v>
      </c>
      <c r="G320" s="516">
        <v>0</v>
      </c>
      <c r="H320" s="516">
        <v>0</v>
      </c>
      <c r="I320" s="517"/>
      <c r="J320" s="516">
        <v>0</v>
      </c>
      <c r="K320" s="516">
        <v>0</v>
      </c>
      <c r="L320" s="516">
        <v>0</v>
      </c>
      <c r="M320" s="517"/>
      <c r="N320" s="342">
        <v>0</v>
      </c>
      <c r="O320" s="518">
        <v>0</v>
      </c>
      <c r="P320" s="518">
        <v>0</v>
      </c>
      <c r="Q320" s="519"/>
      <c r="R320" s="516">
        <v>0</v>
      </c>
      <c r="S320" s="516">
        <v>0</v>
      </c>
      <c r="T320" s="516">
        <v>0</v>
      </c>
      <c r="U320" s="517"/>
      <c r="V320" s="342">
        <v>0</v>
      </c>
      <c r="W320" s="518">
        <v>0</v>
      </c>
    </row>
    <row r="321" spans="1:23" x14ac:dyDescent="0.25">
      <c r="A321" s="515">
        <v>316</v>
      </c>
      <c r="B321" t="s">
        <v>346</v>
      </c>
      <c r="C321" s="308" t="s">
        <v>27</v>
      </c>
      <c r="D321" s="308" t="s">
        <v>16</v>
      </c>
      <c r="F321" s="516">
        <v>0</v>
      </c>
      <c r="G321" s="516">
        <v>0</v>
      </c>
      <c r="H321" s="516">
        <v>0</v>
      </c>
      <c r="I321" s="517"/>
      <c r="J321" s="516">
        <v>0</v>
      </c>
      <c r="K321" s="516">
        <v>0</v>
      </c>
      <c r="L321" s="516">
        <v>0</v>
      </c>
      <c r="M321" s="517"/>
      <c r="N321" s="342">
        <v>0</v>
      </c>
      <c r="O321" s="518">
        <v>0</v>
      </c>
      <c r="P321" s="518">
        <v>0</v>
      </c>
      <c r="Q321" s="519"/>
      <c r="R321" s="516">
        <v>0</v>
      </c>
      <c r="S321" s="516">
        <v>0</v>
      </c>
      <c r="T321" s="516">
        <v>0</v>
      </c>
      <c r="U321" s="517"/>
      <c r="V321" s="342">
        <v>0</v>
      </c>
      <c r="W321" s="518">
        <v>0</v>
      </c>
    </row>
    <row r="322" spans="1:23" x14ac:dyDescent="0.25">
      <c r="A322" s="515">
        <v>317</v>
      </c>
      <c r="B322" t="s">
        <v>347</v>
      </c>
      <c r="C322" s="308" t="s">
        <v>25</v>
      </c>
      <c r="D322" s="308" t="s">
        <v>16</v>
      </c>
      <c r="F322" s="516">
        <v>1</v>
      </c>
      <c r="G322" s="516">
        <v>16270</v>
      </c>
      <c r="H322" s="516">
        <v>25</v>
      </c>
      <c r="I322" s="517"/>
      <c r="J322" s="516">
        <v>0</v>
      </c>
      <c r="K322" s="516">
        <v>0</v>
      </c>
      <c r="L322" s="516">
        <v>0</v>
      </c>
      <c r="M322" s="517"/>
      <c r="N322" s="342">
        <v>1</v>
      </c>
      <c r="O322" s="518">
        <v>16270</v>
      </c>
      <c r="P322" s="518">
        <v>25</v>
      </c>
      <c r="Q322" s="519"/>
      <c r="R322" s="516">
        <v>0</v>
      </c>
      <c r="S322" s="516">
        <v>0</v>
      </c>
      <c r="T322" s="516">
        <v>0</v>
      </c>
      <c r="U322" s="517"/>
      <c r="V322" s="342">
        <v>1</v>
      </c>
      <c r="W322" s="518">
        <v>16270</v>
      </c>
    </row>
    <row r="323" spans="1:23" x14ac:dyDescent="0.25">
      <c r="A323" s="515">
        <v>318</v>
      </c>
      <c r="B323" t="s">
        <v>348</v>
      </c>
      <c r="C323" s="308" t="s">
        <v>25</v>
      </c>
      <c r="D323" s="308" t="s">
        <v>16</v>
      </c>
      <c r="F323" s="516">
        <v>0</v>
      </c>
      <c r="G323" s="516">
        <v>0</v>
      </c>
      <c r="H323" s="516">
        <v>0</v>
      </c>
      <c r="I323" s="517"/>
      <c r="J323" s="516">
        <v>0</v>
      </c>
      <c r="K323" s="516">
        <v>0</v>
      </c>
      <c r="L323" s="516">
        <v>0</v>
      </c>
      <c r="M323" s="517"/>
      <c r="N323" s="342">
        <v>0</v>
      </c>
      <c r="O323" s="518">
        <v>0</v>
      </c>
      <c r="P323" s="518">
        <v>0</v>
      </c>
      <c r="Q323" s="519"/>
      <c r="R323" s="516">
        <v>0</v>
      </c>
      <c r="S323" s="516">
        <v>0</v>
      </c>
      <c r="T323" s="516">
        <v>0</v>
      </c>
      <c r="U323" s="517"/>
      <c r="V323" s="342">
        <v>0</v>
      </c>
      <c r="W323" s="518">
        <v>0</v>
      </c>
    </row>
    <row r="324" spans="1:23" x14ac:dyDescent="0.25">
      <c r="A324" s="515">
        <v>319</v>
      </c>
      <c r="B324" t="s">
        <v>350</v>
      </c>
      <c r="C324" s="308" t="s">
        <v>351</v>
      </c>
      <c r="D324" s="308" t="s">
        <v>20</v>
      </c>
      <c r="F324" s="516">
        <v>4</v>
      </c>
      <c r="G324" s="516">
        <v>17780</v>
      </c>
      <c r="H324" s="516">
        <v>20</v>
      </c>
      <c r="I324" s="517"/>
      <c r="J324" s="516">
        <v>0</v>
      </c>
      <c r="K324" s="516">
        <v>0</v>
      </c>
      <c r="L324" s="516">
        <v>0</v>
      </c>
      <c r="M324" s="517"/>
      <c r="N324" s="342">
        <v>4</v>
      </c>
      <c r="O324" s="518">
        <v>17780</v>
      </c>
      <c r="P324" s="518">
        <v>20</v>
      </c>
      <c r="Q324" s="519"/>
      <c r="R324" s="516">
        <v>0</v>
      </c>
      <c r="S324" s="516">
        <v>0</v>
      </c>
      <c r="T324" s="516">
        <v>0</v>
      </c>
      <c r="U324" s="517"/>
      <c r="V324" s="342">
        <v>4</v>
      </c>
      <c r="W324" s="518">
        <v>17780</v>
      </c>
    </row>
    <row r="325" spans="1:23" x14ac:dyDescent="0.25">
      <c r="A325" s="515">
        <v>320</v>
      </c>
      <c r="B325" t="s">
        <v>352</v>
      </c>
      <c r="C325" s="308"/>
      <c r="D325" s="308" t="s">
        <v>20</v>
      </c>
      <c r="F325" s="516">
        <v>1</v>
      </c>
      <c r="G325" s="516">
        <v>442</v>
      </c>
      <c r="H325" s="516">
        <v>5</v>
      </c>
      <c r="I325" s="517"/>
      <c r="J325" s="516">
        <v>0</v>
      </c>
      <c r="K325" s="516">
        <v>0</v>
      </c>
      <c r="L325" s="516">
        <v>0</v>
      </c>
      <c r="M325" s="517"/>
      <c r="N325" s="342">
        <v>1</v>
      </c>
      <c r="O325" s="518">
        <v>442</v>
      </c>
      <c r="P325" s="518">
        <v>5</v>
      </c>
      <c r="Q325" s="519"/>
      <c r="R325" s="516">
        <v>0</v>
      </c>
      <c r="S325" s="516">
        <v>0</v>
      </c>
      <c r="T325" s="516">
        <v>0</v>
      </c>
      <c r="U325" s="517"/>
      <c r="V325" s="342">
        <v>1</v>
      </c>
      <c r="W325" s="518">
        <v>442</v>
      </c>
    </row>
    <row r="326" spans="1:23" x14ac:dyDescent="0.25">
      <c r="A326" s="515">
        <v>321</v>
      </c>
      <c r="B326" t="s">
        <v>353</v>
      </c>
      <c r="C326" s="308" t="s">
        <v>25</v>
      </c>
      <c r="D326" s="308" t="s">
        <v>20</v>
      </c>
      <c r="F326" s="516">
        <v>0</v>
      </c>
      <c r="G326" s="516">
        <v>0</v>
      </c>
      <c r="H326" s="516">
        <v>0</v>
      </c>
      <c r="I326" s="517"/>
      <c r="J326" s="516">
        <v>0</v>
      </c>
      <c r="K326" s="516">
        <v>0</v>
      </c>
      <c r="L326" s="516">
        <v>0</v>
      </c>
      <c r="M326" s="517"/>
      <c r="N326" s="342">
        <v>0</v>
      </c>
      <c r="O326" s="518">
        <v>0</v>
      </c>
      <c r="P326" s="518">
        <v>0</v>
      </c>
      <c r="Q326" s="519"/>
      <c r="R326" s="516">
        <v>0</v>
      </c>
      <c r="S326" s="516">
        <v>0</v>
      </c>
      <c r="T326" s="516">
        <v>0</v>
      </c>
      <c r="U326" s="517"/>
      <c r="V326" s="342">
        <v>0</v>
      </c>
      <c r="W326" s="518">
        <v>0</v>
      </c>
    </row>
    <row r="327" spans="1:23" x14ac:dyDescent="0.25">
      <c r="A327" s="515">
        <v>322</v>
      </c>
      <c r="B327" t="s">
        <v>356</v>
      </c>
      <c r="C327" s="308" t="s">
        <v>15</v>
      </c>
      <c r="D327" s="308" t="s">
        <v>16</v>
      </c>
      <c r="F327" s="516">
        <v>0</v>
      </c>
      <c r="G327" s="516">
        <v>0</v>
      </c>
      <c r="H327" s="516">
        <v>0</v>
      </c>
      <c r="I327" s="517"/>
      <c r="J327" s="516">
        <v>0</v>
      </c>
      <c r="K327" s="516">
        <v>0</v>
      </c>
      <c r="L327" s="516">
        <v>0</v>
      </c>
      <c r="M327" s="517"/>
      <c r="N327" s="342">
        <v>0</v>
      </c>
      <c r="O327" s="518">
        <v>0</v>
      </c>
      <c r="P327" s="518">
        <v>0</v>
      </c>
      <c r="Q327" s="519"/>
      <c r="R327" s="516">
        <v>0</v>
      </c>
      <c r="S327" s="516">
        <v>0</v>
      </c>
      <c r="T327" s="516">
        <v>0</v>
      </c>
      <c r="U327" s="517"/>
      <c r="V327" s="342">
        <v>0</v>
      </c>
      <c r="W327" s="518">
        <v>0</v>
      </c>
    </row>
    <row r="328" spans="1:23" x14ac:dyDescent="0.25">
      <c r="A328" s="515">
        <v>323</v>
      </c>
      <c r="B328" t="s">
        <v>357</v>
      </c>
      <c r="C328" s="308" t="s">
        <v>18</v>
      </c>
      <c r="D328" s="308" t="s">
        <v>20</v>
      </c>
      <c r="F328" s="516">
        <v>19</v>
      </c>
      <c r="G328" s="516">
        <v>399751.2</v>
      </c>
      <c r="H328" s="516">
        <v>570</v>
      </c>
      <c r="I328" s="517"/>
      <c r="J328" s="516">
        <v>0</v>
      </c>
      <c r="K328" s="516">
        <v>0</v>
      </c>
      <c r="L328" s="516">
        <v>0</v>
      </c>
      <c r="M328" s="517"/>
      <c r="N328" s="342">
        <v>19</v>
      </c>
      <c r="O328" s="518">
        <v>399751.2</v>
      </c>
      <c r="P328" s="518">
        <v>570</v>
      </c>
      <c r="Q328" s="519"/>
      <c r="R328" s="516">
        <v>0</v>
      </c>
      <c r="S328" s="516">
        <v>0</v>
      </c>
      <c r="T328" s="516">
        <v>0</v>
      </c>
      <c r="U328" s="517"/>
      <c r="V328" s="342">
        <v>19</v>
      </c>
      <c r="W328" s="518">
        <v>399751.2</v>
      </c>
    </row>
    <row r="329" spans="1:23" x14ac:dyDescent="0.25">
      <c r="A329" s="515">
        <v>324</v>
      </c>
      <c r="B329" t="s">
        <v>358</v>
      </c>
      <c r="C329" s="308" t="s">
        <v>18</v>
      </c>
      <c r="D329" s="308" t="s">
        <v>20</v>
      </c>
      <c r="F329" s="516">
        <v>10</v>
      </c>
      <c r="G329" s="516">
        <v>342404.2</v>
      </c>
      <c r="H329" s="516">
        <v>300</v>
      </c>
      <c r="I329" s="517"/>
      <c r="J329" s="516">
        <v>0</v>
      </c>
      <c r="K329" s="516">
        <v>0</v>
      </c>
      <c r="L329" s="516">
        <v>0</v>
      </c>
      <c r="M329" s="517"/>
      <c r="N329" s="342">
        <v>10</v>
      </c>
      <c r="O329" s="518">
        <v>342404.2</v>
      </c>
      <c r="P329" s="518">
        <v>300</v>
      </c>
      <c r="Q329" s="519"/>
      <c r="R329" s="516">
        <v>0</v>
      </c>
      <c r="S329" s="516">
        <v>0</v>
      </c>
      <c r="T329" s="516">
        <v>0</v>
      </c>
      <c r="U329" s="517"/>
      <c r="V329" s="342">
        <v>10</v>
      </c>
      <c r="W329" s="518">
        <v>342404.2</v>
      </c>
    </row>
    <row r="330" spans="1:23" x14ac:dyDescent="0.25">
      <c r="A330" s="515">
        <v>325</v>
      </c>
      <c r="B330" t="s">
        <v>2233</v>
      </c>
      <c r="C330" s="308" t="s">
        <v>18</v>
      </c>
      <c r="D330" s="308" t="s">
        <v>20</v>
      </c>
      <c r="F330" s="516">
        <v>6</v>
      </c>
      <c r="G330" s="516">
        <v>318314</v>
      </c>
      <c r="H330" s="516">
        <v>180</v>
      </c>
      <c r="I330" s="517"/>
      <c r="J330" s="516">
        <v>0</v>
      </c>
      <c r="K330" s="516">
        <v>0</v>
      </c>
      <c r="L330" s="516">
        <v>0</v>
      </c>
      <c r="M330" s="517"/>
      <c r="N330" s="342">
        <v>6</v>
      </c>
      <c r="O330" s="518">
        <v>318314</v>
      </c>
      <c r="P330" s="518">
        <v>180</v>
      </c>
      <c r="Q330" s="519"/>
      <c r="R330" s="516">
        <v>0</v>
      </c>
      <c r="S330" s="516">
        <v>0</v>
      </c>
      <c r="T330" s="516">
        <v>0</v>
      </c>
      <c r="U330" s="517"/>
      <c r="V330" s="342">
        <v>6</v>
      </c>
      <c r="W330" s="518">
        <v>318314</v>
      </c>
    </row>
    <row r="331" spans="1:23" x14ac:dyDescent="0.25">
      <c r="A331" s="515">
        <v>326</v>
      </c>
      <c r="B331" t="s">
        <v>2234</v>
      </c>
      <c r="C331" s="308" t="s">
        <v>18</v>
      </c>
      <c r="D331" s="308" t="s">
        <v>20</v>
      </c>
      <c r="F331" s="516">
        <v>19</v>
      </c>
      <c r="G331" s="516">
        <v>707395.4</v>
      </c>
      <c r="H331" s="516">
        <v>570</v>
      </c>
      <c r="I331" s="517"/>
      <c r="J331" s="516">
        <v>0</v>
      </c>
      <c r="K331" s="516">
        <v>0</v>
      </c>
      <c r="L331" s="516">
        <v>0</v>
      </c>
      <c r="M331" s="517"/>
      <c r="N331" s="342">
        <v>19</v>
      </c>
      <c r="O331" s="518">
        <v>707395.4</v>
      </c>
      <c r="P331" s="518">
        <v>570</v>
      </c>
      <c r="Q331" s="519"/>
      <c r="R331" s="516">
        <v>0</v>
      </c>
      <c r="S331" s="516">
        <v>0</v>
      </c>
      <c r="T331" s="516">
        <v>0</v>
      </c>
      <c r="U331" s="517"/>
      <c r="V331" s="342">
        <v>19</v>
      </c>
      <c r="W331" s="518">
        <v>707395.4</v>
      </c>
    </row>
    <row r="332" spans="1:23" x14ac:dyDescent="0.25">
      <c r="A332" s="515">
        <v>327</v>
      </c>
      <c r="B332" t="s">
        <v>359</v>
      </c>
      <c r="C332" s="308" t="s">
        <v>18</v>
      </c>
      <c r="D332" s="308" t="s">
        <v>20</v>
      </c>
      <c r="F332" s="516">
        <v>1</v>
      </c>
      <c r="G332" s="516">
        <v>58714</v>
      </c>
      <c r="H332" s="516">
        <v>30</v>
      </c>
      <c r="I332" s="517"/>
      <c r="J332" s="516">
        <v>0</v>
      </c>
      <c r="K332" s="516">
        <v>0</v>
      </c>
      <c r="L332" s="516">
        <v>0</v>
      </c>
      <c r="M332" s="517"/>
      <c r="N332" s="342">
        <v>1</v>
      </c>
      <c r="O332" s="518">
        <v>58714</v>
      </c>
      <c r="P332" s="518">
        <v>30</v>
      </c>
      <c r="Q332" s="519"/>
      <c r="R332" s="516">
        <v>0</v>
      </c>
      <c r="S332" s="516">
        <v>0</v>
      </c>
      <c r="T332" s="516">
        <v>0</v>
      </c>
      <c r="U332" s="517"/>
      <c r="V332" s="342">
        <v>1</v>
      </c>
      <c r="W332" s="518">
        <v>58714</v>
      </c>
    </row>
    <row r="333" spans="1:23" x14ac:dyDescent="0.25">
      <c r="A333" s="515">
        <v>328</v>
      </c>
      <c r="B333" t="s">
        <v>2423</v>
      </c>
      <c r="C333" s="308" t="s">
        <v>24</v>
      </c>
      <c r="D333" s="308" t="s">
        <v>20</v>
      </c>
      <c r="F333" s="516">
        <v>31</v>
      </c>
      <c r="G333" s="516">
        <v>1795305.3099999998</v>
      </c>
      <c r="H333" s="516">
        <v>930</v>
      </c>
      <c r="I333" s="517"/>
      <c r="J333" s="516">
        <v>0</v>
      </c>
      <c r="K333" s="516">
        <v>0</v>
      </c>
      <c r="L333" s="516">
        <v>0</v>
      </c>
      <c r="M333" s="517"/>
      <c r="N333" s="342">
        <v>31</v>
      </c>
      <c r="O333" s="518">
        <v>1795305.3099999998</v>
      </c>
      <c r="P333" s="518">
        <v>930</v>
      </c>
      <c r="Q333" s="519"/>
      <c r="R333" s="516">
        <v>0</v>
      </c>
      <c r="S333" s="516">
        <v>0</v>
      </c>
      <c r="T333" s="516">
        <v>0</v>
      </c>
      <c r="U333" s="517"/>
      <c r="V333" s="342">
        <v>31</v>
      </c>
      <c r="W333" s="518">
        <v>1795305.3099999998</v>
      </c>
    </row>
    <row r="334" spans="1:23" x14ac:dyDescent="0.25">
      <c r="A334" s="515">
        <v>329</v>
      </c>
      <c r="B334" t="s">
        <v>2424</v>
      </c>
      <c r="C334" s="308" t="s">
        <v>24</v>
      </c>
      <c r="D334" s="308" t="s">
        <v>20</v>
      </c>
      <c r="F334" s="516">
        <v>6</v>
      </c>
      <c r="G334" s="516">
        <v>308283.27</v>
      </c>
      <c r="H334" s="516">
        <v>180</v>
      </c>
      <c r="I334" s="517"/>
      <c r="J334" s="516">
        <v>0</v>
      </c>
      <c r="K334" s="516">
        <v>0</v>
      </c>
      <c r="L334" s="516">
        <v>0</v>
      </c>
      <c r="M334" s="517"/>
      <c r="N334" s="342">
        <v>6</v>
      </c>
      <c r="O334" s="518">
        <v>308283.27</v>
      </c>
      <c r="P334" s="518">
        <v>180</v>
      </c>
      <c r="Q334" s="519"/>
      <c r="R334" s="516">
        <v>0</v>
      </c>
      <c r="S334" s="516">
        <v>0</v>
      </c>
      <c r="T334" s="516">
        <v>0</v>
      </c>
      <c r="U334" s="517"/>
      <c r="V334" s="342">
        <v>6</v>
      </c>
      <c r="W334" s="518">
        <v>308283.27</v>
      </c>
    </row>
    <row r="335" spans="1:23" x14ac:dyDescent="0.25">
      <c r="A335" s="515">
        <v>330</v>
      </c>
      <c r="B335" t="s">
        <v>354</v>
      </c>
      <c r="C335" s="308" t="s">
        <v>355</v>
      </c>
      <c r="D335" s="308" t="s">
        <v>16</v>
      </c>
      <c r="F335" s="516">
        <v>0</v>
      </c>
      <c r="G335" s="516">
        <v>0</v>
      </c>
      <c r="H335" s="516">
        <v>0</v>
      </c>
      <c r="I335" s="517"/>
      <c r="J335" s="516">
        <v>0</v>
      </c>
      <c r="K335" s="516">
        <v>0</v>
      </c>
      <c r="L335" s="516">
        <v>0</v>
      </c>
      <c r="M335" s="517"/>
      <c r="N335" s="342">
        <v>0</v>
      </c>
      <c r="O335" s="518">
        <v>0</v>
      </c>
      <c r="P335" s="518">
        <v>0</v>
      </c>
      <c r="Q335" s="519"/>
      <c r="R335" s="516">
        <v>0</v>
      </c>
      <c r="S335" s="516">
        <v>0</v>
      </c>
      <c r="T335" s="516">
        <v>0</v>
      </c>
      <c r="U335" s="517"/>
      <c r="V335" s="342">
        <v>0</v>
      </c>
      <c r="W335" s="518">
        <v>0</v>
      </c>
    </row>
    <row r="336" spans="1:23" x14ac:dyDescent="0.25">
      <c r="A336" s="515">
        <v>331</v>
      </c>
      <c r="B336" t="s">
        <v>360</v>
      </c>
      <c r="C336" s="308" t="s">
        <v>25</v>
      </c>
      <c r="D336" s="308" t="s">
        <v>16</v>
      </c>
      <c r="F336" s="516">
        <v>0</v>
      </c>
      <c r="G336" s="516">
        <v>0</v>
      </c>
      <c r="H336" s="516">
        <v>0</v>
      </c>
      <c r="I336" s="517"/>
      <c r="J336" s="516">
        <v>0</v>
      </c>
      <c r="K336" s="516">
        <v>0</v>
      </c>
      <c r="L336" s="516">
        <v>0</v>
      </c>
      <c r="M336" s="517"/>
      <c r="N336" s="342">
        <v>0</v>
      </c>
      <c r="O336" s="518">
        <v>0</v>
      </c>
      <c r="P336" s="518">
        <v>0</v>
      </c>
      <c r="Q336" s="519"/>
      <c r="R336" s="516">
        <v>0</v>
      </c>
      <c r="S336" s="516">
        <v>0</v>
      </c>
      <c r="T336" s="516">
        <v>0</v>
      </c>
      <c r="U336" s="517"/>
      <c r="V336" s="342">
        <v>0</v>
      </c>
      <c r="W336" s="518">
        <v>0</v>
      </c>
    </row>
    <row r="337" spans="1:23" x14ac:dyDescent="0.25">
      <c r="A337" s="515">
        <v>332</v>
      </c>
      <c r="B337" t="s">
        <v>361</v>
      </c>
      <c r="C337" s="308" t="s">
        <v>355</v>
      </c>
      <c r="D337" s="308" t="s">
        <v>16</v>
      </c>
      <c r="F337" s="516">
        <v>0</v>
      </c>
      <c r="G337" s="516">
        <v>0</v>
      </c>
      <c r="H337" s="516">
        <v>0</v>
      </c>
      <c r="I337" s="517"/>
      <c r="J337" s="516">
        <v>0</v>
      </c>
      <c r="K337" s="516">
        <v>0</v>
      </c>
      <c r="L337" s="516">
        <v>0</v>
      </c>
      <c r="M337" s="517"/>
      <c r="N337" s="342">
        <v>0</v>
      </c>
      <c r="O337" s="518">
        <v>0</v>
      </c>
      <c r="P337" s="518">
        <v>0</v>
      </c>
      <c r="Q337" s="519"/>
      <c r="R337" s="516">
        <v>0</v>
      </c>
      <c r="S337" s="516">
        <v>0</v>
      </c>
      <c r="T337" s="516">
        <v>0</v>
      </c>
      <c r="U337" s="517"/>
      <c r="V337" s="342">
        <v>0</v>
      </c>
      <c r="W337" s="518">
        <v>0</v>
      </c>
    </row>
    <row r="338" spans="1:23" x14ac:dyDescent="0.25">
      <c r="A338" s="515">
        <v>333</v>
      </c>
      <c r="B338" t="s">
        <v>362</v>
      </c>
      <c r="C338" s="308" t="s">
        <v>15</v>
      </c>
      <c r="D338" s="308" t="s">
        <v>45</v>
      </c>
      <c r="F338" s="516">
        <v>13</v>
      </c>
      <c r="G338" s="516">
        <v>159548</v>
      </c>
      <c r="H338" s="516">
        <v>400</v>
      </c>
      <c r="I338" s="517"/>
      <c r="J338" s="516">
        <v>0</v>
      </c>
      <c r="K338" s="516">
        <v>0</v>
      </c>
      <c r="L338" s="516">
        <v>0</v>
      </c>
      <c r="M338" s="517"/>
      <c r="N338" s="342">
        <v>13</v>
      </c>
      <c r="O338" s="518">
        <v>159548</v>
      </c>
      <c r="P338" s="518">
        <v>400</v>
      </c>
      <c r="Q338" s="519"/>
      <c r="R338" s="516">
        <v>0</v>
      </c>
      <c r="S338" s="516">
        <v>0</v>
      </c>
      <c r="T338" s="516">
        <v>0</v>
      </c>
      <c r="U338" s="517"/>
      <c r="V338" s="342">
        <v>13</v>
      </c>
      <c r="W338" s="518">
        <v>159548</v>
      </c>
    </row>
    <row r="339" spans="1:23" x14ac:dyDescent="0.25">
      <c r="A339" s="515">
        <v>334</v>
      </c>
      <c r="B339" t="s">
        <v>363</v>
      </c>
      <c r="C339" s="308" t="s">
        <v>15</v>
      </c>
      <c r="D339" s="308" t="s">
        <v>45</v>
      </c>
      <c r="F339" s="516">
        <v>0</v>
      </c>
      <c r="G339" s="516">
        <v>0</v>
      </c>
      <c r="H339" s="516">
        <v>0</v>
      </c>
      <c r="I339" s="517"/>
      <c r="J339" s="516">
        <v>0</v>
      </c>
      <c r="K339" s="516">
        <v>0</v>
      </c>
      <c r="L339" s="516">
        <v>0</v>
      </c>
      <c r="M339" s="517"/>
      <c r="N339" s="342">
        <v>0</v>
      </c>
      <c r="O339" s="518">
        <v>0</v>
      </c>
      <c r="P339" s="518">
        <v>0</v>
      </c>
      <c r="Q339" s="519"/>
      <c r="R339" s="516">
        <v>0</v>
      </c>
      <c r="S339" s="516">
        <v>0</v>
      </c>
      <c r="T339" s="516">
        <v>0</v>
      </c>
      <c r="U339" s="517"/>
      <c r="V339" s="342">
        <v>0</v>
      </c>
      <c r="W339" s="518">
        <v>0</v>
      </c>
    </row>
    <row r="340" spans="1:23" x14ac:dyDescent="0.25">
      <c r="A340" s="515">
        <v>335</v>
      </c>
      <c r="B340" t="s">
        <v>364</v>
      </c>
      <c r="C340" s="308" t="s">
        <v>25</v>
      </c>
      <c r="D340" s="308" t="s">
        <v>16</v>
      </c>
      <c r="F340" s="516">
        <v>0</v>
      </c>
      <c r="G340" s="516">
        <v>0</v>
      </c>
      <c r="H340" s="516">
        <v>0</v>
      </c>
      <c r="I340" s="517"/>
      <c r="J340" s="516">
        <v>0</v>
      </c>
      <c r="K340" s="516">
        <v>0</v>
      </c>
      <c r="L340" s="516">
        <v>0</v>
      </c>
      <c r="M340" s="517"/>
      <c r="N340" s="342">
        <v>0</v>
      </c>
      <c r="O340" s="518">
        <v>0</v>
      </c>
      <c r="P340" s="518">
        <v>0</v>
      </c>
      <c r="Q340" s="519"/>
      <c r="R340" s="516">
        <v>0</v>
      </c>
      <c r="S340" s="516">
        <v>0</v>
      </c>
      <c r="T340" s="516">
        <v>0</v>
      </c>
      <c r="U340" s="517"/>
      <c r="V340" s="342">
        <v>0</v>
      </c>
      <c r="W340" s="518">
        <v>0</v>
      </c>
    </row>
    <row r="341" spans="1:23" x14ac:dyDescent="0.25">
      <c r="A341" s="515">
        <v>336</v>
      </c>
      <c r="B341" t="s">
        <v>365</v>
      </c>
      <c r="C341" s="308" t="s">
        <v>366</v>
      </c>
      <c r="D341" s="308" t="s">
        <v>16</v>
      </c>
      <c r="F341" s="516">
        <v>2</v>
      </c>
      <c r="G341" s="516">
        <v>14000</v>
      </c>
      <c r="H341" s="516">
        <v>45</v>
      </c>
      <c r="I341" s="517"/>
      <c r="J341" s="516">
        <v>0</v>
      </c>
      <c r="K341" s="516">
        <v>0</v>
      </c>
      <c r="L341" s="516">
        <v>0</v>
      </c>
      <c r="M341" s="517"/>
      <c r="N341" s="342">
        <v>2</v>
      </c>
      <c r="O341" s="518">
        <v>14000</v>
      </c>
      <c r="P341" s="518">
        <v>45</v>
      </c>
      <c r="Q341" s="519"/>
      <c r="R341" s="516">
        <v>0</v>
      </c>
      <c r="S341" s="516">
        <v>0</v>
      </c>
      <c r="T341" s="516">
        <v>0</v>
      </c>
      <c r="U341" s="517"/>
      <c r="V341" s="342">
        <v>2</v>
      </c>
      <c r="W341" s="518">
        <v>14000</v>
      </c>
    </row>
    <row r="342" spans="1:23" x14ac:dyDescent="0.25">
      <c r="A342" s="515">
        <v>337</v>
      </c>
      <c r="B342" t="s">
        <v>367</v>
      </c>
      <c r="C342" s="308" t="s">
        <v>51</v>
      </c>
      <c r="D342" s="308" t="s">
        <v>16</v>
      </c>
      <c r="F342" s="516">
        <v>5</v>
      </c>
      <c r="G342" s="516">
        <v>1032130</v>
      </c>
      <c r="H342" s="516">
        <v>2100</v>
      </c>
      <c r="I342" s="517"/>
      <c r="J342" s="516">
        <v>0</v>
      </c>
      <c r="K342" s="516">
        <v>0</v>
      </c>
      <c r="L342" s="516">
        <v>0</v>
      </c>
      <c r="M342" s="517"/>
      <c r="N342" s="342">
        <v>5</v>
      </c>
      <c r="O342" s="518">
        <v>1032130</v>
      </c>
      <c r="P342" s="518">
        <v>2100</v>
      </c>
      <c r="Q342" s="519"/>
      <c r="R342" s="516">
        <v>0</v>
      </c>
      <c r="S342" s="516">
        <v>0</v>
      </c>
      <c r="T342" s="516">
        <v>0</v>
      </c>
      <c r="U342" s="517"/>
      <c r="V342" s="342">
        <v>5</v>
      </c>
      <c r="W342" s="518">
        <v>1032130</v>
      </c>
    </row>
    <row r="343" spans="1:23" x14ac:dyDescent="0.25">
      <c r="A343" s="515">
        <v>338</v>
      </c>
      <c r="B343" t="s">
        <v>368</v>
      </c>
      <c r="C343" s="308" t="s">
        <v>25</v>
      </c>
      <c r="D343" s="308" t="s">
        <v>369</v>
      </c>
      <c r="F343" s="516">
        <v>309</v>
      </c>
      <c r="G343" s="516">
        <v>711975.47</v>
      </c>
      <c r="H343" s="516">
        <v>2781</v>
      </c>
      <c r="I343" s="517"/>
      <c r="J343" s="516">
        <v>0</v>
      </c>
      <c r="K343" s="516">
        <v>0</v>
      </c>
      <c r="L343" s="516">
        <v>0</v>
      </c>
      <c r="M343" s="517"/>
      <c r="N343" s="342">
        <v>309</v>
      </c>
      <c r="O343" s="518">
        <v>711975.47</v>
      </c>
      <c r="P343" s="518">
        <v>2781</v>
      </c>
      <c r="Q343" s="519"/>
      <c r="R343" s="516">
        <v>0</v>
      </c>
      <c r="S343" s="516">
        <v>0</v>
      </c>
      <c r="T343" s="516">
        <v>0</v>
      </c>
      <c r="U343" s="517"/>
      <c r="V343" s="342">
        <v>309</v>
      </c>
      <c r="W343" s="518">
        <v>711975.47</v>
      </c>
    </row>
    <row r="344" spans="1:23" x14ac:dyDescent="0.25">
      <c r="A344" s="515">
        <v>339</v>
      </c>
      <c r="B344" t="s">
        <v>370</v>
      </c>
      <c r="C344" s="308"/>
      <c r="D344" s="308" t="s">
        <v>43</v>
      </c>
      <c r="F344" s="516">
        <v>1</v>
      </c>
      <c r="G344" s="516">
        <v>688.68</v>
      </c>
      <c r="H344" s="516">
        <v>7</v>
      </c>
      <c r="I344" s="517"/>
      <c r="J344" s="516">
        <v>0</v>
      </c>
      <c r="K344" s="516">
        <v>0</v>
      </c>
      <c r="L344" s="516">
        <v>0</v>
      </c>
      <c r="M344" s="517"/>
      <c r="N344" s="342">
        <v>1</v>
      </c>
      <c r="O344" s="518">
        <v>688.68</v>
      </c>
      <c r="P344" s="518">
        <v>7</v>
      </c>
      <c r="Q344" s="519"/>
      <c r="R344" s="516">
        <v>0</v>
      </c>
      <c r="S344" s="516">
        <v>0</v>
      </c>
      <c r="T344" s="516">
        <v>0</v>
      </c>
      <c r="U344" s="517"/>
      <c r="V344" s="342">
        <v>1</v>
      </c>
      <c r="W344" s="518">
        <v>688.68</v>
      </c>
    </row>
    <row r="345" spans="1:23" x14ac:dyDescent="0.25">
      <c r="A345" s="515">
        <v>340</v>
      </c>
      <c r="B345" t="s">
        <v>371</v>
      </c>
      <c r="C345" s="308" t="s">
        <v>136</v>
      </c>
      <c r="D345" s="308" t="s">
        <v>87</v>
      </c>
      <c r="F345" s="516">
        <v>361</v>
      </c>
      <c r="G345" s="516">
        <v>4962406.1399999987</v>
      </c>
      <c r="H345" s="516">
        <v>14440</v>
      </c>
      <c r="I345" s="517"/>
      <c r="J345" s="516">
        <v>0</v>
      </c>
      <c r="K345" s="516">
        <v>0</v>
      </c>
      <c r="L345" s="516">
        <v>0</v>
      </c>
      <c r="M345" s="517"/>
      <c r="N345" s="342">
        <v>361</v>
      </c>
      <c r="O345" s="518">
        <v>4962406.1399999987</v>
      </c>
      <c r="P345" s="518">
        <v>14440</v>
      </c>
      <c r="Q345" s="519"/>
      <c r="R345" s="516">
        <v>0</v>
      </c>
      <c r="S345" s="516">
        <v>0</v>
      </c>
      <c r="T345" s="516">
        <v>0</v>
      </c>
      <c r="U345" s="517"/>
      <c r="V345" s="342">
        <v>361</v>
      </c>
      <c r="W345" s="518">
        <v>4962406.1399999987</v>
      </c>
    </row>
    <row r="346" spans="1:23" x14ac:dyDescent="0.25">
      <c r="A346" s="515">
        <v>341</v>
      </c>
      <c r="B346" t="s">
        <v>372</v>
      </c>
      <c r="C346" s="308" t="s">
        <v>24</v>
      </c>
      <c r="D346" s="308" t="s">
        <v>16</v>
      </c>
      <c r="F346" s="516">
        <v>13</v>
      </c>
      <c r="G346" s="516">
        <v>659067.66999999993</v>
      </c>
      <c r="H346" s="516">
        <v>475</v>
      </c>
      <c r="I346" s="517"/>
      <c r="J346" s="516">
        <v>0</v>
      </c>
      <c r="K346" s="516">
        <v>0</v>
      </c>
      <c r="L346" s="516">
        <v>0</v>
      </c>
      <c r="M346" s="517"/>
      <c r="N346" s="342">
        <v>13</v>
      </c>
      <c r="O346" s="518">
        <v>659067.66999999993</v>
      </c>
      <c r="P346" s="518">
        <v>475</v>
      </c>
      <c r="Q346" s="519"/>
      <c r="R346" s="516">
        <v>0</v>
      </c>
      <c r="S346" s="516">
        <v>0</v>
      </c>
      <c r="T346" s="516">
        <v>0</v>
      </c>
      <c r="U346" s="517"/>
      <c r="V346" s="342">
        <v>13</v>
      </c>
      <c r="W346" s="518">
        <v>659067.66999999993</v>
      </c>
    </row>
    <row r="347" spans="1:23" x14ac:dyDescent="0.25">
      <c r="A347" s="515">
        <v>342</v>
      </c>
      <c r="B347" t="s">
        <v>373</v>
      </c>
      <c r="C347" s="308" t="s">
        <v>366</v>
      </c>
      <c r="D347" s="308" t="s">
        <v>16</v>
      </c>
      <c r="F347" s="520">
        <v>0</v>
      </c>
      <c r="G347" s="522">
        <v>0</v>
      </c>
      <c r="H347" s="520">
        <v>0</v>
      </c>
      <c r="I347" s="517"/>
      <c r="J347" s="516">
        <v>0</v>
      </c>
      <c r="K347" s="516">
        <v>0</v>
      </c>
      <c r="L347" s="516">
        <v>0</v>
      </c>
      <c r="M347" s="517"/>
      <c r="N347" s="342">
        <v>0</v>
      </c>
      <c r="O347" s="518">
        <v>0</v>
      </c>
      <c r="P347" s="518">
        <v>0</v>
      </c>
      <c r="Q347" s="519"/>
      <c r="R347" s="516">
        <v>0</v>
      </c>
      <c r="S347" s="516">
        <v>0</v>
      </c>
      <c r="T347" s="516">
        <v>0</v>
      </c>
      <c r="U347" s="517"/>
      <c r="V347" s="342">
        <v>0</v>
      </c>
      <c r="W347" s="518">
        <v>0</v>
      </c>
    </row>
    <row r="348" spans="1:23" x14ac:dyDescent="0.25">
      <c r="A348" s="515">
        <v>343</v>
      </c>
      <c r="B348" t="s">
        <v>374</v>
      </c>
      <c r="C348" s="308" t="s">
        <v>15</v>
      </c>
      <c r="D348" s="308" t="s">
        <v>20</v>
      </c>
      <c r="F348" s="516">
        <v>27</v>
      </c>
      <c r="G348" s="516">
        <v>548574.71999999997</v>
      </c>
      <c r="H348" s="516">
        <v>1350</v>
      </c>
      <c r="I348" s="517"/>
      <c r="J348" s="516">
        <v>0</v>
      </c>
      <c r="K348" s="516">
        <v>0</v>
      </c>
      <c r="L348" s="516">
        <v>0</v>
      </c>
      <c r="M348" s="517"/>
      <c r="N348" s="342">
        <v>27</v>
      </c>
      <c r="O348" s="518">
        <v>548574.71999999997</v>
      </c>
      <c r="P348" s="518">
        <v>1350</v>
      </c>
      <c r="Q348" s="519"/>
      <c r="R348" s="516">
        <v>0</v>
      </c>
      <c r="S348" s="516">
        <v>0</v>
      </c>
      <c r="T348" s="516">
        <v>0</v>
      </c>
      <c r="U348" s="517"/>
      <c r="V348" s="342">
        <v>27</v>
      </c>
      <c r="W348" s="518">
        <v>548574.71999999997</v>
      </c>
    </row>
    <row r="349" spans="1:23" x14ac:dyDescent="0.25">
      <c r="A349" s="515">
        <v>344</v>
      </c>
      <c r="B349" t="s">
        <v>2986</v>
      </c>
      <c r="C349" s="308" t="s">
        <v>355</v>
      </c>
      <c r="D349" s="308" t="s">
        <v>16</v>
      </c>
      <c r="F349" s="516">
        <v>0</v>
      </c>
      <c r="G349" s="516">
        <v>0</v>
      </c>
      <c r="H349" s="516">
        <v>0</v>
      </c>
      <c r="I349" s="517"/>
      <c r="J349" s="516">
        <v>0</v>
      </c>
      <c r="K349" s="516">
        <v>0</v>
      </c>
      <c r="L349" s="516">
        <v>0</v>
      </c>
      <c r="M349" s="517"/>
      <c r="N349" s="342">
        <v>0</v>
      </c>
      <c r="O349" s="518">
        <v>0</v>
      </c>
      <c r="P349" s="518">
        <v>0</v>
      </c>
      <c r="Q349" s="519"/>
      <c r="R349" s="516">
        <v>0</v>
      </c>
      <c r="S349" s="516">
        <v>0</v>
      </c>
      <c r="T349" s="516">
        <v>0</v>
      </c>
      <c r="U349" s="517"/>
      <c r="V349" s="342">
        <v>0</v>
      </c>
      <c r="W349" s="518">
        <v>0</v>
      </c>
    </row>
    <row r="350" spans="1:23" x14ac:dyDescent="0.25">
      <c r="A350" s="515">
        <v>345</v>
      </c>
      <c r="B350" t="s">
        <v>375</v>
      </c>
      <c r="C350" s="308" t="s">
        <v>108</v>
      </c>
      <c r="D350" s="308" t="s">
        <v>16</v>
      </c>
      <c r="F350" s="516">
        <v>0</v>
      </c>
      <c r="G350" s="516">
        <v>0</v>
      </c>
      <c r="H350" s="516">
        <v>0</v>
      </c>
      <c r="I350" s="517"/>
      <c r="J350" s="516">
        <v>0</v>
      </c>
      <c r="K350" s="516">
        <v>0</v>
      </c>
      <c r="L350" s="516">
        <v>0</v>
      </c>
      <c r="M350" s="517"/>
      <c r="N350" s="342">
        <v>0</v>
      </c>
      <c r="O350" s="518">
        <v>0</v>
      </c>
      <c r="P350" s="518">
        <v>0</v>
      </c>
      <c r="Q350" s="519"/>
      <c r="R350" s="516">
        <v>0</v>
      </c>
      <c r="S350" s="516">
        <v>0</v>
      </c>
      <c r="T350" s="516">
        <v>0</v>
      </c>
      <c r="U350" s="517"/>
      <c r="V350" s="342">
        <v>0</v>
      </c>
      <c r="W350" s="518">
        <v>0</v>
      </c>
    </row>
    <row r="351" spans="1:23" x14ac:dyDescent="0.25">
      <c r="A351" s="515">
        <v>346</v>
      </c>
      <c r="B351" t="s">
        <v>376</v>
      </c>
      <c r="C351" s="308"/>
      <c r="D351" s="308" t="s">
        <v>16</v>
      </c>
      <c r="F351" s="516">
        <v>9</v>
      </c>
      <c r="G351" s="516">
        <v>4525</v>
      </c>
      <c r="H351" s="516">
        <v>90</v>
      </c>
      <c r="I351" s="517"/>
      <c r="J351" s="516">
        <v>0</v>
      </c>
      <c r="K351" s="516">
        <v>0</v>
      </c>
      <c r="L351" s="516">
        <v>0</v>
      </c>
      <c r="M351" s="517"/>
      <c r="N351" s="342">
        <v>9</v>
      </c>
      <c r="O351" s="518">
        <v>4525</v>
      </c>
      <c r="P351" s="518">
        <v>90</v>
      </c>
      <c r="Q351" s="519"/>
      <c r="R351" s="516">
        <v>0</v>
      </c>
      <c r="S351" s="516">
        <v>0</v>
      </c>
      <c r="T351" s="516">
        <v>0</v>
      </c>
      <c r="U351" s="517"/>
      <c r="V351" s="342">
        <v>9</v>
      </c>
      <c r="W351" s="518">
        <v>4525</v>
      </c>
    </row>
    <row r="352" spans="1:23" x14ac:dyDescent="0.25">
      <c r="A352" s="515">
        <v>347</v>
      </c>
      <c r="B352" t="s">
        <v>377</v>
      </c>
      <c r="C352" s="308" t="s">
        <v>15</v>
      </c>
      <c r="D352" s="308" t="s">
        <v>16</v>
      </c>
      <c r="F352" s="520">
        <v>30</v>
      </c>
      <c r="G352" s="522">
        <v>22756</v>
      </c>
      <c r="H352" s="520">
        <v>300</v>
      </c>
      <c r="I352" s="517"/>
      <c r="J352" s="516">
        <v>0</v>
      </c>
      <c r="K352" s="516">
        <v>0</v>
      </c>
      <c r="L352" s="516">
        <v>0</v>
      </c>
      <c r="M352" s="517"/>
      <c r="N352" s="342">
        <v>30</v>
      </c>
      <c r="O352" s="518">
        <v>22756</v>
      </c>
      <c r="P352" s="518">
        <v>300</v>
      </c>
      <c r="Q352" s="519"/>
      <c r="R352" s="516">
        <v>0</v>
      </c>
      <c r="S352" s="516">
        <v>0</v>
      </c>
      <c r="T352" s="516">
        <v>0</v>
      </c>
      <c r="U352" s="517"/>
      <c r="V352" s="342">
        <v>30</v>
      </c>
      <c r="W352" s="518">
        <v>22756</v>
      </c>
    </row>
    <row r="353" spans="1:23" x14ac:dyDescent="0.25">
      <c r="A353" s="515">
        <v>348</v>
      </c>
      <c r="B353" t="s">
        <v>378</v>
      </c>
      <c r="C353" s="308"/>
      <c r="D353" s="308" t="s">
        <v>16</v>
      </c>
      <c r="F353" s="516">
        <v>9</v>
      </c>
      <c r="G353" s="516">
        <v>4404.1399999999994</v>
      </c>
      <c r="H353" s="516">
        <v>90</v>
      </c>
      <c r="I353" s="517"/>
      <c r="J353" s="516">
        <v>0</v>
      </c>
      <c r="K353" s="516">
        <v>0</v>
      </c>
      <c r="L353" s="516">
        <v>0</v>
      </c>
      <c r="M353" s="517"/>
      <c r="N353" s="342">
        <v>9</v>
      </c>
      <c r="O353" s="518">
        <v>4404.1399999999994</v>
      </c>
      <c r="P353" s="518">
        <v>90</v>
      </c>
      <c r="Q353" s="519"/>
      <c r="R353" s="516">
        <v>0</v>
      </c>
      <c r="S353" s="516">
        <v>0</v>
      </c>
      <c r="T353" s="516">
        <v>0</v>
      </c>
      <c r="U353" s="517"/>
      <c r="V353" s="342">
        <v>9</v>
      </c>
      <c r="W353" s="518">
        <v>4404.1399999999994</v>
      </c>
    </row>
    <row r="354" spans="1:23" x14ac:dyDescent="0.25">
      <c r="A354" s="515">
        <v>349</v>
      </c>
      <c r="B354" t="s">
        <v>379</v>
      </c>
      <c r="C354" s="308" t="s">
        <v>24</v>
      </c>
      <c r="D354" s="308" t="s">
        <v>16</v>
      </c>
      <c r="F354" s="516">
        <v>0</v>
      </c>
      <c r="G354" s="516">
        <v>0</v>
      </c>
      <c r="H354" s="516">
        <v>0</v>
      </c>
      <c r="I354" s="517"/>
      <c r="J354" s="516">
        <v>0</v>
      </c>
      <c r="K354" s="516">
        <v>0</v>
      </c>
      <c r="L354" s="516">
        <v>0</v>
      </c>
      <c r="M354" s="517"/>
      <c r="N354" s="342">
        <v>0</v>
      </c>
      <c r="O354" s="518">
        <v>0</v>
      </c>
      <c r="P354" s="518">
        <v>0</v>
      </c>
      <c r="Q354" s="519"/>
      <c r="R354" s="516">
        <v>0</v>
      </c>
      <c r="S354" s="516">
        <v>0</v>
      </c>
      <c r="T354" s="516">
        <v>0</v>
      </c>
      <c r="U354" s="517"/>
      <c r="V354" s="342">
        <v>0</v>
      </c>
      <c r="W354" s="518">
        <v>0</v>
      </c>
    </row>
    <row r="355" spans="1:23" x14ac:dyDescent="0.25">
      <c r="A355" s="515">
        <v>350</v>
      </c>
      <c r="B355" t="s">
        <v>3304</v>
      </c>
      <c r="C355" s="308" t="s">
        <v>22</v>
      </c>
      <c r="D355" s="308" t="s">
        <v>20</v>
      </c>
      <c r="F355" s="516">
        <v>11</v>
      </c>
      <c r="G355" s="516">
        <v>77000</v>
      </c>
      <c r="H355" s="516">
        <v>220</v>
      </c>
      <c r="I355" s="517"/>
      <c r="J355" s="516">
        <v>0</v>
      </c>
      <c r="K355" s="516">
        <v>0</v>
      </c>
      <c r="L355" s="516">
        <v>0</v>
      </c>
      <c r="M355" s="517"/>
      <c r="N355" s="342">
        <v>11</v>
      </c>
      <c r="O355" s="518">
        <v>77000</v>
      </c>
      <c r="P355" s="518">
        <v>220</v>
      </c>
      <c r="Q355" s="519"/>
      <c r="R355" s="516">
        <v>0</v>
      </c>
      <c r="S355" s="516">
        <v>0</v>
      </c>
      <c r="T355" s="516">
        <v>0</v>
      </c>
      <c r="U355" s="517"/>
      <c r="V355" s="342">
        <v>11</v>
      </c>
      <c r="W355" s="518">
        <v>77000</v>
      </c>
    </row>
    <row r="356" spans="1:23" x14ac:dyDescent="0.25">
      <c r="A356" s="515">
        <v>351</v>
      </c>
      <c r="B356" t="s">
        <v>3227</v>
      </c>
      <c r="C356" s="308" t="s">
        <v>3228</v>
      </c>
      <c r="D356" s="308" t="s">
        <v>380</v>
      </c>
      <c r="F356" s="516">
        <v>0</v>
      </c>
      <c r="G356" s="516">
        <v>0</v>
      </c>
      <c r="H356" s="516">
        <v>0</v>
      </c>
      <c r="I356" s="517"/>
      <c r="J356" s="516">
        <v>0</v>
      </c>
      <c r="K356" s="516">
        <v>0</v>
      </c>
      <c r="L356" s="516">
        <v>0</v>
      </c>
      <c r="M356" s="517"/>
      <c r="N356" s="342">
        <v>0</v>
      </c>
      <c r="O356" s="518">
        <v>0</v>
      </c>
      <c r="P356" s="518">
        <v>0</v>
      </c>
      <c r="Q356" s="519"/>
      <c r="R356" s="516">
        <v>0</v>
      </c>
      <c r="S356" s="516">
        <v>0</v>
      </c>
      <c r="T356" s="516">
        <v>0</v>
      </c>
      <c r="U356" s="517"/>
      <c r="V356" s="342">
        <v>0</v>
      </c>
      <c r="W356" s="518">
        <v>0</v>
      </c>
    </row>
    <row r="357" spans="1:23" x14ac:dyDescent="0.25">
      <c r="A357" s="515">
        <v>352</v>
      </c>
      <c r="B357" t="s">
        <v>381</v>
      </c>
      <c r="C357" s="308"/>
      <c r="D357" s="308" t="s">
        <v>20</v>
      </c>
      <c r="F357" s="516">
        <v>1013</v>
      </c>
      <c r="G357" s="516">
        <v>964730.96</v>
      </c>
      <c r="H357" s="516">
        <v>5110</v>
      </c>
      <c r="I357" s="517"/>
      <c r="J357" s="516">
        <v>0</v>
      </c>
      <c r="K357" s="516">
        <v>0</v>
      </c>
      <c r="L357" s="516">
        <v>0</v>
      </c>
      <c r="M357" s="517"/>
      <c r="N357" s="342">
        <v>1013</v>
      </c>
      <c r="O357" s="518">
        <v>964730.96</v>
      </c>
      <c r="P357" s="518">
        <v>5110</v>
      </c>
      <c r="Q357" s="519"/>
      <c r="R357" s="516">
        <v>0</v>
      </c>
      <c r="S357" s="516">
        <v>0</v>
      </c>
      <c r="T357" s="516">
        <v>0</v>
      </c>
      <c r="U357" s="517"/>
      <c r="V357" s="342">
        <v>1013</v>
      </c>
      <c r="W357" s="518">
        <v>964730.96</v>
      </c>
    </row>
    <row r="358" spans="1:23" x14ac:dyDescent="0.25">
      <c r="A358" s="515">
        <v>353</v>
      </c>
      <c r="B358" t="s">
        <v>382</v>
      </c>
      <c r="C358" s="308" t="s">
        <v>25</v>
      </c>
      <c r="D358" s="308" t="s">
        <v>369</v>
      </c>
      <c r="F358" s="516">
        <v>465</v>
      </c>
      <c r="G358" s="516">
        <v>11102094</v>
      </c>
      <c r="H358" s="516">
        <v>16830</v>
      </c>
      <c r="I358" s="517"/>
      <c r="J358" s="516">
        <v>0</v>
      </c>
      <c r="K358" s="516">
        <v>0</v>
      </c>
      <c r="L358" s="516">
        <v>0</v>
      </c>
      <c r="M358" s="517"/>
      <c r="N358" s="342">
        <v>465</v>
      </c>
      <c r="O358" s="518">
        <v>11102094</v>
      </c>
      <c r="P358" s="518">
        <v>16830</v>
      </c>
      <c r="Q358" s="519"/>
      <c r="R358" s="516">
        <v>0</v>
      </c>
      <c r="S358" s="516">
        <v>0</v>
      </c>
      <c r="T358" s="516">
        <v>0</v>
      </c>
      <c r="U358" s="517"/>
      <c r="V358" s="342">
        <v>465</v>
      </c>
      <c r="W358" s="518">
        <v>11102094</v>
      </c>
    </row>
    <row r="359" spans="1:23" x14ac:dyDescent="0.25">
      <c r="A359" s="515">
        <v>354</v>
      </c>
      <c r="B359" t="s">
        <v>383</v>
      </c>
      <c r="C359" s="308" t="s">
        <v>25</v>
      </c>
      <c r="D359" s="308" t="s">
        <v>45</v>
      </c>
      <c r="F359" s="516">
        <v>0</v>
      </c>
      <c r="G359" s="516">
        <v>0</v>
      </c>
      <c r="H359" s="516">
        <v>0</v>
      </c>
      <c r="I359" s="517"/>
      <c r="J359" s="516">
        <v>0</v>
      </c>
      <c r="K359" s="516">
        <v>0</v>
      </c>
      <c r="L359" s="516">
        <v>0</v>
      </c>
      <c r="M359" s="517"/>
      <c r="N359" s="342">
        <v>0</v>
      </c>
      <c r="O359" s="518">
        <v>0</v>
      </c>
      <c r="P359" s="518">
        <v>0</v>
      </c>
      <c r="Q359" s="519"/>
      <c r="R359" s="516">
        <v>0</v>
      </c>
      <c r="S359" s="516">
        <v>0</v>
      </c>
      <c r="T359" s="516">
        <v>0</v>
      </c>
      <c r="U359" s="517"/>
      <c r="V359" s="342">
        <v>0</v>
      </c>
      <c r="W359" s="518">
        <v>0</v>
      </c>
    </row>
    <row r="360" spans="1:23" x14ac:dyDescent="0.25">
      <c r="A360" s="515">
        <v>355</v>
      </c>
      <c r="B360" t="s">
        <v>384</v>
      </c>
      <c r="C360" s="308" t="s">
        <v>15</v>
      </c>
      <c r="D360" s="308" t="s">
        <v>45</v>
      </c>
      <c r="F360" s="516">
        <v>36</v>
      </c>
      <c r="G360" s="516">
        <v>1980230.02</v>
      </c>
      <c r="H360" s="516">
        <v>2650</v>
      </c>
      <c r="I360" s="517"/>
      <c r="J360" s="516">
        <v>0</v>
      </c>
      <c r="K360" s="516">
        <v>0</v>
      </c>
      <c r="L360" s="516">
        <v>0</v>
      </c>
      <c r="M360" s="517"/>
      <c r="N360" s="342">
        <v>36</v>
      </c>
      <c r="O360" s="518">
        <v>1980230.02</v>
      </c>
      <c r="P360" s="518">
        <v>2650</v>
      </c>
      <c r="Q360" s="519"/>
      <c r="R360" s="516">
        <v>0</v>
      </c>
      <c r="S360" s="516">
        <v>0</v>
      </c>
      <c r="T360" s="516">
        <v>0</v>
      </c>
      <c r="U360" s="517"/>
      <c r="V360" s="342">
        <v>36</v>
      </c>
      <c r="W360" s="518">
        <v>1980230.02</v>
      </c>
    </row>
    <row r="361" spans="1:23" x14ac:dyDescent="0.25">
      <c r="A361" s="515">
        <v>356</v>
      </c>
      <c r="B361" t="s">
        <v>385</v>
      </c>
      <c r="C361" s="308" t="s">
        <v>78</v>
      </c>
      <c r="D361" s="308" t="s">
        <v>20</v>
      </c>
      <c r="F361" s="516">
        <v>0</v>
      </c>
      <c r="G361" s="516">
        <v>0</v>
      </c>
      <c r="H361" s="516">
        <v>0</v>
      </c>
      <c r="I361" s="517"/>
      <c r="J361" s="516">
        <v>0</v>
      </c>
      <c r="K361" s="516">
        <v>0</v>
      </c>
      <c r="L361" s="516">
        <v>0</v>
      </c>
      <c r="M361" s="517"/>
      <c r="N361" s="342">
        <v>0</v>
      </c>
      <c r="O361" s="518">
        <v>0</v>
      </c>
      <c r="P361" s="518">
        <v>0</v>
      </c>
      <c r="Q361" s="519"/>
      <c r="R361" s="516">
        <v>0</v>
      </c>
      <c r="S361" s="516">
        <v>0</v>
      </c>
      <c r="T361" s="516">
        <v>0</v>
      </c>
      <c r="U361" s="517"/>
      <c r="V361" s="342">
        <v>0</v>
      </c>
      <c r="W361" s="518">
        <v>0</v>
      </c>
    </row>
    <row r="362" spans="1:23" x14ac:dyDescent="0.25">
      <c r="A362" s="515">
        <v>357</v>
      </c>
      <c r="B362" t="s">
        <v>386</v>
      </c>
      <c r="C362" s="308" t="s">
        <v>18</v>
      </c>
      <c r="D362" s="308" t="s">
        <v>20</v>
      </c>
      <c r="F362" s="516">
        <v>0</v>
      </c>
      <c r="G362" s="516">
        <v>0</v>
      </c>
      <c r="H362" s="516">
        <v>0</v>
      </c>
      <c r="I362" s="517"/>
      <c r="J362" s="516">
        <v>0</v>
      </c>
      <c r="K362" s="516">
        <v>0</v>
      </c>
      <c r="L362" s="516">
        <v>0</v>
      </c>
      <c r="M362" s="517"/>
      <c r="N362" s="342">
        <v>0</v>
      </c>
      <c r="O362" s="518">
        <v>0</v>
      </c>
      <c r="P362" s="518">
        <v>0</v>
      </c>
      <c r="Q362" s="519"/>
      <c r="R362" s="516">
        <v>0</v>
      </c>
      <c r="S362" s="516">
        <v>0</v>
      </c>
      <c r="T362" s="516">
        <v>0</v>
      </c>
      <c r="U362" s="517"/>
      <c r="V362" s="342">
        <v>0</v>
      </c>
      <c r="W362" s="518">
        <v>0</v>
      </c>
    </row>
    <row r="363" spans="1:23" x14ac:dyDescent="0.25">
      <c r="A363" s="515">
        <v>358</v>
      </c>
      <c r="B363" t="s">
        <v>387</v>
      </c>
      <c r="C363" s="308" t="s">
        <v>18</v>
      </c>
      <c r="D363" s="308" t="s">
        <v>20</v>
      </c>
      <c r="F363" s="516">
        <v>2</v>
      </c>
      <c r="G363" s="516">
        <v>2580</v>
      </c>
      <c r="H363" s="516">
        <v>20</v>
      </c>
      <c r="I363" s="517"/>
      <c r="J363" s="516">
        <v>0</v>
      </c>
      <c r="K363" s="516">
        <v>0</v>
      </c>
      <c r="L363" s="516">
        <v>0</v>
      </c>
      <c r="M363" s="517"/>
      <c r="N363" s="342">
        <v>2</v>
      </c>
      <c r="O363" s="518">
        <v>2580</v>
      </c>
      <c r="P363" s="518">
        <v>20</v>
      </c>
      <c r="Q363" s="519"/>
      <c r="R363" s="516">
        <v>0</v>
      </c>
      <c r="S363" s="516">
        <v>0</v>
      </c>
      <c r="T363" s="516">
        <v>0</v>
      </c>
      <c r="U363" s="517"/>
      <c r="V363" s="342">
        <v>2</v>
      </c>
      <c r="W363" s="518">
        <v>2580</v>
      </c>
    </row>
    <row r="364" spans="1:23" x14ac:dyDescent="0.25">
      <c r="A364" s="515">
        <v>359</v>
      </c>
      <c r="B364" t="s">
        <v>388</v>
      </c>
      <c r="C364" s="308" t="s">
        <v>108</v>
      </c>
      <c r="D364" s="308" t="s">
        <v>16</v>
      </c>
      <c r="F364" s="516">
        <v>0</v>
      </c>
      <c r="G364" s="516">
        <v>0</v>
      </c>
      <c r="H364" s="516">
        <v>0</v>
      </c>
      <c r="I364" s="517"/>
      <c r="J364" s="516">
        <v>0</v>
      </c>
      <c r="K364" s="516">
        <v>0</v>
      </c>
      <c r="L364" s="516">
        <v>0</v>
      </c>
      <c r="M364" s="517"/>
      <c r="N364" s="342">
        <v>0</v>
      </c>
      <c r="O364" s="518">
        <v>0</v>
      </c>
      <c r="P364" s="518">
        <v>0</v>
      </c>
      <c r="Q364" s="519"/>
      <c r="R364" s="516">
        <v>0</v>
      </c>
      <c r="S364" s="516">
        <v>0</v>
      </c>
      <c r="T364" s="516">
        <v>0</v>
      </c>
      <c r="U364" s="517"/>
      <c r="V364" s="342">
        <v>0</v>
      </c>
      <c r="W364" s="518">
        <v>0</v>
      </c>
    </row>
    <row r="365" spans="1:23" x14ac:dyDescent="0.25">
      <c r="A365" s="515">
        <v>360</v>
      </c>
      <c r="B365" t="s">
        <v>389</v>
      </c>
      <c r="C365" s="308" t="s">
        <v>51</v>
      </c>
      <c r="D365" s="308" t="s">
        <v>16</v>
      </c>
      <c r="F365" s="516">
        <v>341</v>
      </c>
      <c r="G365" s="516">
        <v>539411.37000000011</v>
      </c>
      <c r="H365" s="516">
        <v>3410</v>
      </c>
      <c r="I365" s="517"/>
      <c r="J365" s="516">
        <v>0</v>
      </c>
      <c r="K365" s="516">
        <v>0</v>
      </c>
      <c r="L365" s="516">
        <v>0</v>
      </c>
      <c r="M365" s="517"/>
      <c r="N365" s="342">
        <v>341</v>
      </c>
      <c r="O365" s="518">
        <v>539411.37000000011</v>
      </c>
      <c r="P365" s="518">
        <v>3410</v>
      </c>
      <c r="Q365" s="519"/>
      <c r="R365" s="516">
        <v>0</v>
      </c>
      <c r="S365" s="516">
        <v>0</v>
      </c>
      <c r="T365" s="516">
        <v>0</v>
      </c>
      <c r="U365" s="517"/>
      <c r="V365" s="342">
        <v>341</v>
      </c>
      <c r="W365" s="518">
        <v>539411.37000000011</v>
      </c>
    </row>
    <row r="366" spans="1:23" x14ac:dyDescent="0.25">
      <c r="A366" s="515">
        <v>361</v>
      </c>
      <c r="B366" t="s">
        <v>390</v>
      </c>
      <c r="C366" s="308" t="s">
        <v>15</v>
      </c>
      <c r="D366" s="308" t="s">
        <v>16</v>
      </c>
      <c r="F366" s="516">
        <v>0</v>
      </c>
      <c r="G366" s="516">
        <v>0</v>
      </c>
      <c r="H366" s="516">
        <v>0</v>
      </c>
      <c r="I366" s="517"/>
      <c r="J366" s="516">
        <v>0</v>
      </c>
      <c r="K366" s="516">
        <v>0</v>
      </c>
      <c r="L366" s="516">
        <v>0</v>
      </c>
      <c r="M366" s="517"/>
      <c r="N366" s="342">
        <v>0</v>
      </c>
      <c r="O366" s="518">
        <v>0</v>
      </c>
      <c r="P366" s="518">
        <v>0</v>
      </c>
      <c r="Q366" s="519"/>
      <c r="R366" s="516">
        <v>0</v>
      </c>
      <c r="S366" s="516">
        <v>0</v>
      </c>
      <c r="T366" s="516">
        <v>0</v>
      </c>
      <c r="U366" s="517"/>
      <c r="V366" s="342">
        <v>0</v>
      </c>
      <c r="W366" s="518">
        <v>0</v>
      </c>
    </row>
    <row r="367" spans="1:23" x14ac:dyDescent="0.25">
      <c r="A367" s="515">
        <v>362</v>
      </c>
      <c r="B367" t="s">
        <v>391</v>
      </c>
      <c r="C367" s="308" t="s">
        <v>15</v>
      </c>
      <c r="D367" s="308" t="s">
        <v>16</v>
      </c>
      <c r="F367" s="516">
        <v>79</v>
      </c>
      <c r="G367" s="516">
        <v>1935871.09</v>
      </c>
      <c r="H367" s="516">
        <v>2765</v>
      </c>
      <c r="I367" s="517"/>
      <c r="J367" s="516">
        <v>0</v>
      </c>
      <c r="K367" s="516">
        <v>0</v>
      </c>
      <c r="L367" s="516">
        <v>0</v>
      </c>
      <c r="M367" s="517"/>
      <c r="N367" s="342">
        <v>79</v>
      </c>
      <c r="O367" s="518">
        <v>1935871.09</v>
      </c>
      <c r="P367" s="518">
        <v>2765</v>
      </c>
      <c r="Q367" s="519"/>
      <c r="R367" s="516">
        <v>0</v>
      </c>
      <c r="S367" s="516">
        <v>0</v>
      </c>
      <c r="T367" s="516">
        <v>0</v>
      </c>
      <c r="U367" s="517"/>
      <c r="V367" s="342">
        <v>79</v>
      </c>
      <c r="W367" s="518">
        <v>1935871.09</v>
      </c>
    </row>
    <row r="368" spans="1:23" x14ac:dyDescent="0.25">
      <c r="A368" s="515">
        <v>363</v>
      </c>
      <c r="B368" t="s">
        <v>392</v>
      </c>
      <c r="C368" s="308"/>
      <c r="D368" s="308" t="s">
        <v>40</v>
      </c>
      <c r="F368" s="516">
        <v>0</v>
      </c>
      <c r="G368" s="516">
        <v>0</v>
      </c>
      <c r="H368" s="516">
        <v>0</v>
      </c>
      <c r="I368" s="517"/>
      <c r="J368" s="516">
        <v>0</v>
      </c>
      <c r="K368" s="516">
        <v>0</v>
      </c>
      <c r="L368" s="516">
        <v>0</v>
      </c>
      <c r="M368" s="517"/>
      <c r="N368" s="342">
        <v>0</v>
      </c>
      <c r="O368" s="518">
        <v>0</v>
      </c>
      <c r="P368" s="518">
        <v>0</v>
      </c>
      <c r="Q368" s="519"/>
      <c r="R368" s="516">
        <v>0</v>
      </c>
      <c r="S368" s="516">
        <v>0</v>
      </c>
      <c r="T368" s="516">
        <v>0</v>
      </c>
      <c r="U368" s="517"/>
      <c r="V368" s="342">
        <v>0</v>
      </c>
      <c r="W368" s="518">
        <v>0</v>
      </c>
    </row>
    <row r="369" spans="1:23" x14ac:dyDescent="0.25">
      <c r="A369" s="515">
        <v>364</v>
      </c>
      <c r="B369" t="s">
        <v>393</v>
      </c>
      <c r="C369" s="308"/>
      <c r="D369" s="308" t="s">
        <v>16</v>
      </c>
      <c r="F369" s="516">
        <v>0</v>
      </c>
      <c r="G369" s="516">
        <v>0</v>
      </c>
      <c r="H369" s="516">
        <v>0</v>
      </c>
      <c r="I369" s="517"/>
      <c r="J369" s="516">
        <v>0</v>
      </c>
      <c r="K369" s="516">
        <v>0</v>
      </c>
      <c r="L369" s="516">
        <v>0</v>
      </c>
      <c r="M369" s="517"/>
      <c r="N369" s="342">
        <v>0</v>
      </c>
      <c r="O369" s="518">
        <v>0</v>
      </c>
      <c r="P369" s="518">
        <v>0</v>
      </c>
      <c r="Q369" s="519"/>
      <c r="R369" s="516">
        <v>0</v>
      </c>
      <c r="S369" s="516">
        <v>0</v>
      </c>
      <c r="T369" s="516">
        <v>0</v>
      </c>
      <c r="U369" s="517"/>
      <c r="V369" s="342">
        <v>0</v>
      </c>
      <c r="W369" s="518">
        <v>0</v>
      </c>
    </row>
    <row r="370" spans="1:23" x14ac:dyDescent="0.25">
      <c r="A370" s="515">
        <v>365</v>
      </c>
      <c r="B370" t="s">
        <v>394</v>
      </c>
      <c r="C370" s="308"/>
      <c r="D370" s="308" t="s">
        <v>16</v>
      </c>
      <c r="F370" s="516">
        <v>0</v>
      </c>
      <c r="G370" s="516">
        <v>0</v>
      </c>
      <c r="H370" s="516">
        <v>0</v>
      </c>
      <c r="I370" s="517"/>
      <c r="J370" s="516">
        <v>0</v>
      </c>
      <c r="K370" s="516">
        <v>0</v>
      </c>
      <c r="L370" s="516">
        <v>0</v>
      </c>
      <c r="M370" s="517"/>
      <c r="N370" s="342">
        <v>0</v>
      </c>
      <c r="O370" s="518">
        <v>0</v>
      </c>
      <c r="P370" s="518">
        <v>0</v>
      </c>
      <c r="Q370" s="519"/>
      <c r="R370" s="516">
        <v>0</v>
      </c>
      <c r="S370" s="516">
        <v>0</v>
      </c>
      <c r="T370" s="516">
        <v>0</v>
      </c>
      <c r="U370" s="517"/>
      <c r="V370" s="342">
        <v>0</v>
      </c>
      <c r="W370" s="518">
        <v>0</v>
      </c>
    </row>
    <row r="371" spans="1:23" x14ac:dyDescent="0.25">
      <c r="A371" s="515">
        <v>366</v>
      </c>
      <c r="B371" t="s">
        <v>2177</v>
      </c>
      <c r="C371" s="308"/>
      <c r="D371" s="308"/>
      <c r="F371" s="516">
        <v>4</v>
      </c>
      <c r="G371" s="516">
        <v>58150.520000000004</v>
      </c>
      <c r="H371" s="516">
        <v>120</v>
      </c>
      <c r="I371" s="517"/>
      <c r="J371" s="516">
        <v>0</v>
      </c>
      <c r="K371" s="516">
        <v>0</v>
      </c>
      <c r="L371" s="516">
        <v>0</v>
      </c>
      <c r="M371" s="517"/>
      <c r="N371" s="342">
        <v>4</v>
      </c>
      <c r="O371" s="518">
        <v>58150.520000000004</v>
      </c>
      <c r="P371" s="518">
        <v>120</v>
      </c>
      <c r="Q371" s="519"/>
      <c r="R371" s="516">
        <v>0</v>
      </c>
      <c r="S371" s="516">
        <v>0</v>
      </c>
      <c r="T371" s="516">
        <v>0</v>
      </c>
      <c r="U371" s="517"/>
      <c r="V371" s="342">
        <v>4</v>
      </c>
      <c r="W371" s="518">
        <v>58150.520000000004</v>
      </c>
    </row>
    <row r="372" spans="1:23" x14ac:dyDescent="0.25">
      <c r="A372" s="515">
        <v>367</v>
      </c>
      <c r="B372" t="s">
        <v>3225</v>
      </c>
      <c r="C372" s="308"/>
      <c r="D372" s="308" t="s">
        <v>16</v>
      </c>
      <c r="F372" s="516">
        <v>0</v>
      </c>
      <c r="G372" s="516">
        <v>0</v>
      </c>
      <c r="H372" s="516">
        <v>0</v>
      </c>
      <c r="I372" s="517"/>
      <c r="J372" s="516">
        <v>0</v>
      </c>
      <c r="K372" s="516">
        <v>0</v>
      </c>
      <c r="L372" s="516">
        <v>0</v>
      </c>
      <c r="M372" s="517"/>
      <c r="N372" s="342">
        <v>0</v>
      </c>
      <c r="O372" s="518">
        <v>0</v>
      </c>
      <c r="P372" s="518">
        <v>0</v>
      </c>
      <c r="Q372" s="519"/>
      <c r="R372" s="516">
        <v>0</v>
      </c>
      <c r="S372" s="516">
        <v>0</v>
      </c>
      <c r="T372" s="516">
        <v>0</v>
      </c>
      <c r="U372" s="517"/>
      <c r="V372" s="342">
        <v>0</v>
      </c>
      <c r="W372" s="518">
        <v>0</v>
      </c>
    </row>
    <row r="373" spans="1:23" x14ac:dyDescent="0.25">
      <c r="A373" s="515">
        <v>368</v>
      </c>
      <c r="B373" t="s">
        <v>3229</v>
      </c>
      <c r="C373" s="308" t="s">
        <v>15</v>
      </c>
      <c r="D373" s="308" t="s">
        <v>20</v>
      </c>
      <c r="F373" s="516">
        <v>0</v>
      </c>
      <c r="G373" s="516">
        <v>0</v>
      </c>
      <c r="H373" s="516">
        <v>0</v>
      </c>
      <c r="I373" s="517"/>
      <c r="J373" s="516">
        <v>0</v>
      </c>
      <c r="K373" s="516">
        <v>0</v>
      </c>
      <c r="L373" s="516">
        <v>0</v>
      </c>
      <c r="M373" s="517"/>
      <c r="N373" s="342">
        <v>0</v>
      </c>
      <c r="O373" s="518">
        <v>0</v>
      </c>
      <c r="P373" s="518">
        <v>0</v>
      </c>
      <c r="Q373" s="519"/>
      <c r="R373" s="516">
        <v>0</v>
      </c>
      <c r="S373" s="516">
        <v>0</v>
      </c>
      <c r="T373" s="516">
        <v>0</v>
      </c>
      <c r="U373" s="517"/>
      <c r="V373" s="342">
        <v>0</v>
      </c>
      <c r="W373" s="518">
        <v>0</v>
      </c>
    </row>
    <row r="374" spans="1:23" x14ac:dyDescent="0.25">
      <c r="A374" s="515">
        <v>369</v>
      </c>
      <c r="B374" t="s">
        <v>2987</v>
      </c>
      <c r="C374" s="308"/>
      <c r="D374" s="308"/>
      <c r="F374" s="516">
        <v>21</v>
      </c>
      <c r="G374" s="516">
        <v>429592</v>
      </c>
      <c r="H374" s="516">
        <v>630</v>
      </c>
      <c r="I374" s="517"/>
      <c r="J374" s="516">
        <v>0</v>
      </c>
      <c r="K374" s="516">
        <v>0</v>
      </c>
      <c r="L374" s="516">
        <v>0</v>
      </c>
      <c r="M374" s="517"/>
      <c r="N374" s="342">
        <v>21</v>
      </c>
      <c r="O374" s="518">
        <v>429592</v>
      </c>
      <c r="P374" s="518">
        <v>630</v>
      </c>
      <c r="Q374" s="519"/>
      <c r="R374" s="516">
        <v>0</v>
      </c>
      <c r="S374" s="516">
        <v>0</v>
      </c>
      <c r="T374" s="516">
        <v>0</v>
      </c>
      <c r="U374" s="517"/>
      <c r="V374" s="342">
        <v>21</v>
      </c>
      <c r="W374" s="518">
        <v>429592</v>
      </c>
    </row>
    <row r="375" spans="1:23" x14ac:dyDescent="0.25">
      <c r="A375" s="515">
        <v>370</v>
      </c>
      <c r="B375" t="s">
        <v>395</v>
      </c>
      <c r="C375" s="308"/>
      <c r="D375" s="308" t="s">
        <v>40</v>
      </c>
      <c r="F375" s="516">
        <v>0</v>
      </c>
      <c r="G375" s="516">
        <v>0</v>
      </c>
      <c r="H375" s="516">
        <v>0</v>
      </c>
      <c r="I375" s="517"/>
      <c r="J375" s="516">
        <v>0</v>
      </c>
      <c r="K375" s="516">
        <v>0</v>
      </c>
      <c r="L375" s="516">
        <v>0</v>
      </c>
      <c r="M375" s="517"/>
      <c r="N375" s="342">
        <v>0</v>
      </c>
      <c r="O375" s="518">
        <v>0</v>
      </c>
      <c r="P375" s="518">
        <v>0</v>
      </c>
      <c r="Q375" s="519"/>
      <c r="R375" s="516">
        <v>0</v>
      </c>
      <c r="S375" s="516">
        <v>0</v>
      </c>
      <c r="T375" s="516">
        <v>0</v>
      </c>
      <c r="U375" s="517"/>
      <c r="V375" s="342">
        <v>0</v>
      </c>
      <c r="W375" s="518">
        <v>0</v>
      </c>
    </row>
    <row r="376" spans="1:23" x14ac:dyDescent="0.25">
      <c r="A376" s="515">
        <v>371</v>
      </c>
      <c r="B376" t="s">
        <v>396</v>
      </c>
      <c r="C376" s="308" t="s">
        <v>154</v>
      </c>
      <c r="D376" s="308" t="s">
        <v>16</v>
      </c>
      <c r="F376" s="516">
        <v>0</v>
      </c>
      <c r="G376" s="516">
        <v>0</v>
      </c>
      <c r="H376" s="516">
        <v>0</v>
      </c>
      <c r="I376" s="517"/>
      <c r="J376" s="516">
        <v>0</v>
      </c>
      <c r="K376" s="516">
        <v>0</v>
      </c>
      <c r="L376" s="516">
        <v>0</v>
      </c>
      <c r="M376" s="517"/>
      <c r="N376" s="342">
        <v>0</v>
      </c>
      <c r="O376" s="518">
        <v>0</v>
      </c>
      <c r="P376" s="518">
        <v>0</v>
      </c>
      <c r="Q376" s="519"/>
      <c r="R376" s="516">
        <v>0</v>
      </c>
      <c r="S376" s="516">
        <v>0</v>
      </c>
      <c r="T376" s="516">
        <v>0</v>
      </c>
      <c r="U376" s="517"/>
      <c r="V376" s="342">
        <v>0</v>
      </c>
      <c r="W376" s="518">
        <v>0</v>
      </c>
    </row>
    <row r="377" spans="1:23" x14ac:dyDescent="0.25">
      <c r="A377" s="515">
        <v>372</v>
      </c>
      <c r="B377" t="s">
        <v>3167</v>
      </c>
      <c r="C377" s="308"/>
      <c r="D377" s="308"/>
      <c r="F377" s="516">
        <v>0</v>
      </c>
      <c r="G377" s="516">
        <v>0</v>
      </c>
      <c r="H377" s="516">
        <v>0</v>
      </c>
      <c r="I377" s="517"/>
      <c r="J377" s="516">
        <v>0</v>
      </c>
      <c r="K377" s="516">
        <v>0</v>
      </c>
      <c r="L377" s="516">
        <v>0</v>
      </c>
      <c r="M377" s="517"/>
      <c r="N377" s="342">
        <v>0</v>
      </c>
      <c r="O377" s="518">
        <v>0</v>
      </c>
      <c r="P377" s="518">
        <v>0</v>
      </c>
      <c r="Q377" s="519"/>
      <c r="R377" s="516">
        <v>0</v>
      </c>
      <c r="S377" s="516">
        <v>0</v>
      </c>
      <c r="T377" s="516">
        <v>0</v>
      </c>
      <c r="U377" s="517"/>
      <c r="V377" s="342">
        <v>0</v>
      </c>
      <c r="W377" s="518">
        <v>0</v>
      </c>
    </row>
    <row r="378" spans="1:23" x14ac:dyDescent="0.25">
      <c r="A378" s="515">
        <v>373</v>
      </c>
      <c r="B378" t="s">
        <v>397</v>
      </c>
      <c r="C378" s="308" t="s">
        <v>25</v>
      </c>
      <c r="D378" s="308" t="s">
        <v>40</v>
      </c>
      <c r="F378" s="516">
        <v>3</v>
      </c>
      <c r="G378" s="516">
        <v>3358.34</v>
      </c>
      <c r="H378" s="516">
        <v>0</v>
      </c>
      <c r="I378" s="517"/>
      <c r="J378" s="516">
        <v>0</v>
      </c>
      <c r="K378" s="516">
        <v>0</v>
      </c>
      <c r="L378" s="516">
        <v>0</v>
      </c>
      <c r="M378" s="517"/>
      <c r="N378" s="342">
        <v>3</v>
      </c>
      <c r="O378" s="518">
        <v>3358.34</v>
      </c>
      <c r="P378" s="518">
        <v>0</v>
      </c>
      <c r="Q378" s="519"/>
      <c r="R378" s="516">
        <v>0</v>
      </c>
      <c r="S378" s="516">
        <v>0</v>
      </c>
      <c r="T378" s="516">
        <v>0</v>
      </c>
      <c r="U378" s="517"/>
      <c r="V378" s="342">
        <v>3</v>
      </c>
      <c r="W378" s="518">
        <v>3358.34</v>
      </c>
    </row>
    <row r="379" spans="1:23" x14ac:dyDescent="0.25">
      <c r="A379" s="515">
        <v>374</v>
      </c>
      <c r="B379" t="s">
        <v>2962</v>
      </c>
      <c r="C379" s="308"/>
      <c r="D379" s="308"/>
      <c r="F379" s="516">
        <v>8</v>
      </c>
      <c r="G379" s="516">
        <v>198623.63999999998</v>
      </c>
      <c r="H379" s="516">
        <v>240</v>
      </c>
      <c r="I379" s="517"/>
      <c r="J379" s="516">
        <v>0</v>
      </c>
      <c r="K379" s="516">
        <v>0</v>
      </c>
      <c r="L379" s="516">
        <v>0</v>
      </c>
      <c r="M379" s="517"/>
      <c r="N379" s="342">
        <v>8</v>
      </c>
      <c r="O379" s="518">
        <v>198623.63999999998</v>
      </c>
      <c r="P379" s="518">
        <v>240</v>
      </c>
      <c r="Q379" s="519"/>
      <c r="R379" s="516">
        <v>0</v>
      </c>
      <c r="S379" s="516">
        <v>0</v>
      </c>
      <c r="T379" s="516">
        <v>0</v>
      </c>
      <c r="U379" s="517"/>
      <c r="V379" s="342">
        <v>8</v>
      </c>
      <c r="W379" s="518">
        <v>198623.63999999998</v>
      </c>
    </row>
    <row r="380" spans="1:23" x14ac:dyDescent="0.25">
      <c r="A380" s="515">
        <v>375</v>
      </c>
      <c r="B380" t="s">
        <v>398</v>
      </c>
      <c r="C380" s="308" t="s">
        <v>18</v>
      </c>
      <c r="D380" s="308" t="s">
        <v>16</v>
      </c>
      <c r="F380" s="516">
        <v>0</v>
      </c>
      <c r="G380" s="516">
        <v>0</v>
      </c>
      <c r="H380" s="516">
        <v>0</v>
      </c>
      <c r="I380" s="517"/>
      <c r="J380" s="516">
        <v>0</v>
      </c>
      <c r="K380" s="516">
        <v>0</v>
      </c>
      <c r="L380" s="516">
        <v>0</v>
      </c>
      <c r="M380" s="517"/>
      <c r="N380" s="342">
        <v>0</v>
      </c>
      <c r="O380" s="518">
        <v>0</v>
      </c>
      <c r="P380" s="518">
        <v>0</v>
      </c>
      <c r="Q380" s="519"/>
      <c r="R380" s="516">
        <v>0</v>
      </c>
      <c r="S380" s="516">
        <v>0</v>
      </c>
      <c r="T380" s="516">
        <v>0</v>
      </c>
      <c r="U380" s="517"/>
      <c r="V380" s="342">
        <v>0</v>
      </c>
      <c r="W380" s="518">
        <v>0</v>
      </c>
    </row>
    <row r="381" spans="1:23" x14ac:dyDescent="0.25">
      <c r="A381" s="515">
        <v>376</v>
      </c>
      <c r="B381" t="s">
        <v>2995</v>
      </c>
      <c r="C381" s="308" t="s">
        <v>294</v>
      </c>
      <c r="D381" s="308" t="s">
        <v>16</v>
      </c>
      <c r="F381" s="516">
        <v>54</v>
      </c>
      <c r="G381" s="516">
        <v>174532.15999999997</v>
      </c>
      <c r="H381" s="516">
        <v>540</v>
      </c>
      <c r="I381" s="517"/>
      <c r="J381" s="516">
        <v>0</v>
      </c>
      <c r="K381" s="516">
        <v>0</v>
      </c>
      <c r="L381" s="516">
        <v>0</v>
      </c>
      <c r="M381" s="517"/>
      <c r="N381" s="342">
        <v>54</v>
      </c>
      <c r="O381" s="518">
        <v>174532.15999999997</v>
      </c>
      <c r="P381" s="518">
        <v>540</v>
      </c>
      <c r="Q381" s="519"/>
      <c r="R381" s="516">
        <v>0</v>
      </c>
      <c r="S381" s="516">
        <v>0</v>
      </c>
      <c r="T381" s="516">
        <v>0</v>
      </c>
      <c r="U381" s="517"/>
      <c r="V381" s="342">
        <v>54</v>
      </c>
      <c r="W381" s="518">
        <v>174532.15999999997</v>
      </c>
    </row>
    <row r="382" spans="1:23" x14ac:dyDescent="0.25">
      <c r="A382" s="515">
        <v>377</v>
      </c>
      <c r="B382" t="s">
        <v>399</v>
      </c>
      <c r="C382" s="308" t="s">
        <v>24</v>
      </c>
      <c r="D382" s="308" t="s">
        <v>16</v>
      </c>
      <c r="F382" s="516">
        <v>23</v>
      </c>
      <c r="G382" s="516">
        <v>384814</v>
      </c>
      <c r="H382" s="516">
        <v>725</v>
      </c>
      <c r="I382" s="517"/>
      <c r="J382" s="516">
        <v>0</v>
      </c>
      <c r="K382" s="516">
        <v>0</v>
      </c>
      <c r="L382" s="516">
        <v>0</v>
      </c>
      <c r="M382" s="517"/>
      <c r="N382" s="342">
        <v>23</v>
      </c>
      <c r="O382" s="518">
        <v>384814</v>
      </c>
      <c r="P382" s="518">
        <v>725</v>
      </c>
      <c r="Q382" s="519"/>
      <c r="R382" s="516">
        <v>0</v>
      </c>
      <c r="S382" s="516">
        <v>0</v>
      </c>
      <c r="T382" s="516">
        <v>0</v>
      </c>
      <c r="U382" s="517"/>
      <c r="V382" s="342">
        <v>23</v>
      </c>
      <c r="W382" s="518">
        <v>384814</v>
      </c>
    </row>
    <row r="383" spans="1:23" x14ac:dyDescent="0.25">
      <c r="A383" s="515">
        <v>378</v>
      </c>
      <c r="B383" t="s">
        <v>3089</v>
      </c>
      <c r="C383" s="308" t="s">
        <v>18</v>
      </c>
      <c r="D383" s="308" t="s">
        <v>20</v>
      </c>
      <c r="F383" s="516">
        <v>1</v>
      </c>
      <c r="G383" s="516">
        <v>500</v>
      </c>
      <c r="H383" s="516">
        <v>0</v>
      </c>
      <c r="I383" s="517"/>
      <c r="J383" s="516">
        <v>0</v>
      </c>
      <c r="K383" s="516">
        <v>0</v>
      </c>
      <c r="L383" s="516">
        <v>0</v>
      </c>
      <c r="M383" s="517"/>
      <c r="N383" s="342">
        <v>1</v>
      </c>
      <c r="O383" s="518">
        <v>500</v>
      </c>
      <c r="P383" s="518">
        <v>0</v>
      </c>
      <c r="Q383" s="519"/>
      <c r="R383" s="516">
        <v>0</v>
      </c>
      <c r="S383" s="516">
        <v>0</v>
      </c>
      <c r="T383" s="516">
        <v>0</v>
      </c>
      <c r="U383" s="517"/>
      <c r="V383" s="342">
        <v>1</v>
      </c>
      <c r="W383" s="518">
        <v>500</v>
      </c>
    </row>
    <row r="384" spans="1:23" x14ac:dyDescent="0.25">
      <c r="A384" s="515">
        <v>379</v>
      </c>
      <c r="B384" t="s">
        <v>3090</v>
      </c>
      <c r="C384" s="308" t="s">
        <v>18</v>
      </c>
      <c r="D384" s="308" t="s">
        <v>20</v>
      </c>
      <c r="F384" s="516">
        <v>0</v>
      </c>
      <c r="G384" s="516">
        <v>0</v>
      </c>
      <c r="H384" s="516">
        <v>0</v>
      </c>
      <c r="I384" s="517"/>
      <c r="J384" s="516">
        <v>0</v>
      </c>
      <c r="K384" s="516">
        <v>0</v>
      </c>
      <c r="L384" s="516">
        <v>0</v>
      </c>
      <c r="M384" s="517"/>
      <c r="N384" s="342">
        <v>0</v>
      </c>
      <c r="O384" s="518">
        <v>0</v>
      </c>
      <c r="P384" s="518">
        <v>0</v>
      </c>
      <c r="Q384" s="519"/>
      <c r="R384" s="516">
        <v>0</v>
      </c>
      <c r="S384" s="516">
        <v>0</v>
      </c>
      <c r="T384" s="516">
        <v>0</v>
      </c>
      <c r="U384" s="517"/>
      <c r="V384" s="342">
        <v>0</v>
      </c>
      <c r="W384" s="518">
        <v>0</v>
      </c>
    </row>
    <row r="385" spans="1:23" x14ac:dyDescent="0.25">
      <c r="A385" s="515">
        <v>380</v>
      </c>
      <c r="B385" t="s">
        <v>400</v>
      </c>
      <c r="C385" s="308" t="s">
        <v>148</v>
      </c>
      <c r="D385" s="308" t="s">
        <v>20</v>
      </c>
      <c r="F385" s="516">
        <v>31</v>
      </c>
      <c r="G385" s="516">
        <v>583324.89</v>
      </c>
      <c r="H385" s="516">
        <v>930</v>
      </c>
      <c r="I385" s="517"/>
      <c r="J385" s="516">
        <v>0</v>
      </c>
      <c r="K385" s="516">
        <v>0</v>
      </c>
      <c r="L385" s="516">
        <v>0</v>
      </c>
      <c r="M385" s="517"/>
      <c r="N385" s="342">
        <v>31</v>
      </c>
      <c r="O385" s="518">
        <v>583324.89</v>
      </c>
      <c r="P385" s="518">
        <v>930</v>
      </c>
      <c r="Q385" s="519"/>
      <c r="R385" s="516">
        <v>0</v>
      </c>
      <c r="S385" s="516">
        <v>0</v>
      </c>
      <c r="T385" s="516">
        <v>0</v>
      </c>
      <c r="U385" s="517"/>
      <c r="V385" s="342">
        <v>31</v>
      </c>
      <c r="W385" s="518">
        <v>583324.89</v>
      </c>
    </row>
    <row r="386" spans="1:23" x14ac:dyDescent="0.25">
      <c r="A386" s="515">
        <v>381</v>
      </c>
      <c r="B386" t="s">
        <v>401</v>
      </c>
      <c r="C386" s="308" t="s">
        <v>148</v>
      </c>
      <c r="D386" s="308" t="s">
        <v>20</v>
      </c>
      <c r="F386" s="516">
        <v>5</v>
      </c>
      <c r="G386" s="516">
        <v>84081</v>
      </c>
      <c r="H386" s="516">
        <v>150</v>
      </c>
      <c r="I386" s="517"/>
      <c r="J386" s="516">
        <v>0</v>
      </c>
      <c r="K386" s="516">
        <v>0</v>
      </c>
      <c r="L386" s="516">
        <v>0</v>
      </c>
      <c r="M386" s="517"/>
      <c r="N386" s="342">
        <v>5</v>
      </c>
      <c r="O386" s="518">
        <v>84081</v>
      </c>
      <c r="P386" s="518">
        <v>150</v>
      </c>
      <c r="Q386" s="519"/>
      <c r="R386" s="520">
        <v>0</v>
      </c>
      <c r="S386" s="521">
        <v>0</v>
      </c>
      <c r="T386" s="516">
        <v>0</v>
      </c>
      <c r="U386" s="517"/>
      <c r="V386" s="342">
        <v>5</v>
      </c>
      <c r="W386" s="518">
        <v>84081</v>
      </c>
    </row>
    <row r="387" spans="1:23" x14ac:dyDescent="0.25">
      <c r="A387" s="515">
        <v>382</v>
      </c>
      <c r="B387" t="s">
        <v>402</v>
      </c>
      <c r="C387" s="308" t="s">
        <v>148</v>
      </c>
      <c r="D387" s="308" t="s">
        <v>20</v>
      </c>
      <c r="F387" s="516">
        <v>10</v>
      </c>
      <c r="G387" s="516">
        <v>226452.13</v>
      </c>
      <c r="H387" s="516">
        <v>300</v>
      </c>
      <c r="I387" s="517"/>
      <c r="J387" s="516">
        <v>0</v>
      </c>
      <c r="K387" s="516">
        <v>0</v>
      </c>
      <c r="L387" s="516">
        <v>0</v>
      </c>
      <c r="M387" s="517"/>
      <c r="N387" s="342">
        <v>10</v>
      </c>
      <c r="O387" s="518">
        <v>226452.13</v>
      </c>
      <c r="P387" s="518">
        <v>300</v>
      </c>
      <c r="Q387" s="519"/>
      <c r="R387" s="516">
        <v>0</v>
      </c>
      <c r="S387" s="516">
        <v>0</v>
      </c>
      <c r="T387" s="516">
        <v>0</v>
      </c>
      <c r="U387" s="517"/>
      <c r="V387" s="342">
        <v>10</v>
      </c>
      <c r="W387" s="518">
        <v>226452.13</v>
      </c>
    </row>
    <row r="388" spans="1:23" x14ac:dyDescent="0.25">
      <c r="A388" s="515">
        <v>383</v>
      </c>
      <c r="B388" t="s">
        <v>403</v>
      </c>
      <c r="C388" s="308" t="s">
        <v>355</v>
      </c>
      <c r="D388" s="308" t="s">
        <v>16</v>
      </c>
      <c r="F388" s="516">
        <v>1</v>
      </c>
      <c r="G388" s="516">
        <v>210</v>
      </c>
      <c r="H388" s="516">
        <v>10</v>
      </c>
      <c r="I388" s="517"/>
      <c r="J388" s="516">
        <v>0</v>
      </c>
      <c r="K388" s="516">
        <v>0</v>
      </c>
      <c r="L388" s="516">
        <v>0</v>
      </c>
      <c r="M388" s="517"/>
      <c r="N388" s="342">
        <v>1</v>
      </c>
      <c r="O388" s="518">
        <v>210</v>
      </c>
      <c r="P388" s="518">
        <v>10</v>
      </c>
      <c r="Q388" s="519"/>
      <c r="R388" s="516">
        <v>0</v>
      </c>
      <c r="S388" s="516">
        <v>0</v>
      </c>
      <c r="T388" s="516">
        <v>0</v>
      </c>
      <c r="U388" s="517"/>
      <c r="V388" s="342">
        <v>1</v>
      </c>
      <c r="W388" s="518">
        <v>210</v>
      </c>
    </row>
    <row r="389" spans="1:23" x14ac:dyDescent="0.25">
      <c r="A389" s="515">
        <v>384</v>
      </c>
      <c r="B389" t="s">
        <v>405</v>
      </c>
      <c r="C389" s="308" t="s">
        <v>25</v>
      </c>
      <c r="D389" s="308" t="s">
        <v>16</v>
      </c>
      <c r="F389" s="516">
        <v>12</v>
      </c>
      <c r="G389" s="516">
        <v>14006</v>
      </c>
      <c r="H389" s="516">
        <v>96</v>
      </c>
      <c r="I389" s="517"/>
      <c r="J389" s="516">
        <v>0</v>
      </c>
      <c r="K389" s="516">
        <v>0</v>
      </c>
      <c r="L389" s="516">
        <v>0</v>
      </c>
      <c r="M389" s="517"/>
      <c r="N389" s="342">
        <v>12</v>
      </c>
      <c r="O389" s="518">
        <v>14006</v>
      </c>
      <c r="P389" s="518">
        <v>96</v>
      </c>
      <c r="Q389" s="519"/>
      <c r="R389" s="516">
        <v>0</v>
      </c>
      <c r="S389" s="516">
        <v>0</v>
      </c>
      <c r="T389" s="516">
        <v>0</v>
      </c>
      <c r="U389" s="517"/>
      <c r="V389" s="342">
        <v>12</v>
      </c>
      <c r="W389" s="518">
        <v>14006</v>
      </c>
    </row>
    <row r="390" spans="1:23" x14ac:dyDescent="0.25">
      <c r="A390" s="515">
        <v>385</v>
      </c>
      <c r="B390" t="s">
        <v>406</v>
      </c>
      <c r="C390" s="308" t="s">
        <v>25</v>
      </c>
      <c r="D390" s="308" t="s">
        <v>16</v>
      </c>
      <c r="F390" s="516">
        <v>0</v>
      </c>
      <c r="G390" s="516">
        <v>0</v>
      </c>
      <c r="H390" s="516">
        <v>0</v>
      </c>
      <c r="I390" s="517"/>
      <c r="J390" s="516">
        <v>0</v>
      </c>
      <c r="K390" s="516">
        <v>0</v>
      </c>
      <c r="L390" s="516">
        <v>0</v>
      </c>
      <c r="M390" s="517"/>
      <c r="N390" s="342">
        <v>0</v>
      </c>
      <c r="O390" s="518">
        <v>0</v>
      </c>
      <c r="P390" s="518">
        <v>0</v>
      </c>
      <c r="Q390" s="519"/>
      <c r="R390" s="516">
        <v>0</v>
      </c>
      <c r="S390" s="516">
        <v>0</v>
      </c>
      <c r="T390" s="516">
        <v>0</v>
      </c>
      <c r="U390" s="517"/>
      <c r="V390" s="342">
        <v>0</v>
      </c>
      <c r="W390" s="518">
        <v>0</v>
      </c>
    </row>
    <row r="391" spans="1:23" x14ac:dyDescent="0.25">
      <c r="A391" s="515">
        <v>386</v>
      </c>
      <c r="B391" t="s">
        <v>407</v>
      </c>
      <c r="C391" s="308" t="s">
        <v>25</v>
      </c>
      <c r="D391" s="308" t="s">
        <v>16</v>
      </c>
      <c r="F391" s="516">
        <v>0</v>
      </c>
      <c r="G391" s="516">
        <v>0</v>
      </c>
      <c r="H391" s="516">
        <v>0</v>
      </c>
      <c r="I391" s="517"/>
      <c r="J391" s="516">
        <v>0</v>
      </c>
      <c r="K391" s="516">
        <v>0</v>
      </c>
      <c r="L391" s="516">
        <v>0</v>
      </c>
      <c r="M391" s="517"/>
      <c r="N391" s="342">
        <v>0</v>
      </c>
      <c r="O391" s="518">
        <v>0</v>
      </c>
      <c r="P391" s="518">
        <v>0</v>
      </c>
      <c r="Q391" s="519"/>
      <c r="R391" s="516">
        <v>0</v>
      </c>
      <c r="S391" s="516">
        <v>0</v>
      </c>
      <c r="T391" s="516">
        <v>0</v>
      </c>
      <c r="U391" s="517"/>
      <c r="V391" s="342">
        <v>0</v>
      </c>
      <c r="W391" s="518">
        <v>0</v>
      </c>
    </row>
    <row r="392" spans="1:23" x14ac:dyDescent="0.25">
      <c r="A392" s="515">
        <v>387</v>
      </c>
      <c r="B392" t="s">
        <v>408</v>
      </c>
      <c r="C392" s="308" t="s">
        <v>18</v>
      </c>
      <c r="D392" s="308" t="s">
        <v>16</v>
      </c>
      <c r="F392" s="516">
        <v>1</v>
      </c>
      <c r="G392" s="516">
        <v>3920</v>
      </c>
      <c r="H392" s="516">
        <v>30</v>
      </c>
      <c r="I392" s="517"/>
      <c r="J392" s="516">
        <v>0</v>
      </c>
      <c r="K392" s="516">
        <v>0</v>
      </c>
      <c r="L392" s="516">
        <v>0</v>
      </c>
      <c r="M392" s="517"/>
      <c r="N392" s="342">
        <v>1</v>
      </c>
      <c r="O392" s="518">
        <v>3920</v>
      </c>
      <c r="P392" s="518">
        <v>30</v>
      </c>
      <c r="Q392" s="519"/>
      <c r="R392" s="516">
        <v>0</v>
      </c>
      <c r="S392" s="516">
        <v>0</v>
      </c>
      <c r="T392" s="516">
        <v>0</v>
      </c>
      <c r="U392" s="517"/>
      <c r="V392" s="342">
        <v>1</v>
      </c>
      <c r="W392" s="518">
        <v>3920</v>
      </c>
    </row>
    <row r="393" spans="1:23" x14ac:dyDescent="0.25">
      <c r="A393" s="515">
        <v>388</v>
      </c>
      <c r="B393" t="s">
        <v>409</v>
      </c>
      <c r="C393" s="308"/>
      <c r="D393" s="308"/>
      <c r="F393" s="516">
        <v>0</v>
      </c>
      <c r="G393" s="516">
        <v>0</v>
      </c>
      <c r="H393" s="516">
        <v>0</v>
      </c>
      <c r="I393" s="517"/>
      <c r="J393" s="516">
        <v>0</v>
      </c>
      <c r="K393" s="516">
        <v>0</v>
      </c>
      <c r="L393" s="516">
        <v>0</v>
      </c>
      <c r="M393" s="517"/>
      <c r="N393" s="342">
        <v>0</v>
      </c>
      <c r="O393" s="518">
        <v>0</v>
      </c>
      <c r="P393" s="518">
        <v>0</v>
      </c>
      <c r="Q393" s="519"/>
      <c r="R393" s="516">
        <v>0</v>
      </c>
      <c r="S393" s="516">
        <v>0</v>
      </c>
      <c r="T393" s="516">
        <v>0</v>
      </c>
      <c r="U393" s="517"/>
      <c r="V393" s="342">
        <v>0</v>
      </c>
      <c r="W393" s="518">
        <v>0</v>
      </c>
    </row>
    <row r="394" spans="1:23" x14ac:dyDescent="0.25">
      <c r="A394" s="515">
        <v>389</v>
      </c>
      <c r="B394" t="s">
        <v>3086</v>
      </c>
      <c r="C394" s="308" t="s">
        <v>18</v>
      </c>
      <c r="D394" s="308" t="s">
        <v>16</v>
      </c>
      <c r="F394" s="516">
        <v>0</v>
      </c>
      <c r="G394" s="516">
        <v>0</v>
      </c>
      <c r="H394" s="516">
        <v>0</v>
      </c>
      <c r="I394" s="517"/>
      <c r="J394" s="516">
        <v>0</v>
      </c>
      <c r="K394" s="516">
        <v>0</v>
      </c>
      <c r="L394" s="516">
        <v>0</v>
      </c>
      <c r="M394" s="517"/>
      <c r="N394" s="342">
        <v>0</v>
      </c>
      <c r="O394" s="518">
        <v>0</v>
      </c>
      <c r="P394" s="518">
        <v>0</v>
      </c>
      <c r="Q394" s="519"/>
      <c r="R394" s="516">
        <v>0</v>
      </c>
      <c r="S394" s="516">
        <v>0</v>
      </c>
      <c r="T394" s="516">
        <v>0</v>
      </c>
      <c r="U394" s="517"/>
      <c r="V394" s="342">
        <v>0</v>
      </c>
      <c r="W394" s="518">
        <v>0</v>
      </c>
    </row>
    <row r="395" spans="1:23" x14ac:dyDescent="0.25">
      <c r="A395" s="515">
        <v>390</v>
      </c>
      <c r="B395" t="s">
        <v>410</v>
      </c>
      <c r="C395" s="308"/>
      <c r="D395" s="308" t="s">
        <v>16</v>
      </c>
      <c r="F395" s="516">
        <v>0</v>
      </c>
      <c r="G395" s="516">
        <v>0</v>
      </c>
      <c r="H395" s="516">
        <v>0</v>
      </c>
      <c r="I395" s="517"/>
      <c r="J395" s="516">
        <v>0</v>
      </c>
      <c r="K395" s="516">
        <v>0</v>
      </c>
      <c r="L395" s="516">
        <v>0</v>
      </c>
      <c r="M395" s="517"/>
      <c r="N395" s="342">
        <v>0</v>
      </c>
      <c r="O395" s="518">
        <v>0</v>
      </c>
      <c r="P395" s="518">
        <v>0</v>
      </c>
      <c r="Q395" s="519"/>
      <c r="R395" s="516">
        <v>0</v>
      </c>
      <c r="S395" s="516">
        <v>0</v>
      </c>
      <c r="T395" s="516">
        <v>0</v>
      </c>
      <c r="U395" s="517"/>
      <c r="V395" s="342">
        <v>0</v>
      </c>
      <c r="W395" s="518">
        <v>0</v>
      </c>
    </row>
    <row r="396" spans="1:23" x14ac:dyDescent="0.25">
      <c r="A396" s="515">
        <v>391</v>
      </c>
      <c r="B396" t="s">
        <v>411</v>
      </c>
      <c r="C396" s="308" t="s">
        <v>15</v>
      </c>
      <c r="D396" s="308" t="s">
        <v>16</v>
      </c>
      <c r="F396" s="516">
        <v>0</v>
      </c>
      <c r="G396" s="516">
        <v>0</v>
      </c>
      <c r="H396" s="516">
        <v>0</v>
      </c>
      <c r="I396" s="517"/>
      <c r="J396" s="516">
        <v>0</v>
      </c>
      <c r="K396" s="516">
        <v>0</v>
      </c>
      <c r="L396" s="516">
        <v>0</v>
      </c>
      <c r="M396" s="517"/>
      <c r="N396" s="342">
        <v>0</v>
      </c>
      <c r="O396" s="518">
        <v>0</v>
      </c>
      <c r="P396" s="518">
        <v>0</v>
      </c>
      <c r="Q396" s="519"/>
      <c r="R396" s="516">
        <v>0</v>
      </c>
      <c r="S396" s="516">
        <v>0</v>
      </c>
      <c r="T396" s="516">
        <v>0</v>
      </c>
      <c r="U396" s="517"/>
      <c r="V396" s="342">
        <v>0</v>
      </c>
      <c r="W396" s="518">
        <v>0</v>
      </c>
    </row>
    <row r="397" spans="1:23" x14ac:dyDescent="0.25">
      <c r="A397" s="515">
        <v>392</v>
      </c>
      <c r="B397" t="s">
        <v>412</v>
      </c>
      <c r="C397" s="308" t="s">
        <v>18</v>
      </c>
      <c r="D397" s="308" t="s">
        <v>16</v>
      </c>
      <c r="F397" s="516">
        <v>0</v>
      </c>
      <c r="G397" s="516">
        <v>0</v>
      </c>
      <c r="H397" s="516">
        <v>0</v>
      </c>
      <c r="I397" s="517"/>
      <c r="J397" s="516">
        <v>0</v>
      </c>
      <c r="K397" s="516">
        <v>0</v>
      </c>
      <c r="L397" s="516">
        <v>0</v>
      </c>
      <c r="M397" s="517"/>
      <c r="N397" s="342">
        <v>0</v>
      </c>
      <c r="O397" s="518">
        <v>0</v>
      </c>
      <c r="P397" s="518">
        <v>0</v>
      </c>
      <c r="Q397" s="519"/>
      <c r="R397" s="516">
        <v>0</v>
      </c>
      <c r="S397" s="516">
        <v>0</v>
      </c>
      <c r="T397" s="516">
        <v>0</v>
      </c>
      <c r="U397" s="517"/>
      <c r="V397" s="342">
        <v>0</v>
      </c>
      <c r="W397" s="518">
        <v>0</v>
      </c>
    </row>
    <row r="398" spans="1:23" x14ac:dyDescent="0.25">
      <c r="A398" s="515">
        <v>393</v>
      </c>
      <c r="B398" t="s">
        <v>413</v>
      </c>
      <c r="C398" s="308"/>
      <c r="D398" s="308" t="s">
        <v>16</v>
      </c>
      <c r="F398" s="516">
        <v>0</v>
      </c>
      <c r="G398" s="516">
        <v>0</v>
      </c>
      <c r="H398" s="516">
        <v>0</v>
      </c>
      <c r="I398" s="517"/>
      <c r="J398" s="516">
        <v>0</v>
      </c>
      <c r="K398" s="516">
        <v>0</v>
      </c>
      <c r="L398" s="516">
        <v>0</v>
      </c>
      <c r="M398" s="517"/>
      <c r="N398" s="342">
        <v>0</v>
      </c>
      <c r="O398" s="518">
        <v>0</v>
      </c>
      <c r="P398" s="518">
        <v>0</v>
      </c>
      <c r="Q398" s="519"/>
      <c r="R398" s="516">
        <v>0</v>
      </c>
      <c r="S398" s="516">
        <v>0</v>
      </c>
      <c r="T398" s="516">
        <v>0</v>
      </c>
      <c r="U398" s="517"/>
      <c r="V398" s="342">
        <v>0</v>
      </c>
      <c r="W398" s="518">
        <v>0</v>
      </c>
    </row>
    <row r="399" spans="1:23" x14ac:dyDescent="0.25">
      <c r="A399" s="515">
        <v>394</v>
      </c>
      <c r="B399" t="s">
        <v>415</v>
      </c>
      <c r="C399" s="308" t="s">
        <v>51</v>
      </c>
      <c r="D399" s="308" t="s">
        <v>16</v>
      </c>
      <c r="F399" s="516">
        <v>624</v>
      </c>
      <c r="G399" s="516">
        <v>647675.19999999972</v>
      </c>
      <c r="H399" s="516">
        <v>3160</v>
      </c>
      <c r="I399" s="517"/>
      <c r="J399" s="516">
        <v>0</v>
      </c>
      <c r="K399" s="516">
        <v>0</v>
      </c>
      <c r="L399" s="516">
        <v>0</v>
      </c>
      <c r="M399" s="517"/>
      <c r="N399" s="342">
        <v>624</v>
      </c>
      <c r="O399" s="518">
        <v>647675.19999999972</v>
      </c>
      <c r="P399" s="518">
        <v>3160</v>
      </c>
      <c r="Q399" s="519"/>
      <c r="R399" s="516">
        <v>0</v>
      </c>
      <c r="S399" s="516">
        <v>0</v>
      </c>
      <c r="T399" s="516">
        <v>0</v>
      </c>
      <c r="U399" s="517"/>
      <c r="V399" s="342">
        <v>624</v>
      </c>
      <c r="W399" s="518">
        <v>647675.19999999972</v>
      </c>
    </row>
    <row r="400" spans="1:23" x14ac:dyDescent="0.25">
      <c r="A400" s="515">
        <v>395</v>
      </c>
      <c r="B400" t="s">
        <v>416</v>
      </c>
      <c r="C400" s="308"/>
      <c r="D400" s="308" t="s">
        <v>16</v>
      </c>
      <c r="F400" s="516">
        <v>0</v>
      </c>
      <c r="G400" s="516">
        <v>0</v>
      </c>
      <c r="H400" s="516">
        <v>0</v>
      </c>
      <c r="I400" s="517"/>
      <c r="J400" s="516">
        <v>0</v>
      </c>
      <c r="K400" s="516">
        <v>0</v>
      </c>
      <c r="L400" s="516">
        <v>0</v>
      </c>
      <c r="M400" s="517"/>
      <c r="N400" s="342">
        <v>0</v>
      </c>
      <c r="O400" s="518">
        <v>0</v>
      </c>
      <c r="P400" s="518">
        <v>0</v>
      </c>
      <c r="Q400" s="519"/>
      <c r="R400" s="516">
        <v>0</v>
      </c>
      <c r="S400" s="516">
        <v>0</v>
      </c>
      <c r="T400" s="516">
        <v>0</v>
      </c>
      <c r="U400" s="517"/>
      <c r="V400" s="342">
        <v>0</v>
      </c>
      <c r="W400" s="518">
        <v>0</v>
      </c>
    </row>
    <row r="401" spans="1:23" x14ac:dyDescent="0.25">
      <c r="A401" s="515">
        <v>396</v>
      </c>
      <c r="B401" t="s">
        <v>417</v>
      </c>
      <c r="C401" s="308"/>
      <c r="D401" s="308" t="s">
        <v>16</v>
      </c>
      <c r="F401" s="516">
        <v>0</v>
      </c>
      <c r="G401" s="516">
        <v>0</v>
      </c>
      <c r="H401" s="516">
        <v>0</v>
      </c>
      <c r="I401" s="517"/>
      <c r="J401" s="516">
        <v>0</v>
      </c>
      <c r="K401" s="516">
        <v>0</v>
      </c>
      <c r="L401" s="516">
        <v>0</v>
      </c>
      <c r="M401" s="517"/>
      <c r="N401" s="342">
        <v>0</v>
      </c>
      <c r="O401" s="518">
        <v>0</v>
      </c>
      <c r="P401" s="518">
        <v>0</v>
      </c>
      <c r="Q401" s="519"/>
      <c r="R401" s="516">
        <v>0</v>
      </c>
      <c r="S401" s="516">
        <v>0</v>
      </c>
      <c r="T401" s="516">
        <v>0</v>
      </c>
      <c r="U401" s="517"/>
      <c r="V401" s="342">
        <v>0</v>
      </c>
      <c r="W401" s="518">
        <v>0</v>
      </c>
    </row>
    <row r="402" spans="1:23" x14ac:dyDescent="0.25">
      <c r="A402" s="515">
        <v>397</v>
      </c>
      <c r="B402" t="s">
        <v>418</v>
      </c>
      <c r="C402" s="308" t="s">
        <v>51</v>
      </c>
      <c r="D402" s="308" t="s">
        <v>414</v>
      </c>
      <c r="F402" s="516">
        <v>6</v>
      </c>
      <c r="G402" s="516">
        <v>220891.83000000002</v>
      </c>
      <c r="H402" s="516">
        <v>300</v>
      </c>
      <c r="I402" s="517"/>
      <c r="J402" s="516">
        <v>0</v>
      </c>
      <c r="K402" s="516">
        <v>0</v>
      </c>
      <c r="L402" s="516">
        <v>0</v>
      </c>
      <c r="M402" s="517"/>
      <c r="N402" s="342">
        <v>6</v>
      </c>
      <c r="O402" s="518">
        <v>220891.83000000002</v>
      </c>
      <c r="P402" s="518">
        <v>300</v>
      </c>
      <c r="Q402" s="519"/>
      <c r="R402" s="516">
        <v>0</v>
      </c>
      <c r="S402" s="516">
        <v>0</v>
      </c>
      <c r="T402" s="516">
        <v>0</v>
      </c>
      <c r="U402" s="517"/>
      <c r="V402" s="342">
        <v>6</v>
      </c>
      <c r="W402" s="518">
        <v>220891.83000000002</v>
      </c>
    </row>
    <row r="403" spans="1:23" x14ac:dyDescent="0.25">
      <c r="A403" s="515">
        <v>398</v>
      </c>
      <c r="B403" t="s">
        <v>419</v>
      </c>
      <c r="C403" s="308" t="s">
        <v>25</v>
      </c>
      <c r="D403" s="308" t="s">
        <v>20</v>
      </c>
      <c r="F403" s="516">
        <v>0</v>
      </c>
      <c r="G403" s="516">
        <v>0</v>
      </c>
      <c r="H403" s="516">
        <v>0</v>
      </c>
      <c r="I403" s="517"/>
      <c r="J403" s="516">
        <v>0</v>
      </c>
      <c r="K403" s="516">
        <v>0</v>
      </c>
      <c r="L403" s="516">
        <v>0</v>
      </c>
      <c r="M403" s="517"/>
      <c r="N403" s="342">
        <v>0</v>
      </c>
      <c r="O403" s="518">
        <v>0</v>
      </c>
      <c r="P403" s="518">
        <v>0</v>
      </c>
      <c r="Q403" s="519"/>
      <c r="R403" s="516">
        <v>0</v>
      </c>
      <c r="S403" s="516">
        <v>0</v>
      </c>
      <c r="T403" s="516">
        <v>0</v>
      </c>
      <c r="U403" s="517"/>
      <c r="V403" s="342">
        <v>0</v>
      </c>
      <c r="W403" s="518">
        <v>0</v>
      </c>
    </row>
    <row r="404" spans="1:23" x14ac:dyDescent="0.25">
      <c r="A404" s="515">
        <v>399</v>
      </c>
      <c r="B404" t="s">
        <v>420</v>
      </c>
      <c r="C404" s="308" t="s">
        <v>25</v>
      </c>
      <c r="D404" s="308" t="s">
        <v>20</v>
      </c>
      <c r="F404" s="516">
        <v>0</v>
      </c>
      <c r="G404" s="516">
        <v>0</v>
      </c>
      <c r="H404" s="516">
        <v>0</v>
      </c>
      <c r="I404" s="517"/>
      <c r="J404" s="516">
        <v>0</v>
      </c>
      <c r="K404" s="516">
        <v>0</v>
      </c>
      <c r="L404" s="516">
        <v>0</v>
      </c>
      <c r="M404" s="517"/>
      <c r="N404" s="342">
        <v>0</v>
      </c>
      <c r="O404" s="518">
        <v>0</v>
      </c>
      <c r="P404" s="518">
        <v>0</v>
      </c>
      <c r="Q404" s="519"/>
      <c r="R404" s="516">
        <v>0</v>
      </c>
      <c r="S404" s="516">
        <v>0</v>
      </c>
      <c r="T404" s="516">
        <v>0</v>
      </c>
      <c r="U404" s="517"/>
      <c r="V404" s="342">
        <v>0</v>
      </c>
      <c r="W404" s="518">
        <v>0</v>
      </c>
    </row>
    <row r="405" spans="1:23" x14ac:dyDescent="0.25">
      <c r="A405" s="515">
        <v>400</v>
      </c>
      <c r="B405" t="s">
        <v>421</v>
      </c>
      <c r="C405" s="308" t="s">
        <v>15</v>
      </c>
      <c r="D405" s="308" t="s">
        <v>16</v>
      </c>
      <c r="F405" s="516">
        <v>540</v>
      </c>
      <c r="G405" s="516">
        <v>715330.40999999968</v>
      </c>
      <c r="H405" s="516">
        <v>5400</v>
      </c>
      <c r="I405" s="517"/>
      <c r="J405" s="516">
        <v>0</v>
      </c>
      <c r="K405" s="516">
        <v>0</v>
      </c>
      <c r="L405" s="516">
        <v>0</v>
      </c>
      <c r="M405" s="517"/>
      <c r="N405" s="342">
        <v>540</v>
      </c>
      <c r="O405" s="518">
        <v>715330.40999999968</v>
      </c>
      <c r="P405" s="518">
        <v>5400</v>
      </c>
      <c r="Q405" s="519"/>
      <c r="R405" s="516">
        <v>0</v>
      </c>
      <c r="S405" s="516">
        <v>0</v>
      </c>
      <c r="T405" s="516">
        <v>0</v>
      </c>
      <c r="U405" s="517"/>
      <c r="V405" s="342">
        <v>540</v>
      </c>
      <c r="W405" s="518">
        <v>715330.40999999968</v>
      </c>
    </row>
    <row r="406" spans="1:23" x14ac:dyDescent="0.25">
      <c r="A406" s="515">
        <v>401</v>
      </c>
      <c r="B406" t="s">
        <v>422</v>
      </c>
      <c r="C406" s="308"/>
      <c r="D406" s="308" t="s">
        <v>16</v>
      </c>
      <c r="F406" s="516">
        <v>56</v>
      </c>
      <c r="G406" s="516">
        <v>253340.1</v>
      </c>
      <c r="H406" s="516">
        <v>1360</v>
      </c>
      <c r="I406" s="517"/>
      <c r="J406" s="516">
        <v>0</v>
      </c>
      <c r="K406" s="516">
        <v>0</v>
      </c>
      <c r="L406" s="516">
        <v>0</v>
      </c>
      <c r="M406" s="517"/>
      <c r="N406" s="342">
        <v>56</v>
      </c>
      <c r="O406" s="518">
        <v>253340.1</v>
      </c>
      <c r="P406" s="518">
        <v>1360</v>
      </c>
      <c r="Q406" s="519"/>
      <c r="R406" s="516">
        <v>0</v>
      </c>
      <c r="S406" s="516">
        <v>0</v>
      </c>
      <c r="T406" s="516">
        <v>0</v>
      </c>
      <c r="U406" s="517"/>
      <c r="V406" s="342">
        <v>56</v>
      </c>
      <c r="W406" s="518">
        <v>253340.1</v>
      </c>
    </row>
    <row r="407" spans="1:23" x14ac:dyDescent="0.25">
      <c r="A407" s="515">
        <v>402</v>
      </c>
      <c r="B407" t="s">
        <v>423</v>
      </c>
      <c r="C407" s="308"/>
      <c r="D407" s="308" t="s">
        <v>20</v>
      </c>
      <c r="F407" s="516">
        <v>0</v>
      </c>
      <c r="G407" s="516">
        <v>0</v>
      </c>
      <c r="H407" s="516">
        <v>0</v>
      </c>
      <c r="I407" s="517"/>
      <c r="J407" s="516">
        <v>0</v>
      </c>
      <c r="K407" s="516">
        <v>0</v>
      </c>
      <c r="L407" s="516">
        <v>0</v>
      </c>
      <c r="M407" s="517"/>
      <c r="N407" s="342">
        <v>0</v>
      </c>
      <c r="O407" s="518">
        <v>0</v>
      </c>
      <c r="P407" s="518">
        <v>0</v>
      </c>
      <c r="Q407" s="519"/>
      <c r="R407" s="516">
        <v>0</v>
      </c>
      <c r="S407" s="516">
        <v>0</v>
      </c>
      <c r="T407" s="516">
        <v>0</v>
      </c>
      <c r="U407" s="517"/>
      <c r="V407" s="342">
        <v>0</v>
      </c>
      <c r="W407" s="518">
        <v>0</v>
      </c>
    </row>
    <row r="408" spans="1:23" x14ac:dyDescent="0.25">
      <c r="A408" s="515">
        <v>403</v>
      </c>
      <c r="B408" t="s">
        <v>424</v>
      </c>
      <c r="C408" s="308"/>
      <c r="D408" s="308" t="s">
        <v>16</v>
      </c>
      <c r="F408" s="516">
        <v>0</v>
      </c>
      <c r="G408" s="516">
        <v>0</v>
      </c>
      <c r="H408" s="516">
        <v>0</v>
      </c>
      <c r="I408" s="517"/>
      <c r="J408" s="516">
        <v>0</v>
      </c>
      <c r="K408" s="516">
        <v>0</v>
      </c>
      <c r="L408" s="516">
        <v>0</v>
      </c>
      <c r="M408" s="517"/>
      <c r="N408" s="342">
        <v>0</v>
      </c>
      <c r="O408" s="518">
        <v>0</v>
      </c>
      <c r="P408" s="518">
        <v>0</v>
      </c>
      <c r="Q408" s="519"/>
      <c r="R408" s="516">
        <v>0</v>
      </c>
      <c r="S408" s="516">
        <v>0</v>
      </c>
      <c r="T408" s="516">
        <v>0</v>
      </c>
      <c r="U408" s="517"/>
      <c r="V408" s="342">
        <v>0</v>
      </c>
      <c r="W408" s="518">
        <v>0</v>
      </c>
    </row>
    <row r="409" spans="1:23" x14ac:dyDescent="0.25">
      <c r="A409" s="515">
        <v>404</v>
      </c>
      <c r="B409" t="s">
        <v>2219</v>
      </c>
      <c r="C409" s="308"/>
      <c r="D409" s="308" t="s">
        <v>16</v>
      </c>
      <c r="F409" s="516">
        <v>115</v>
      </c>
      <c r="G409" s="516">
        <v>214851.93</v>
      </c>
      <c r="H409" s="516">
        <v>1150</v>
      </c>
      <c r="I409" s="517"/>
      <c r="J409" s="516">
        <v>0</v>
      </c>
      <c r="K409" s="516">
        <v>0</v>
      </c>
      <c r="L409" s="516">
        <v>0</v>
      </c>
      <c r="M409" s="517"/>
      <c r="N409" s="342">
        <v>115</v>
      </c>
      <c r="O409" s="518">
        <v>214851.93</v>
      </c>
      <c r="P409" s="518">
        <v>1150</v>
      </c>
      <c r="Q409" s="519"/>
      <c r="R409" s="516">
        <v>0</v>
      </c>
      <c r="S409" s="516">
        <v>0</v>
      </c>
      <c r="T409" s="516">
        <v>0</v>
      </c>
      <c r="U409" s="517"/>
      <c r="V409" s="342">
        <v>115</v>
      </c>
      <c r="W409" s="518">
        <v>214851.93</v>
      </c>
    </row>
    <row r="410" spans="1:23" x14ac:dyDescent="0.25">
      <c r="A410" s="515">
        <v>405</v>
      </c>
      <c r="B410" t="s">
        <v>425</v>
      </c>
      <c r="C410" s="308" t="s">
        <v>41</v>
      </c>
      <c r="D410" s="308" t="s">
        <v>16</v>
      </c>
      <c r="F410" s="516">
        <v>0</v>
      </c>
      <c r="G410" s="516">
        <v>0</v>
      </c>
      <c r="H410" s="516">
        <v>0</v>
      </c>
      <c r="I410" s="517"/>
      <c r="J410" s="516">
        <v>0</v>
      </c>
      <c r="K410" s="516">
        <v>0</v>
      </c>
      <c r="L410" s="516">
        <v>0</v>
      </c>
      <c r="M410" s="517"/>
      <c r="N410" s="342">
        <v>0</v>
      </c>
      <c r="O410" s="518">
        <v>0</v>
      </c>
      <c r="P410" s="518">
        <v>0</v>
      </c>
      <c r="Q410" s="519"/>
      <c r="R410" s="516">
        <v>0</v>
      </c>
      <c r="S410" s="516">
        <v>0</v>
      </c>
      <c r="T410" s="516">
        <v>0</v>
      </c>
      <c r="U410" s="517"/>
      <c r="V410" s="342">
        <v>0</v>
      </c>
      <c r="W410" s="518">
        <v>0</v>
      </c>
    </row>
    <row r="411" spans="1:23" x14ac:dyDescent="0.25">
      <c r="A411" s="515">
        <v>406</v>
      </c>
      <c r="B411" t="s">
        <v>426</v>
      </c>
      <c r="C411" s="308" t="s">
        <v>15</v>
      </c>
      <c r="D411" s="308" t="s">
        <v>16</v>
      </c>
      <c r="F411" s="516">
        <v>0</v>
      </c>
      <c r="G411" s="516">
        <v>0</v>
      </c>
      <c r="H411" s="516">
        <v>0</v>
      </c>
      <c r="I411" s="517"/>
      <c r="J411" s="516">
        <v>0</v>
      </c>
      <c r="K411" s="516">
        <v>0</v>
      </c>
      <c r="L411" s="516">
        <v>0</v>
      </c>
      <c r="M411" s="517"/>
      <c r="N411" s="342">
        <v>0</v>
      </c>
      <c r="O411" s="518">
        <v>0</v>
      </c>
      <c r="P411" s="518">
        <v>0</v>
      </c>
      <c r="Q411" s="519"/>
      <c r="R411" s="516">
        <v>0</v>
      </c>
      <c r="S411" s="516">
        <v>0</v>
      </c>
      <c r="T411" s="516">
        <v>0</v>
      </c>
      <c r="U411" s="517"/>
      <c r="V411" s="342">
        <v>0</v>
      </c>
      <c r="W411" s="518">
        <v>0</v>
      </c>
    </row>
    <row r="412" spans="1:23" x14ac:dyDescent="0.25">
      <c r="A412" s="515">
        <v>407</v>
      </c>
      <c r="B412" t="s">
        <v>427</v>
      </c>
      <c r="C412" s="308" t="s">
        <v>15</v>
      </c>
      <c r="D412" s="308" t="s">
        <v>16</v>
      </c>
      <c r="F412" s="520">
        <v>21</v>
      </c>
      <c r="G412" s="522">
        <v>26576</v>
      </c>
      <c r="H412" s="520">
        <v>147</v>
      </c>
      <c r="I412" s="517"/>
      <c r="J412" s="516">
        <v>0</v>
      </c>
      <c r="K412" s="516">
        <v>0</v>
      </c>
      <c r="L412" s="516">
        <v>0</v>
      </c>
      <c r="M412" s="517"/>
      <c r="N412" s="342">
        <v>21</v>
      </c>
      <c r="O412" s="518">
        <v>26576</v>
      </c>
      <c r="P412" s="518">
        <v>147</v>
      </c>
      <c r="Q412" s="519"/>
      <c r="R412" s="516">
        <v>0</v>
      </c>
      <c r="S412" s="516">
        <v>0</v>
      </c>
      <c r="T412" s="516">
        <v>0</v>
      </c>
      <c r="U412" s="517"/>
      <c r="V412" s="342">
        <v>21</v>
      </c>
      <c r="W412" s="518">
        <v>26576</v>
      </c>
    </row>
    <row r="413" spans="1:23" x14ac:dyDescent="0.25">
      <c r="A413" s="515">
        <v>408</v>
      </c>
      <c r="B413" t="s">
        <v>428</v>
      </c>
      <c r="C413" s="308"/>
      <c r="D413" s="308" t="s">
        <v>43</v>
      </c>
      <c r="F413" s="516">
        <v>0</v>
      </c>
      <c r="G413" s="516">
        <v>0</v>
      </c>
      <c r="H413" s="516">
        <v>0</v>
      </c>
      <c r="I413" s="517"/>
      <c r="J413" s="516">
        <v>0</v>
      </c>
      <c r="K413" s="516">
        <v>0</v>
      </c>
      <c r="L413" s="516">
        <v>0</v>
      </c>
      <c r="M413" s="517"/>
      <c r="N413" s="342">
        <v>0</v>
      </c>
      <c r="O413" s="518">
        <v>0</v>
      </c>
      <c r="P413" s="518">
        <v>0</v>
      </c>
      <c r="Q413" s="519"/>
      <c r="R413" s="516">
        <v>0</v>
      </c>
      <c r="S413" s="516">
        <v>0</v>
      </c>
      <c r="T413" s="516">
        <v>0</v>
      </c>
      <c r="U413" s="517"/>
      <c r="V413" s="342">
        <v>0</v>
      </c>
      <c r="W413" s="518">
        <v>0</v>
      </c>
    </row>
    <row r="414" spans="1:23" x14ac:dyDescent="0.25">
      <c r="A414" s="515">
        <v>409</v>
      </c>
      <c r="B414" t="s">
        <v>429</v>
      </c>
      <c r="C414" s="308" t="s">
        <v>18</v>
      </c>
      <c r="D414" s="308" t="s">
        <v>16</v>
      </c>
      <c r="F414" s="516">
        <v>0</v>
      </c>
      <c r="G414" s="516">
        <v>0</v>
      </c>
      <c r="H414" s="516">
        <v>0</v>
      </c>
      <c r="I414" s="517"/>
      <c r="J414" s="516">
        <v>0</v>
      </c>
      <c r="K414" s="516">
        <v>0</v>
      </c>
      <c r="L414" s="516">
        <v>0</v>
      </c>
      <c r="M414" s="517"/>
      <c r="N414" s="342">
        <v>0</v>
      </c>
      <c r="O414" s="518">
        <v>0</v>
      </c>
      <c r="P414" s="518">
        <v>0</v>
      </c>
      <c r="Q414" s="519"/>
      <c r="R414" s="516">
        <v>0</v>
      </c>
      <c r="S414" s="516">
        <v>0</v>
      </c>
      <c r="T414" s="516">
        <v>0</v>
      </c>
      <c r="U414" s="517"/>
      <c r="V414" s="342">
        <v>0</v>
      </c>
      <c r="W414" s="518">
        <v>0</v>
      </c>
    </row>
    <row r="415" spans="1:23" x14ac:dyDescent="0.25">
      <c r="A415" s="515">
        <v>410</v>
      </c>
      <c r="B415" t="s">
        <v>430</v>
      </c>
      <c r="C415" s="308" t="s">
        <v>92</v>
      </c>
      <c r="D415" s="308" t="s">
        <v>16</v>
      </c>
      <c r="F415" s="516">
        <v>57</v>
      </c>
      <c r="G415" s="516">
        <v>156800.59</v>
      </c>
      <c r="H415" s="516">
        <v>406</v>
      </c>
      <c r="I415" s="517"/>
      <c r="J415" s="516">
        <v>0</v>
      </c>
      <c r="K415" s="516">
        <v>0</v>
      </c>
      <c r="L415" s="516">
        <v>0</v>
      </c>
      <c r="M415" s="517"/>
      <c r="N415" s="342">
        <v>57</v>
      </c>
      <c r="O415" s="518">
        <v>156800.59</v>
      </c>
      <c r="P415" s="518">
        <v>406</v>
      </c>
      <c r="Q415" s="519"/>
      <c r="R415" s="516">
        <v>0</v>
      </c>
      <c r="S415" s="516">
        <v>0</v>
      </c>
      <c r="T415" s="516">
        <v>0</v>
      </c>
      <c r="U415" s="517"/>
      <c r="V415" s="342">
        <v>57</v>
      </c>
      <c r="W415" s="518">
        <v>156800.59</v>
      </c>
    </row>
    <row r="416" spans="1:23" x14ac:dyDescent="0.25">
      <c r="A416" s="515">
        <v>411</v>
      </c>
      <c r="B416" t="s">
        <v>431</v>
      </c>
      <c r="C416" s="308" t="s">
        <v>432</v>
      </c>
      <c r="D416" s="308" t="s">
        <v>16</v>
      </c>
      <c r="F416" s="516">
        <v>1</v>
      </c>
      <c r="G416" s="516">
        <v>550</v>
      </c>
      <c r="H416" s="516">
        <v>10</v>
      </c>
      <c r="I416" s="517"/>
      <c r="J416" s="516">
        <v>0</v>
      </c>
      <c r="K416" s="516">
        <v>0</v>
      </c>
      <c r="L416" s="516">
        <v>0</v>
      </c>
      <c r="M416" s="517"/>
      <c r="N416" s="342">
        <v>1</v>
      </c>
      <c r="O416" s="518">
        <v>550</v>
      </c>
      <c r="P416" s="518">
        <v>10</v>
      </c>
      <c r="Q416" s="519"/>
      <c r="R416" s="516">
        <v>0</v>
      </c>
      <c r="S416" s="516">
        <v>0</v>
      </c>
      <c r="T416" s="516">
        <v>0</v>
      </c>
      <c r="U416" s="517"/>
      <c r="V416" s="342">
        <v>1</v>
      </c>
      <c r="W416" s="518">
        <v>550</v>
      </c>
    </row>
    <row r="417" spans="1:23" x14ac:dyDescent="0.25">
      <c r="A417" s="515">
        <v>412</v>
      </c>
      <c r="B417" t="s">
        <v>433</v>
      </c>
      <c r="C417" s="308" t="s">
        <v>349</v>
      </c>
      <c r="D417" s="308" t="s">
        <v>16</v>
      </c>
      <c r="F417" s="516">
        <v>0</v>
      </c>
      <c r="G417" s="516">
        <v>0</v>
      </c>
      <c r="H417" s="516">
        <v>0</v>
      </c>
      <c r="I417" s="517"/>
      <c r="J417" s="516">
        <v>0</v>
      </c>
      <c r="K417" s="516">
        <v>0</v>
      </c>
      <c r="L417" s="516">
        <v>0</v>
      </c>
      <c r="M417" s="517"/>
      <c r="N417" s="342">
        <v>0</v>
      </c>
      <c r="O417" s="518">
        <v>0</v>
      </c>
      <c r="P417" s="518">
        <v>0</v>
      </c>
      <c r="Q417" s="519"/>
      <c r="R417" s="516">
        <v>0</v>
      </c>
      <c r="S417" s="516">
        <v>0</v>
      </c>
      <c r="T417" s="516">
        <v>0</v>
      </c>
      <c r="U417" s="517"/>
      <c r="V417" s="342">
        <v>0</v>
      </c>
      <c r="W417" s="518">
        <v>0</v>
      </c>
    </row>
    <row r="418" spans="1:23" x14ac:dyDescent="0.25">
      <c r="A418" s="515">
        <v>413</v>
      </c>
      <c r="B418" t="s">
        <v>434</v>
      </c>
      <c r="C418" s="308" t="s">
        <v>108</v>
      </c>
      <c r="D418" s="308" t="s">
        <v>16</v>
      </c>
      <c r="F418" s="516">
        <v>0</v>
      </c>
      <c r="G418" s="516">
        <v>0</v>
      </c>
      <c r="H418" s="516">
        <v>0</v>
      </c>
      <c r="I418" s="517"/>
      <c r="J418" s="516">
        <v>0</v>
      </c>
      <c r="K418" s="516">
        <v>0</v>
      </c>
      <c r="L418" s="516">
        <v>0</v>
      </c>
      <c r="M418" s="517"/>
      <c r="N418" s="342">
        <v>0</v>
      </c>
      <c r="O418" s="518">
        <v>0</v>
      </c>
      <c r="P418" s="518">
        <v>0</v>
      </c>
      <c r="Q418" s="519"/>
      <c r="R418" s="516">
        <v>0</v>
      </c>
      <c r="S418" s="516">
        <v>0</v>
      </c>
      <c r="T418" s="516">
        <v>0</v>
      </c>
      <c r="U418" s="517"/>
      <c r="V418" s="342">
        <v>0</v>
      </c>
      <c r="W418" s="518">
        <v>0</v>
      </c>
    </row>
    <row r="419" spans="1:23" x14ac:dyDescent="0.25">
      <c r="A419" s="515">
        <v>414</v>
      </c>
      <c r="B419" t="s">
        <v>435</v>
      </c>
      <c r="C419" s="308" t="s">
        <v>108</v>
      </c>
      <c r="D419" s="308" t="s">
        <v>16</v>
      </c>
      <c r="F419" s="516">
        <v>2</v>
      </c>
      <c r="G419" s="516">
        <v>10000</v>
      </c>
      <c r="H419" s="516">
        <v>50</v>
      </c>
      <c r="I419" s="517"/>
      <c r="J419" s="516">
        <v>0</v>
      </c>
      <c r="K419" s="516">
        <v>0</v>
      </c>
      <c r="L419" s="516">
        <v>0</v>
      </c>
      <c r="M419" s="517"/>
      <c r="N419" s="342">
        <v>2</v>
      </c>
      <c r="O419" s="518">
        <v>10000</v>
      </c>
      <c r="P419" s="518">
        <v>50</v>
      </c>
      <c r="Q419" s="519"/>
      <c r="R419" s="516">
        <v>0</v>
      </c>
      <c r="S419" s="516">
        <v>0</v>
      </c>
      <c r="T419" s="516">
        <v>0</v>
      </c>
      <c r="U419" s="517"/>
      <c r="V419" s="342">
        <v>2</v>
      </c>
      <c r="W419" s="518">
        <v>10000</v>
      </c>
    </row>
    <row r="420" spans="1:23" x14ac:dyDescent="0.25">
      <c r="A420" s="515">
        <v>415</v>
      </c>
      <c r="B420" t="s">
        <v>436</v>
      </c>
      <c r="C420" s="308" t="s">
        <v>15</v>
      </c>
      <c r="D420" s="308" t="s">
        <v>16</v>
      </c>
      <c r="F420" s="516">
        <v>0</v>
      </c>
      <c r="G420" s="516">
        <v>0</v>
      </c>
      <c r="H420" s="516">
        <v>0</v>
      </c>
      <c r="I420" s="517"/>
      <c r="J420" s="516">
        <v>0</v>
      </c>
      <c r="K420" s="516">
        <v>0</v>
      </c>
      <c r="L420" s="516">
        <v>0</v>
      </c>
      <c r="M420" s="517"/>
      <c r="N420" s="342">
        <v>0</v>
      </c>
      <c r="O420" s="518">
        <v>0</v>
      </c>
      <c r="P420" s="518">
        <v>0</v>
      </c>
      <c r="Q420" s="519"/>
      <c r="R420" s="516">
        <v>0</v>
      </c>
      <c r="S420" s="516">
        <v>0</v>
      </c>
      <c r="T420" s="516">
        <v>0</v>
      </c>
      <c r="U420" s="517"/>
      <c r="V420" s="342">
        <v>0</v>
      </c>
      <c r="W420" s="518">
        <v>0</v>
      </c>
    </row>
    <row r="421" spans="1:23" x14ac:dyDescent="0.25">
      <c r="A421" s="515">
        <v>416</v>
      </c>
      <c r="B421" t="s">
        <v>437</v>
      </c>
      <c r="C421" s="308" t="s">
        <v>39</v>
      </c>
      <c r="D421" s="308" t="s">
        <v>16</v>
      </c>
      <c r="F421" s="516">
        <v>2732</v>
      </c>
      <c r="G421" s="516">
        <v>19252377.349999998</v>
      </c>
      <c r="H421" s="516">
        <v>19124</v>
      </c>
      <c r="I421" s="517"/>
      <c r="J421" s="516">
        <v>0</v>
      </c>
      <c r="K421" s="516">
        <v>0</v>
      </c>
      <c r="L421" s="516">
        <v>0</v>
      </c>
      <c r="M421" s="517"/>
      <c r="N421" s="342">
        <v>2732</v>
      </c>
      <c r="O421" s="518">
        <v>19252377.349999998</v>
      </c>
      <c r="P421" s="518">
        <v>19124</v>
      </c>
      <c r="Q421" s="519"/>
      <c r="R421" s="516">
        <v>0</v>
      </c>
      <c r="S421" s="516">
        <v>0</v>
      </c>
      <c r="T421" s="516">
        <v>0</v>
      </c>
      <c r="U421" s="517"/>
      <c r="V421" s="342">
        <v>2732</v>
      </c>
      <c r="W421" s="518">
        <v>19252377.349999998</v>
      </c>
    </row>
    <row r="422" spans="1:23" x14ac:dyDescent="0.25">
      <c r="A422" s="515">
        <v>417</v>
      </c>
      <c r="B422" t="s">
        <v>438</v>
      </c>
      <c r="C422" s="308" t="s">
        <v>18</v>
      </c>
      <c r="D422" s="308" t="s">
        <v>16</v>
      </c>
      <c r="F422" s="516">
        <v>5</v>
      </c>
      <c r="G422" s="516">
        <v>13335.849999999999</v>
      </c>
      <c r="H422" s="516">
        <v>50</v>
      </c>
      <c r="I422" s="517"/>
      <c r="J422" s="516">
        <v>0</v>
      </c>
      <c r="K422" s="516">
        <v>0</v>
      </c>
      <c r="L422" s="516">
        <v>0</v>
      </c>
      <c r="M422" s="517"/>
      <c r="N422" s="342">
        <v>5</v>
      </c>
      <c r="O422" s="518">
        <v>13335.849999999999</v>
      </c>
      <c r="P422" s="518">
        <v>50</v>
      </c>
      <c r="Q422" s="519"/>
      <c r="R422" s="516">
        <v>0</v>
      </c>
      <c r="S422" s="516">
        <v>0</v>
      </c>
      <c r="T422" s="516">
        <v>0</v>
      </c>
      <c r="U422" s="517"/>
      <c r="V422" s="342">
        <v>5</v>
      </c>
      <c r="W422" s="518">
        <v>13335.849999999999</v>
      </c>
    </row>
    <row r="423" spans="1:23" x14ac:dyDescent="0.25">
      <c r="A423" s="515">
        <v>418</v>
      </c>
      <c r="B423" t="s">
        <v>439</v>
      </c>
      <c r="C423" s="308" t="s">
        <v>15</v>
      </c>
      <c r="D423" s="308" t="s">
        <v>380</v>
      </c>
      <c r="F423" s="516">
        <v>2</v>
      </c>
      <c r="G423" s="516">
        <v>21431</v>
      </c>
      <c r="H423" s="516">
        <v>30</v>
      </c>
      <c r="I423" s="517"/>
      <c r="J423" s="516">
        <v>0</v>
      </c>
      <c r="K423" s="516">
        <v>0</v>
      </c>
      <c r="L423" s="516">
        <v>0</v>
      </c>
      <c r="M423" s="517"/>
      <c r="N423" s="342">
        <v>2</v>
      </c>
      <c r="O423" s="518">
        <v>21431</v>
      </c>
      <c r="P423" s="518">
        <v>30</v>
      </c>
      <c r="Q423" s="519"/>
      <c r="R423" s="516">
        <v>0</v>
      </c>
      <c r="S423" s="516">
        <v>0</v>
      </c>
      <c r="T423" s="516">
        <v>0</v>
      </c>
      <c r="U423" s="517"/>
      <c r="V423" s="342">
        <v>2</v>
      </c>
      <c r="W423" s="518">
        <v>21431</v>
      </c>
    </row>
    <row r="424" spans="1:23" x14ac:dyDescent="0.25">
      <c r="A424" s="515">
        <v>419</v>
      </c>
      <c r="B424" t="s">
        <v>440</v>
      </c>
      <c r="C424" s="308" t="s">
        <v>18</v>
      </c>
      <c r="D424" s="308" t="s">
        <v>16</v>
      </c>
      <c r="F424" s="516">
        <v>22</v>
      </c>
      <c r="G424" s="516">
        <v>28897.26</v>
      </c>
      <c r="H424" s="516">
        <v>220</v>
      </c>
      <c r="I424" s="517"/>
      <c r="J424" s="520">
        <v>0</v>
      </c>
      <c r="K424" s="522">
        <v>0</v>
      </c>
      <c r="L424" s="524">
        <v>0</v>
      </c>
      <c r="M424" s="517"/>
      <c r="N424" s="342">
        <v>22</v>
      </c>
      <c r="O424" s="518">
        <v>28897.26</v>
      </c>
      <c r="P424" s="518">
        <v>220</v>
      </c>
      <c r="Q424" s="519"/>
      <c r="R424" s="516">
        <v>0</v>
      </c>
      <c r="S424" s="516">
        <v>0</v>
      </c>
      <c r="T424" s="516">
        <v>0</v>
      </c>
      <c r="U424" s="517"/>
      <c r="V424" s="342">
        <v>22</v>
      </c>
      <c r="W424" s="518">
        <v>28897.26</v>
      </c>
    </row>
    <row r="425" spans="1:23" x14ac:dyDescent="0.25">
      <c r="A425" s="515">
        <v>420</v>
      </c>
      <c r="B425" t="s">
        <v>441</v>
      </c>
      <c r="C425" s="308" t="s">
        <v>25</v>
      </c>
      <c r="D425" s="308" t="s">
        <v>16</v>
      </c>
      <c r="F425" s="516">
        <v>14</v>
      </c>
      <c r="G425" s="516">
        <v>111896.36</v>
      </c>
      <c r="H425" s="516">
        <v>237</v>
      </c>
      <c r="I425" s="517"/>
      <c r="J425" s="516">
        <v>0</v>
      </c>
      <c r="K425" s="516">
        <v>0</v>
      </c>
      <c r="L425" s="516">
        <v>0</v>
      </c>
      <c r="M425" s="517"/>
      <c r="N425" s="342">
        <v>14</v>
      </c>
      <c r="O425" s="518">
        <v>111896.36</v>
      </c>
      <c r="P425" s="518">
        <v>237</v>
      </c>
      <c r="Q425" s="519"/>
      <c r="R425" s="520">
        <v>0</v>
      </c>
      <c r="S425" s="521">
        <v>0</v>
      </c>
      <c r="T425" s="516">
        <v>0</v>
      </c>
      <c r="U425" s="517"/>
      <c r="V425" s="342">
        <v>14</v>
      </c>
      <c r="W425" s="518">
        <v>111896.36</v>
      </c>
    </row>
    <row r="426" spans="1:23" x14ac:dyDescent="0.25">
      <c r="A426" s="515">
        <v>421</v>
      </c>
      <c r="B426" t="s">
        <v>442</v>
      </c>
      <c r="C426" s="308"/>
      <c r="D426" s="308" t="s">
        <v>16</v>
      </c>
      <c r="F426" s="516">
        <v>0</v>
      </c>
      <c r="G426" s="516">
        <v>0</v>
      </c>
      <c r="H426" s="516">
        <v>0</v>
      </c>
      <c r="I426" s="517"/>
      <c r="J426" s="516">
        <v>0</v>
      </c>
      <c r="K426" s="516">
        <v>0</v>
      </c>
      <c r="L426" s="516">
        <v>0</v>
      </c>
      <c r="M426" s="517"/>
      <c r="N426" s="342">
        <v>0</v>
      </c>
      <c r="O426" s="518">
        <v>0</v>
      </c>
      <c r="P426" s="518">
        <v>0</v>
      </c>
      <c r="Q426" s="519"/>
      <c r="R426" s="516">
        <v>0</v>
      </c>
      <c r="S426" s="516">
        <v>0</v>
      </c>
      <c r="T426" s="516">
        <v>0</v>
      </c>
      <c r="U426" s="517"/>
      <c r="V426" s="342">
        <v>0</v>
      </c>
      <c r="W426" s="518">
        <v>0</v>
      </c>
    </row>
    <row r="427" spans="1:23" x14ac:dyDescent="0.25">
      <c r="A427" s="515">
        <v>422</v>
      </c>
      <c r="B427" t="s">
        <v>443</v>
      </c>
      <c r="C427" s="308" t="s">
        <v>18</v>
      </c>
      <c r="D427" s="308" t="s">
        <v>16</v>
      </c>
      <c r="F427" s="516">
        <v>0</v>
      </c>
      <c r="G427" s="516">
        <v>0</v>
      </c>
      <c r="H427" s="516">
        <v>0</v>
      </c>
      <c r="I427" s="517"/>
      <c r="J427" s="516">
        <v>0</v>
      </c>
      <c r="K427" s="516">
        <v>0</v>
      </c>
      <c r="L427" s="516">
        <v>0</v>
      </c>
      <c r="M427" s="517"/>
      <c r="N427" s="342">
        <v>0</v>
      </c>
      <c r="O427" s="518">
        <v>0</v>
      </c>
      <c r="P427" s="518">
        <v>0</v>
      </c>
      <c r="Q427" s="519"/>
      <c r="R427" s="516">
        <v>0</v>
      </c>
      <c r="S427" s="516">
        <v>0</v>
      </c>
      <c r="T427" s="516">
        <v>0</v>
      </c>
      <c r="U427" s="517"/>
      <c r="V427" s="342">
        <v>0</v>
      </c>
      <c r="W427" s="518">
        <v>0</v>
      </c>
    </row>
    <row r="428" spans="1:23" x14ac:dyDescent="0.25">
      <c r="A428" s="515">
        <v>423</v>
      </c>
      <c r="B428" t="s">
        <v>444</v>
      </c>
      <c r="C428" s="308" t="s">
        <v>25</v>
      </c>
      <c r="D428" s="308" t="s">
        <v>16</v>
      </c>
      <c r="F428" s="516">
        <v>0</v>
      </c>
      <c r="G428" s="516">
        <v>0</v>
      </c>
      <c r="H428" s="516">
        <v>0</v>
      </c>
      <c r="I428" s="517"/>
      <c r="J428" s="516">
        <v>0</v>
      </c>
      <c r="K428" s="516">
        <v>0</v>
      </c>
      <c r="L428" s="516">
        <v>0</v>
      </c>
      <c r="M428" s="517"/>
      <c r="N428" s="342">
        <v>0</v>
      </c>
      <c r="O428" s="518">
        <v>0</v>
      </c>
      <c r="P428" s="518">
        <v>0</v>
      </c>
      <c r="Q428" s="519"/>
      <c r="R428" s="516">
        <v>0</v>
      </c>
      <c r="S428" s="516">
        <v>0</v>
      </c>
      <c r="T428" s="516">
        <v>0</v>
      </c>
      <c r="U428" s="517"/>
      <c r="V428" s="342">
        <v>0</v>
      </c>
      <c r="W428" s="518">
        <v>0</v>
      </c>
    </row>
    <row r="429" spans="1:23" x14ac:dyDescent="0.25">
      <c r="A429" s="515">
        <v>424</v>
      </c>
      <c r="B429" t="s">
        <v>445</v>
      </c>
      <c r="C429" s="308" t="s">
        <v>15</v>
      </c>
      <c r="D429" s="308" t="s">
        <v>16</v>
      </c>
      <c r="F429" s="516">
        <v>71</v>
      </c>
      <c r="G429" s="516">
        <v>1035445</v>
      </c>
      <c r="H429" s="516">
        <v>2130</v>
      </c>
      <c r="I429" s="517"/>
      <c r="J429" s="516">
        <v>0</v>
      </c>
      <c r="K429" s="516">
        <v>0</v>
      </c>
      <c r="L429" s="516">
        <v>0</v>
      </c>
      <c r="M429" s="517"/>
      <c r="N429" s="342">
        <v>71</v>
      </c>
      <c r="O429" s="518">
        <v>1035445</v>
      </c>
      <c r="P429" s="518">
        <v>2130</v>
      </c>
      <c r="Q429" s="519"/>
      <c r="R429" s="516">
        <v>0</v>
      </c>
      <c r="S429" s="516">
        <v>0</v>
      </c>
      <c r="T429" s="516">
        <v>0</v>
      </c>
      <c r="U429" s="517"/>
      <c r="V429" s="342">
        <v>71</v>
      </c>
      <c r="W429" s="518">
        <v>1035445</v>
      </c>
    </row>
    <row r="430" spans="1:23" x14ac:dyDescent="0.25">
      <c r="A430" s="515">
        <v>425</v>
      </c>
      <c r="B430" t="s">
        <v>446</v>
      </c>
      <c r="C430" s="308" t="s">
        <v>15</v>
      </c>
      <c r="D430" s="308" t="s">
        <v>16</v>
      </c>
      <c r="F430" s="516">
        <v>0</v>
      </c>
      <c r="G430" s="516">
        <v>0</v>
      </c>
      <c r="H430" s="516">
        <v>0</v>
      </c>
      <c r="I430" s="517"/>
      <c r="J430" s="516">
        <v>0</v>
      </c>
      <c r="K430" s="516">
        <v>0</v>
      </c>
      <c r="L430" s="516">
        <v>0</v>
      </c>
      <c r="M430" s="517"/>
      <c r="N430" s="342">
        <v>0</v>
      </c>
      <c r="O430" s="518">
        <v>0</v>
      </c>
      <c r="P430" s="518">
        <v>0</v>
      </c>
      <c r="Q430" s="519"/>
      <c r="R430" s="516">
        <v>0</v>
      </c>
      <c r="S430" s="516">
        <v>0</v>
      </c>
      <c r="T430" s="516">
        <v>0</v>
      </c>
      <c r="U430" s="517"/>
      <c r="V430" s="342">
        <v>0</v>
      </c>
      <c r="W430" s="518">
        <v>0</v>
      </c>
    </row>
    <row r="431" spans="1:23" x14ac:dyDescent="0.25">
      <c r="A431" s="515">
        <v>426</v>
      </c>
      <c r="B431" t="s">
        <v>447</v>
      </c>
      <c r="C431" s="308" t="s">
        <v>448</v>
      </c>
      <c r="D431" s="308" t="s">
        <v>20</v>
      </c>
      <c r="F431" s="516">
        <v>3</v>
      </c>
      <c r="G431" s="516">
        <v>40326.79</v>
      </c>
      <c r="H431" s="516">
        <v>75</v>
      </c>
      <c r="I431" s="517"/>
      <c r="J431" s="516">
        <v>0</v>
      </c>
      <c r="K431" s="516">
        <v>0</v>
      </c>
      <c r="L431" s="516">
        <v>0</v>
      </c>
      <c r="M431" s="517"/>
      <c r="N431" s="342">
        <v>3</v>
      </c>
      <c r="O431" s="518">
        <v>40326.79</v>
      </c>
      <c r="P431" s="518">
        <v>75</v>
      </c>
      <c r="Q431" s="519"/>
      <c r="R431" s="516">
        <v>0</v>
      </c>
      <c r="S431" s="516">
        <v>0</v>
      </c>
      <c r="T431" s="516">
        <v>0</v>
      </c>
      <c r="U431" s="517"/>
      <c r="V431" s="342">
        <v>3</v>
      </c>
      <c r="W431" s="518">
        <v>40326.79</v>
      </c>
    </row>
    <row r="432" spans="1:23" x14ac:dyDescent="0.25">
      <c r="A432" s="515">
        <v>427</v>
      </c>
      <c r="B432" t="s">
        <v>2425</v>
      </c>
      <c r="C432" s="308" t="s">
        <v>18</v>
      </c>
      <c r="D432" s="308" t="s">
        <v>20</v>
      </c>
      <c r="F432" s="516">
        <v>1</v>
      </c>
      <c r="G432" s="516">
        <v>37900</v>
      </c>
      <c r="H432" s="516">
        <v>50</v>
      </c>
      <c r="I432" s="517"/>
      <c r="J432" s="516">
        <v>0</v>
      </c>
      <c r="K432" s="516">
        <v>0</v>
      </c>
      <c r="L432" s="516">
        <v>0</v>
      </c>
      <c r="M432" s="517"/>
      <c r="N432" s="342">
        <v>1</v>
      </c>
      <c r="O432" s="518">
        <v>37900</v>
      </c>
      <c r="P432" s="518">
        <v>50</v>
      </c>
      <c r="Q432" s="519"/>
      <c r="R432" s="516">
        <v>0</v>
      </c>
      <c r="S432" s="516">
        <v>0</v>
      </c>
      <c r="T432" s="516">
        <v>0</v>
      </c>
      <c r="U432" s="517"/>
      <c r="V432" s="342">
        <v>1</v>
      </c>
      <c r="W432" s="518">
        <v>37900</v>
      </c>
    </row>
    <row r="433" spans="1:23" x14ac:dyDescent="0.25">
      <c r="A433" s="515">
        <v>428</v>
      </c>
      <c r="B433" t="s">
        <v>449</v>
      </c>
      <c r="C433" s="308" t="s">
        <v>355</v>
      </c>
      <c r="D433" s="308" t="s">
        <v>40</v>
      </c>
      <c r="F433" s="516">
        <v>0</v>
      </c>
      <c r="G433" s="516">
        <v>0</v>
      </c>
      <c r="H433" s="516">
        <v>0</v>
      </c>
      <c r="I433" s="517"/>
      <c r="J433" s="516">
        <v>0</v>
      </c>
      <c r="K433" s="516">
        <v>0</v>
      </c>
      <c r="L433" s="516">
        <v>0</v>
      </c>
      <c r="M433" s="517"/>
      <c r="N433" s="342">
        <v>0</v>
      </c>
      <c r="O433" s="518">
        <v>0</v>
      </c>
      <c r="P433" s="518">
        <v>0</v>
      </c>
      <c r="Q433" s="519"/>
      <c r="R433" s="516">
        <v>0</v>
      </c>
      <c r="S433" s="516">
        <v>0</v>
      </c>
      <c r="T433" s="516">
        <v>0</v>
      </c>
      <c r="U433" s="517"/>
      <c r="V433" s="342">
        <v>0</v>
      </c>
      <c r="W433" s="518">
        <v>0</v>
      </c>
    </row>
    <row r="434" spans="1:23" x14ac:dyDescent="0.25">
      <c r="A434" s="515">
        <v>429</v>
      </c>
      <c r="B434" t="s">
        <v>450</v>
      </c>
      <c r="C434" s="308" t="s">
        <v>355</v>
      </c>
      <c r="D434" s="308" t="s">
        <v>40</v>
      </c>
      <c r="F434" s="516">
        <v>0</v>
      </c>
      <c r="G434" s="516">
        <v>0</v>
      </c>
      <c r="H434" s="516">
        <v>0</v>
      </c>
      <c r="I434" s="517"/>
      <c r="J434" s="516">
        <v>0</v>
      </c>
      <c r="K434" s="516">
        <v>0</v>
      </c>
      <c r="L434" s="516">
        <v>0</v>
      </c>
      <c r="M434" s="517"/>
      <c r="N434" s="342">
        <v>0</v>
      </c>
      <c r="O434" s="518">
        <v>0</v>
      </c>
      <c r="P434" s="518">
        <v>0</v>
      </c>
      <c r="Q434" s="519"/>
      <c r="R434" s="516">
        <v>0</v>
      </c>
      <c r="S434" s="516">
        <v>0</v>
      </c>
      <c r="T434" s="516">
        <v>0</v>
      </c>
      <c r="U434" s="517"/>
      <c r="V434" s="342">
        <v>0</v>
      </c>
      <c r="W434" s="518">
        <v>0</v>
      </c>
    </row>
    <row r="435" spans="1:23" x14ac:dyDescent="0.25">
      <c r="A435" s="515">
        <v>430</v>
      </c>
      <c r="B435" t="s">
        <v>451</v>
      </c>
      <c r="C435" s="308" t="s">
        <v>355</v>
      </c>
      <c r="D435" s="308" t="s">
        <v>40</v>
      </c>
      <c r="F435" s="516">
        <v>0</v>
      </c>
      <c r="G435" s="516">
        <v>0</v>
      </c>
      <c r="H435" s="516">
        <v>0</v>
      </c>
      <c r="I435" s="517"/>
      <c r="J435" s="516">
        <v>0</v>
      </c>
      <c r="K435" s="516">
        <v>0</v>
      </c>
      <c r="L435" s="516">
        <v>0</v>
      </c>
      <c r="M435" s="517"/>
      <c r="N435" s="342">
        <v>0</v>
      </c>
      <c r="O435" s="518">
        <v>0</v>
      </c>
      <c r="P435" s="518">
        <v>0</v>
      </c>
      <c r="Q435" s="519"/>
      <c r="R435" s="516">
        <v>0</v>
      </c>
      <c r="S435" s="516">
        <v>0</v>
      </c>
      <c r="T435" s="516">
        <v>0</v>
      </c>
      <c r="U435" s="517"/>
      <c r="V435" s="342">
        <v>0</v>
      </c>
      <c r="W435" s="518">
        <v>0</v>
      </c>
    </row>
    <row r="436" spans="1:23" x14ac:dyDescent="0.25">
      <c r="A436" s="515">
        <v>431</v>
      </c>
      <c r="B436" t="s">
        <v>452</v>
      </c>
      <c r="C436" s="308"/>
      <c r="D436" s="308" t="s">
        <v>16</v>
      </c>
      <c r="F436" s="516">
        <v>0</v>
      </c>
      <c r="G436" s="516">
        <v>0</v>
      </c>
      <c r="H436" s="516">
        <v>0</v>
      </c>
      <c r="I436" s="517"/>
      <c r="J436" s="516">
        <v>0</v>
      </c>
      <c r="K436" s="516">
        <v>0</v>
      </c>
      <c r="L436" s="516">
        <v>0</v>
      </c>
      <c r="M436" s="517"/>
      <c r="N436" s="342">
        <v>0</v>
      </c>
      <c r="O436" s="518">
        <v>0</v>
      </c>
      <c r="P436" s="518">
        <v>0</v>
      </c>
      <c r="Q436" s="519"/>
      <c r="R436" s="516">
        <v>0</v>
      </c>
      <c r="S436" s="516">
        <v>0</v>
      </c>
      <c r="T436" s="516">
        <v>0</v>
      </c>
      <c r="U436" s="517"/>
      <c r="V436" s="342">
        <v>0</v>
      </c>
      <c r="W436" s="518">
        <v>0</v>
      </c>
    </row>
    <row r="437" spans="1:23" x14ac:dyDescent="0.25">
      <c r="A437" s="515">
        <v>432</v>
      </c>
      <c r="B437" t="s">
        <v>454</v>
      </c>
      <c r="C437" s="308" t="s">
        <v>18</v>
      </c>
      <c r="D437" s="308" t="s">
        <v>16</v>
      </c>
      <c r="F437" s="516">
        <v>4</v>
      </c>
      <c r="G437" s="516">
        <v>110358</v>
      </c>
      <c r="H437" s="516">
        <v>120</v>
      </c>
      <c r="I437" s="517"/>
      <c r="J437" s="516">
        <v>0</v>
      </c>
      <c r="K437" s="516">
        <v>0</v>
      </c>
      <c r="L437" s="516">
        <v>0</v>
      </c>
      <c r="M437" s="517"/>
      <c r="N437" s="342">
        <v>4</v>
      </c>
      <c r="O437" s="518">
        <v>110358</v>
      </c>
      <c r="P437" s="518">
        <v>120</v>
      </c>
      <c r="Q437" s="519"/>
      <c r="R437" s="516">
        <v>0</v>
      </c>
      <c r="S437" s="516">
        <v>0</v>
      </c>
      <c r="T437" s="516">
        <v>0</v>
      </c>
      <c r="U437" s="517"/>
      <c r="V437" s="342">
        <v>4</v>
      </c>
      <c r="W437" s="518">
        <v>110358</v>
      </c>
    </row>
    <row r="438" spans="1:23" x14ac:dyDescent="0.25">
      <c r="A438" s="515">
        <v>433</v>
      </c>
      <c r="B438" t="s">
        <v>455</v>
      </c>
      <c r="C438" s="308" t="s">
        <v>18</v>
      </c>
      <c r="D438" s="308" t="s">
        <v>16</v>
      </c>
      <c r="F438" s="516">
        <v>2</v>
      </c>
      <c r="G438" s="516">
        <v>54341.919999999998</v>
      </c>
      <c r="H438" s="516">
        <v>60</v>
      </c>
      <c r="I438" s="517"/>
      <c r="J438" s="516">
        <v>0</v>
      </c>
      <c r="K438" s="516">
        <v>0</v>
      </c>
      <c r="L438" s="516">
        <v>0</v>
      </c>
      <c r="M438" s="517"/>
      <c r="N438" s="342">
        <v>2</v>
      </c>
      <c r="O438" s="518">
        <v>54341.919999999998</v>
      </c>
      <c r="P438" s="518">
        <v>60</v>
      </c>
      <c r="Q438" s="519"/>
      <c r="R438" s="516">
        <v>0</v>
      </c>
      <c r="S438" s="516">
        <v>0</v>
      </c>
      <c r="T438" s="516">
        <v>0</v>
      </c>
      <c r="U438" s="517"/>
      <c r="V438" s="342">
        <v>2</v>
      </c>
      <c r="W438" s="518">
        <v>54341.919999999998</v>
      </c>
    </row>
    <row r="439" spans="1:23" x14ac:dyDescent="0.25">
      <c r="A439" s="515">
        <v>434</v>
      </c>
      <c r="B439" t="s">
        <v>456</v>
      </c>
      <c r="C439" s="308" t="s">
        <v>25</v>
      </c>
      <c r="D439" s="308" t="s">
        <v>20</v>
      </c>
      <c r="F439" s="516">
        <v>11</v>
      </c>
      <c r="G439" s="516">
        <v>11880</v>
      </c>
      <c r="H439" s="516">
        <v>165</v>
      </c>
      <c r="I439" s="517"/>
      <c r="J439" s="516">
        <v>0</v>
      </c>
      <c r="K439" s="516">
        <v>0</v>
      </c>
      <c r="L439" s="516">
        <v>0</v>
      </c>
      <c r="M439" s="517"/>
      <c r="N439" s="342">
        <v>11</v>
      </c>
      <c r="O439" s="518">
        <v>11880</v>
      </c>
      <c r="P439" s="518">
        <v>165</v>
      </c>
      <c r="Q439" s="519"/>
      <c r="R439" s="516">
        <v>0</v>
      </c>
      <c r="S439" s="516">
        <v>0</v>
      </c>
      <c r="T439" s="516">
        <v>0</v>
      </c>
      <c r="U439" s="517"/>
      <c r="V439" s="342">
        <v>11</v>
      </c>
      <c r="W439" s="518">
        <v>11880</v>
      </c>
    </row>
    <row r="440" spans="1:23" x14ac:dyDescent="0.25">
      <c r="A440" s="515">
        <v>435</v>
      </c>
      <c r="B440" t="s">
        <v>457</v>
      </c>
      <c r="C440" s="308" t="s">
        <v>41</v>
      </c>
      <c r="D440" s="308" t="s">
        <v>703</v>
      </c>
      <c r="F440" s="516">
        <v>0</v>
      </c>
      <c r="G440" s="516">
        <v>0</v>
      </c>
      <c r="H440" s="516">
        <v>0</v>
      </c>
      <c r="I440" s="517"/>
      <c r="J440" s="516">
        <v>0</v>
      </c>
      <c r="K440" s="516">
        <v>0</v>
      </c>
      <c r="L440" s="516">
        <v>0</v>
      </c>
      <c r="M440" s="517"/>
      <c r="N440" s="342">
        <v>0</v>
      </c>
      <c r="O440" s="518">
        <v>0</v>
      </c>
      <c r="P440" s="518">
        <v>0</v>
      </c>
      <c r="Q440" s="519"/>
      <c r="R440" s="516">
        <v>0</v>
      </c>
      <c r="S440" s="516">
        <v>0</v>
      </c>
      <c r="T440" s="516">
        <v>0</v>
      </c>
      <c r="U440" s="517"/>
      <c r="V440" s="342">
        <v>0</v>
      </c>
      <c r="W440" s="518">
        <v>0</v>
      </c>
    </row>
    <row r="441" spans="1:23" x14ac:dyDescent="0.25">
      <c r="A441" s="515">
        <v>436</v>
      </c>
      <c r="B441" t="s">
        <v>458</v>
      </c>
      <c r="C441" s="308" t="s">
        <v>18</v>
      </c>
      <c r="D441" s="308" t="s">
        <v>16</v>
      </c>
      <c r="F441" s="516">
        <v>0</v>
      </c>
      <c r="G441" s="516">
        <v>0</v>
      </c>
      <c r="H441" s="516">
        <v>0</v>
      </c>
      <c r="I441" s="517"/>
      <c r="J441" s="516">
        <v>0</v>
      </c>
      <c r="K441" s="516">
        <v>0</v>
      </c>
      <c r="L441" s="516">
        <v>0</v>
      </c>
      <c r="M441" s="517"/>
      <c r="N441" s="342">
        <v>0</v>
      </c>
      <c r="O441" s="518">
        <v>0</v>
      </c>
      <c r="P441" s="518">
        <v>0</v>
      </c>
      <c r="Q441" s="519"/>
      <c r="R441" s="516">
        <v>0</v>
      </c>
      <c r="S441" s="516">
        <v>0</v>
      </c>
      <c r="T441" s="516">
        <v>0</v>
      </c>
      <c r="U441" s="517"/>
      <c r="V441" s="342">
        <v>0</v>
      </c>
      <c r="W441" s="518">
        <v>0</v>
      </c>
    </row>
    <row r="442" spans="1:23" x14ac:dyDescent="0.25">
      <c r="A442" s="515">
        <v>437</v>
      </c>
      <c r="B442" t="s">
        <v>459</v>
      </c>
      <c r="C442" s="308" t="s">
        <v>15</v>
      </c>
      <c r="D442" s="308" t="s">
        <v>20</v>
      </c>
      <c r="F442" s="516">
        <v>0</v>
      </c>
      <c r="G442" s="516">
        <v>0</v>
      </c>
      <c r="H442" s="516">
        <v>0</v>
      </c>
      <c r="I442" s="517"/>
      <c r="J442" s="516">
        <v>0</v>
      </c>
      <c r="K442" s="516">
        <v>0</v>
      </c>
      <c r="L442" s="516">
        <v>0</v>
      </c>
      <c r="M442" s="517"/>
      <c r="N442" s="342">
        <v>0</v>
      </c>
      <c r="O442" s="518">
        <v>0</v>
      </c>
      <c r="P442" s="518">
        <v>0</v>
      </c>
      <c r="Q442" s="519"/>
      <c r="R442" s="516">
        <v>0</v>
      </c>
      <c r="S442" s="516">
        <v>0</v>
      </c>
      <c r="T442" s="516">
        <v>0</v>
      </c>
      <c r="U442" s="517"/>
      <c r="V442" s="342">
        <v>0</v>
      </c>
      <c r="W442" s="518">
        <v>0</v>
      </c>
    </row>
    <row r="443" spans="1:23" x14ac:dyDescent="0.25">
      <c r="A443" s="515">
        <v>438</v>
      </c>
      <c r="B443" t="s">
        <v>460</v>
      </c>
      <c r="C443" s="308" t="s">
        <v>98</v>
      </c>
      <c r="D443" s="308" t="s">
        <v>20</v>
      </c>
      <c r="F443" s="516">
        <v>0</v>
      </c>
      <c r="G443" s="516">
        <v>0</v>
      </c>
      <c r="H443" s="516">
        <v>0</v>
      </c>
      <c r="I443" s="517"/>
      <c r="J443" s="516">
        <v>0</v>
      </c>
      <c r="K443" s="516">
        <v>0</v>
      </c>
      <c r="L443" s="516">
        <v>0</v>
      </c>
      <c r="M443" s="517"/>
      <c r="N443" s="342">
        <v>0</v>
      </c>
      <c r="O443" s="518">
        <v>0</v>
      </c>
      <c r="P443" s="518">
        <v>0</v>
      </c>
      <c r="Q443" s="519"/>
      <c r="R443" s="516">
        <v>0</v>
      </c>
      <c r="S443" s="516">
        <v>0</v>
      </c>
      <c r="T443" s="516">
        <v>0</v>
      </c>
      <c r="U443" s="517"/>
      <c r="V443" s="342">
        <v>0</v>
      </c>
      <c r="W443" s="518">
        <v>0</v>
      </c>
    </row>
    <row r="444" spans="1:23" x14ac:dyDescent="0.25">
      <c r="A444" s="515">
        <v>439</v>
      </c>
      <c r="B444" t="s">
        <v>461</v>
      </c>
      <c r="C444" s="308" t="s">
        <v>15</v>
      </c>
      <c r="D444" s="308" t="s">
        <v>20</v>
      </c>
      <c r="F444" s="516">
        <v>12</v>
      </c>
      <c r="G444" s="516">
        <v>38761.47</v>
      </c>
      <c r="H444" s="516">
        <v>120</v>
      </c>
      <c r="I444" s="517"/>
      <c r="J444" s="516">
        <v>0</v>
      </c>
      <c r="K444" s="516">
        <v>0</v>
      </c>
      <c r="L444" s="516">
        <v>0</v>
      </c>
      <c r="M444" s="517"/>
      <c r="N444" s="342">
        <v>12</v>
      </c>
      <c r="O444" s="518">
        <v>38761.47</v>
      </c>
      <c r="P444" s="518">
        <v>120</v>
      </c>
      <c r="Q444" s="519"/>
      <c r="R444" s="516">
        <v>0</v>
      </c>
      <c r="S444" s="516">
        <v>0</v>
      </c>
      <c r="T444" s="516">
        <v>0</v>
      </c>
      <c r="U444" s="517"/>
      <c r="V444" s="342">
        <v>12</v>
      </c>
      <c r="W444" s="518">
        <v>38761.47</v>
      </c>
    </row>
    <row r="445" spans="1:23" x14ac:dyDescent="0.25">
      <c r="A445" s="515">
        <v>440</v>
      </c>
      <c r="B445" t="s">
        <v>462</v>
      </c>
      <c r="C445" s="308" t="s">
        <v>25</v>
      </c>
      <c r="D445" s="308" t="s">
        <v>16</v>
      </c>
      <c r="F445" s="516">
        <v>0</v>
      </c>
      <c r="G445" s="516">
        <v>0</v>
      </c>
      <c r="H445" s="516">
        <v>0</v>
      </c>
      <c r="I445" s="517"/>
      <c r="J445" s="516">
        <v>0</v>
      </c>
      <c r="K445" s="516">
        <v>0</v>
      </c>
      <c r="L445" s="516">
        <v>0</v>
      </c>
      <c r="M445" s="517"/>
      <c r="N445" s="342">
        <v>0</v>
      </c>
      <c r="O445" s="518">
        <v>0</v>
      </c>
      <c r="P445" s="518">
        <v>0</v>
      </c>
      <c r="Q445" s="519"/>
      <c r="R445" s="516">
        <v>0</v>
      </c>
      <c r="S445" s="516">
        <v>0</v>
      </c>
      <c r="T445" s="516">
        <v>0</v>
      </c>
      <c r="U445" s="517"/>
      <c r="V445" s="342">
        <v>0</v>
      </c>
      <c r="W445" s="518">
        <v>0</v>
      </c>
    </row>
    <row r="446" spans="1:23" x14ac:dyDescent="0.25">
      <c r="A446" s="515">
        <v>441</v>
      </c>
      <c r="B446" t="s">
        <v>463</v>
      </c>
      <c r="C446" s="308" t="s">
        <v>15</v>
      </c>
      <c r="D446" s="308" t="s">
        <v>16</v>
      </c>
      <c r="F446" s="516">
        <v>0</v>
      </c>
      <c r="G446" s="516">
        <v>0</v>
      </c>
      <c r="H446" s="516">
        <v>0</v>
      </c>
      <c r="I446" s="517"/>
      <c r="J446" s="516">
        <v>0</v>
      </c>
      <c r="K446" s="516">
        <v>0</v>
      </c>
      <c r="L446" s="516">
        <v>0</v>
      </c>
      <c r="M446" s="517"/>
      <c r="N446" s="342">
        <v>0</v>
      </c>
      <c r="O446" s="518">
        <v>0</v>
      </c>
      <c r="P446" s="518">
        <v>0</v>
      </c>
      <c r="Q446" s="519"/>
      <c r="R446" s="516">
        <v>0</v>
      </c>
      <c r="S446" s="516">
        <v>0</v>
      </c>
      <c r="T446" s="516">
        <v>0</v>
      </c>
      <c r="U446" s="517"/>
      <c r="V446" s="342">
        <v>0</v>
      </c>
      <c r="W446" s="518">
        <v>0</v>
      </c>
    </row>
    <row r="447" spans="1:23" x14ac:dyDescent="0.25">
      <c r="A447" s="515">
        <v>442</v>
      </c>
      <c r="B447" t="s">
        <v>464</v>
      </c>
      <c r="C447" s="308" t="s">
        <v>15</v>
      </c>
      <c r="D447" s="308" t="s">
        <v>43</v>
      </c>
      <c r="F447" s="516">
        <v>0</v>
      </c>
      <c r="G447" s="516">
        <v>0</v>
      </c>
      <c r="H447" s="516">
        <v>0</v>
      </c>
      <c r="I447" s="517"/>
      <c r="J447" s="516">
        <v>0</v>
      </c>
      <c r="K447" s="516">
        <v>0</v>
      </c>
      <c r="L447" s="516">
        <v>0</v>
      </c>
      <c r="M447" s="517"/>
      <c r="N447" s="342">
        <v>0</v>
      </c>
      <c r="O447" s="518">
        <v>0</v>
      </c>
      <c r="P447" s="518">
        <v>0</v>
      </c>
      <c r="Q447" s="519"/>
      <c r="R447" s="516">
        <v>0</v>
      </c>
      <c r="S447" s="516">
        <v>0</v>
      </c>
      <c r="T447" s="516">
        <v>0</v>
      </c>
      <c r="U447" s="517"/>
      <c r="V447" s="342">
        <v>0</v>
      </c>
      <c r="W447" s="518">
        <v>0</v>
      </c>
    </row>
    <row r="448" spans="1:23" x14ac:dyDescent="0.25">
      <c r="A448" s="515">
        <v>443</v>
      </c>
      <c r="B448" t="s">
        <v>3230</v>
      </c>
      <c r="C448" s="308" t="s">
        <v>242</v>
      </c>
      <c r="D448" s="308" t="s">
        <v>3231</v>
      </c>
      <c r="F448" s="516">
        <v>0</v>
      </c>
      <c r="G448" s="516">
        <v>0</v>
      </c>
      <c r="H448" s="516">
        <v>0</v>
      </c>
      <c r="I448" s="517"/>
      <c r="J448" s="516">
        <v>0</v>
      </c>
      <c r="K448" s="516">
        <v>0</v>
      </c>
      <c r="L448" s="516">
        <v>0</v>
      </c>
      <c r="M448" s="517"/>
      <c r="N448" s="342">
        <v>0</v>
      </c>
      <c r="O448" s="518">
        <v>0</v>
      </c>
      <c r="P448" s="518">
        <v>0</v>
      </c>
      <c r="Q448" s="519"/>
      <c r="R448" s="516">
        <v>0</v>
      </c>
      <c r="S448" s="516">
        <v>0</v>
      </c>
      <c r="T448" s="516">
        <v>0</v>
      </c>
      <c r="U448" s="517"/>
      <c r="V448" s="342">
        <v>0</v>
      </c>
      <c r="W448" s="518">
        <v>0</v>
      </c>
    </row>
    <row r="449" spans="1:23" x14ac:dyDescent="0.25">
      <c r="A449" s="515">
        <v>444</v>
      </c>
      <c r="B449" t="s">
        <v>465</v>
      </c>
      <c r="C449" s="308" t="s">
        <v>15</v>
      </c>
      <c r="D449" s="308" t="s">
        <v>380</v>
      </c>
      <c r="F449" s="516">
        <v>104</v>
      </c>
      <c r="G449" s="516">
        <v>3394287.29</v>
      </c>
      <c r="H449" s="516">
        <v>3120</v>
      </c>
      <c r="I449" s="517"/>
      <c r="J449" s="516">
        <v>0</v>
      </c>
      <c r="K449" s="516">
        <v>0</v>
      </c>
      <c r="L449" s="516">
        <v>0</v>
      </c>
      <c r="M449" s="517"/>
      <c r="N449" s="342">
        <v>104</v>
      </c>
      <c r="O449" s="518">
        <v>3394287.29</v>
      </c>
      <c r="P449" s="518">
        <v>3120</v>
      </c>
      <c r="Q449" s="519"/>
      <c r="R449" s="516">
        <v>0</v>
      </c>
      <c r="S449" s="516">
        <v>0</v>
      </c>
      <c r="T449" s="516">
        <v>0</v>
      </c>
      <c r="U449" s="517"/>
      <c r="V449" s="342">
        <v>104</v>
      </c>
      <c r="W449" s="518">
        <v>3394287.29</v>
      </c>
    </row>
    <row r="450" spans="1:23" x14ac:dyDescent="0.25">
      <c r="A450" s="515">
        <v>445</v>
      </c>
      <c r="B450" t="s">
        <v>2178</v>
      </c>
      <c r="C450" s="308" t="s">
        <v>27</v>
      </c>
      <c r="D450" s="308" t="s">
        <v>16</v>
      </c>
      <c r="F450" s="516">
        <v>13</v>
      </c>
      <c r="G450" s="516">
        <v>240527</v>
      </c>
      <c r="H450" s="516">
        <v>390</v>
      </c>
      <c r="I450" s="517"/>
      <c r="J450" s="516">
        <v>0</v>
      </c>
      <c r="K450" s="516">
        <v>0</v>
      </c>
      <c r="L450" s="516">
        <v>0</v>
      </c>
      <c r="M450" s="517"/>
      <c r="N450" s="342">
        <v>13</v>
      </c>
      <c r="O450" s="518">
        <v>240527</v>
      </c>
      <c r="P450" s="518">
        <v>390</v>
      </c>
      <c r="Q450" s="519"/>
      <c r="R450" s="516">
        <v>0</v>
      </c>
      <c r="S450" s="516">
        <v>0</v>
      </c>
      <c r="T450" s="516">
        <v>0</v>
      </c>
      <c r="U450" s="517"/>
      <c r="V450" s="342">
        <v>13</v>
      </c>
      <c r="W450" s="518">
        <v>240527</v>
      </c>
    </row>
    <row r="451" spans="1:23" x14ac:dyDescent="0.25">
      <c r="A451" s="515">
        <v>446</v>
      </c>
      <c r="B451" t="s">
        <v>466</v>
      </c>
      <c r="C451" s="308" t="s">
        <v>351</v>
      </c>
      <c r="D451" s="308" t="s">
        <v>16</v>
      </c>
      <c r="F451" s="516">
        <v>29</v>
      </c>
      <c r="G451" s="516">
        <v>317619.15000000002</v>
      </c>
      <c r="H451" s="516">
        <v>971.5</v>
      </c>
      <c r="I451" s="517"/>
      <c r="J451" s="516">
        <v>0</v>
      </c>
      <c r="K451" s="516">
        <v>0</v>
      </c>
      <c r="L451" s="516">
        <v>0</v>
      </c>
      <c r="M451" s="517"/>
      <c r="N451" s="342">
        <v>29</v>
      </c>
      <c r="O451" s="518">
        <v>317619.15000000002</v>
      </c>
      <c r="P451" s="518">
        <v>971.5</v>
      </c>
      <c r="Q451" s="519"/>
      <c r="R451" s="516">
        <v>0</v>
      </c>
      <c r="S451" s="516">
        <v>0</v>
      </c>
      <c r="T451" s="516">
        <v>0</v>
      </c>
      <c r="U451" s="517"/>
      <c r="V451" s="342">
        <v>29</v>
      </c>
      <c r="W451" s="518">
        <v>317619.15000000002</v>
      </c>
    </row>
    <row r="452" spans="1:23" x14ac:dyDescent="0.25">
      <c r="A452" s="515">
        <v>447</v>
      </c>
      <c r="B452" t="s">
        <v>467</v>
      </c>
      <c r="C452" s="308" t="s">
        <v>41</v>
      </c>
      <c r="D452" s="308" t="s">
        <v>380</v>
      </c>
      <c r="F452" s="516">
        <v>7</v>
      </c>
      <c r="G452" s="516">
        <v>243753.21000000002</v>
      </c>
      <c r="H452" s="516">
        <v>440</v>
      </c>
      <c r="I452" s="517"/>
      <c r="J452" s="516">
        <v>0</v>
      </c>
      <c r="K452" s="516">
        <v>0</v>
      </c>
      <c r="L452" s="516">
        <v>0</v>
      </c>
      <c r="M452" s="517"/>
      <c r="N452" s="342">
        <v>7</v>
      </c>
      <c r="O452" s="518">
        <v>243753.21000000002</v>
      </c>
      <c r="P452" s="518">
        <v>440</v>
      </c>
      <c r="Q452" s="519"/>
      <c r="R452" s="516">
        <v>0</v>
      </c>
      <c r="S452" s="516">
        <v>0</v>
      </c>
      <c r="T452" s="516">
        <v>0</v>
      </c>
      <c r="U452" s="517"/>
      <c r="V452" s="342">
        <v>7</v>
      </c>
      <c r="W452" s="518">
        <v>243753.21000000002</v>
      </c>
    </row>
    <row r="453" spans="1:23" x14ac:dyDescent="0.25">
      <c r="A453" s="515">
        <v>448</v>
      </c>
      <c r="B453" t="s">
        <v>468</v>
      </c>
      <c r="C453" s="308" t="s">
        <v>329</v>
      </c>
      <c r="D453" s="308" t="s">
        <v>16</v>
      </c>
      <c r="F453" s="516">
        <v>0</v>
      </c>
      <c r="G453" s="516">
        <v>0</v>
      </c>
      <c r="H453" s="516">
        <v>0</v>
      </c>
      <c r="I453" s="517"/>
      <c r="J453" s="516">
        <v>0</v>
      </c>
      <c r="K453" s="516">
        <v>0</v>
      </c>
      <c r="L453" s="516">
        <v>0</v>
      </c>
      <c r="M453" s="517"/>
      <c r="N453" s="342">
        <v>0</v>
      </c>
      <c r="O453" s="518">
        <v>0</v>
      </c>
      <c r="P453" s="518">
        <v>0</v>
      </c>
      <c r="Q453" s="519"/>
      <c r="R453" s="516">
        <v>0</v>
      </c>
      <c r="S453" s="516">
        <v>0</v>
      </c>
      <c r="T453" s="516">
        <v>0</v>
      </c>
      <c r="U453" s="517"/>
      <c r="V453" s="342">
        <v>0</v>
      </c>
      <c r="W453" s="518">
        <v>0</v>
      </c>
    </row>
    <row r="454" spans="1:23" x14ac:dyDescent="0.25">
      <c r="A454" s="515">
        <v>449</v>
      </c>
      <c r="B454" t="s">
        <v>469</v>
      </c>
      <c r="C454" s="308" t="s">
        <v>355</v>
      </c>
      <c r="D454" s="308" t="s">
        <v>16</v>
      </c>
      <c r="F454" s="516">
        <v>0</v>
      </c>
      <c r="G454" s="516">
        <v>0</v>
      </c>
      <c r="H454" s="516">
        <v>0</v>
      </c>
      <c r="I454" s="517"/>
      <c r="J454" s="516">
        <v>0</v>
      </c>
      <c r="K454" s="516">
        <v>0</v>
      </c>
      <c r="L454" s="516">
        <v>0</v>
      </c>
      <c r="M454" s="517"/>
      <c r="N454" s="342">
        <v>0</v>
      </c>
      <c r="O454" s="518">
        <v>0</v>
      </c>
      <c r="P454" s="518">
        <v>0</v>
      </c>
      <c r="Q454" s="519"/>
      <c r="R454" s="516">
        <v>0</v>
      </c>
      <c r="S454" s="516">
        <v>0</v>
      </c>
      <c r="T454" s="516">
        <v>0</v>
      </c>
      <c r="U454" s="517"/>
      <c r="V454" s="342">
        <v>0</v>
      </c>
      <c r="W454" s="518">
        <v>0</v>
      </c>
    </row>
    <row r="455" spans="1:23" x14ac:dyDescent="0.25">
      <c r="A455" s="515">
        <v>450</v>
      </c>
      <c r="B455" t="s">
        <v>470</v>
      </c>
      <c r="C455" s="308" t="s">
        <v>355</v>
      </c>
      <c r="D455" s="308" t="s">
        <v>16</v>
      </c>
      <c r="F455" s="516">
        <v>0</v>
      </c>
      <c r="G455" s="516">
        <v>0</v>
      </c>
      <c r="H455" s="516">
        <v>0</v>
      </c>
      <c r="I455" s="517"/>
      <c r="J455" s="516">
        <v>0</v>
      </c>
      <c r="K455" s="516">
        <v>0</v>
      </c>
      <c r="L455" s="516">
        <v>0</v>
      </c>
      <c r="M455" s="517"/>
      <c r="N455" s="342">
        <v>0</v>
      </c>
      <c r="O455" s="518">
        <v>0</v>
      </c>
      <c r="P455" s="518">
        <v>0</v>
      </c>
      <c r="Q455" s="519"/>
      <c r="R455" s="516">
        <v>0</v>
      </c>
      <c r="S455" s="516">
        <v>0</v>
      </c>
      <c r="T455" s="516">
        <v>0</v>
      </c>
      <c r="U455" s="517"/>
      <c r="V455" s="342">
        <v>0</v>
      </c>
      <c r="W455" s="518">
        <v>0</v>
      </c>
    </row>
    <row r="456" spans="1:23" x14ac:dyDescent="0.25">
      <c r="A456" s="515">
        <v>451</v>
      </c>
      <c r="B456" t="s">
        <v>471</v>
      </c>
      <c r="C456" s="308" t="s">
        <v>51</v>
      </c>
      <c r="D456" s="308" t="s">
        <v>16</v>
      </c>
      <c r="F456" s="516">
        <v>45</v>
      </c>
      <c r="G456" s="516">
        <v>1665613</v>
      </c>
      <c r="H456" s="516">
        <v>3850</v>
      </c>
      <c r="I456" s="517"/>
      <c r="J456" s="516">
        <v>0</v>
      </c>
      <c r="K456" s="516">
        <v>0</v>
      </c>
      <c r="L456" s="516">
        <v>0</v>
      </c>
      <c r="M456" s="517"/>
      <c r="N456" s="342">
        <v>45</v>
      </c>
      <c r="O456" s="518">
        <v>1665613</v>
      </c>
      <c r="P456" s="518">
        <v>3850</v>
      </c>
      <c r="Q456" s="519"/>
      <c r="R456" s="516">
        <v>0</v>
      </c>
      <c r="S456" s="516">
        <v>0</v>
      </c>
      <c r="T456" s="516">
        <v>0</v>
      </c>
      <c r="U456" s="517"/>
      <c r="V456" s="342">
        <v>45</v>
      </c>
      <c r="W456" s="518">
        <v>1665613</v>
      </c>
    </row>
    <row r="457" spans="1:23" x14ac:dyDescent="0.25">
      <c r="A457" s="515">
        <v>452</v>
      </c>
      <c r="B457" t="s">
        <v>2444</v>
      </c>
      <c r="C457" s="308"/>
      <c r="D457" s="308"/>
      <c r="F457" s="516">
        <v>0</v>
      </c>
      <c r="G457" s="516">
        <v>0</v>
      </c>
      <c r="H457" s="516">
        <v>0</v>
      </c>
      <c r="I457" s="517"/>
      <c r="J457" s="516">
        <v>0</v>
      </c>
      <c r="K457" s="516">
        <v>0</v>
      </c>
      <c r="L457" s="516">
        <v>0</v>
      </c>
      <c r="M457" s="517"/>
      <c r="N457" s="342">
        <v>0</v>
      </c>
      <c r="O457" s="518">
        <v>0</v>
      </c>
      <c r="P457" s="518">
        <v>0</v>
      </c>
      <c r="Q457" s="519"/>
      <c r="R457" s="516">
        <v>0</v>
      </c>
      <c r="S457" s="516">
        <v>0</v>
      </c>
      <c r="T457" s="516">
        <v>0</v>
      </c>
      <c r="U457" s="517"/>
      <c r="V457" s="342">
        <v>0</v>
      </c>
      <c r="W457" s="518">
        <v>0</v>
      </c>
    </row>
    <row r="458" spans="1:23" x14ac:dyDescent="0.25">
      <c r="A458" s="515">
        <v>453</v>
      </c>
      <c r="B458" t="s">
        <v>472</v>
      </c>
      <c r="C458" s="308" t="s">
        <v>108</v>
      </c>
      <c r="D458" s="308" t="s">
        <v>16</v>
      </c>
      <c r="F458" s="516">
        <v>0</v>
      </c>
      <c r="G458" s="516">
        <v>0</v>
      </c>
      <c r="H458" s="516">
        <v>0</v>
      </c>
      <c r="I458" s="517"/>
      <c r="J458" s="516">
        <v>0</v>
      </c>
      <c r="K458" s="516">
        <v>0</v>
      </c>
      <c r="L458" s="516">
        <v>0</v>
      </c>
      <c r="M458" s="517"/>
      <c r="N458" s="342">
        <v>0</v>
      </c>
      <c r="O458" s="518">
        <v>0</v>
      </c>
      <c r="P458" s="518">
        <v>0</v>
      </c>
      <c r="Q458" s="519"/>
      <c r="R458" s="516">
        <v>0</v>
      </c>
      <c r="S458" s="516">
        <v>0</v>
      </c>
      <c r="T458" s="516">
        <v>0</v>
      </c>
      <c r="U458" s="517"/>
      <c r="V458" s="342">
        <v>0</v>
      </c>
      <c r="W458" s="518">
        <v>0</v>
      </c>
    </row>
    <row r="459" spans="1:23" x14ac:dyDescent="0.25">
      <c r="A459" s="515">
        <v>454</v>
      </c>
      <c r="B459" t="s">
        <v>473</v>
      </c>
      <c r="C459" s="308" t="s">
        <v>27</v>
      </c>
      <c r="D459" s="308" t="s">
        <v>16</v>
      </c>
      <c r="F459" s="516">
        <v>0</v>
      </c>
      <c r="G459" s="516">
        <v>0</v>
      </c>
      <c r="H459" s="516">
        <v>0</v>
      </c>
      <c r="I459" s="517"/>
      <c r="J459" s="516">
        <v>0</v>
      </c>
      <c r="K459" s="516">
        <v>0</v>
      </c>
      <c r="L459" s="516">
        <v>0</v>
      </c>
      <c r="M459" s="517"/>
      <c r="N459" s="342">
        <v>0</v>
      </c>
      <c r="O459" s="518">
        <v>0</v>
      </c>
      <c r="P459" s="518">
        <v>0</v>
      </c>
      <c r="Q459" s="519"/>
      <c r="R459" s="516">
        <v>0</v>
      </c>
      <c r="S459" s="516">
        <v>0</v>
      </c>
      <c r="T459" s="516">
        <v>0</v>
      </c>
      <c r="U459" s="517"/>
      <c r="V459" s="342">
        <v>0</v>
      </c>
      <c r="W459" s="518">
        <v>0</v>
      </c>
    </row>
    <row r="460" spans="1:23" x14ac:dyDescent="0.25">
      <c r="A460" s="515">
        <v>455</v>
      </c>
      <c r="B460" t="s">
        <v>2235</v>
      </c>
      <c r="C460" s="308" t="s">
        <v>18</v>
      </c>
      <c r="D460" s="308" t="s">
        <v>16</v>
      </c>
      <c r="F460" s="516">
        <v>5</v>
      </c>
      <c r="G460" s="516">
        <v>83948</v>
      </c>
      <c r="H460" s="516">
        <v>250</v>
      </c>
      <c r="I460" s="517"/>
      <c r="J460" s="516">
        <v>0</v>
      </c>
      <c r="K460" s="516">
        <v>0</v>
      </c>
      <c r="L460" s="516">
        <v>0</v>
      </c>
      <c r="M460" s="517"/>
      <c r="N460" s="342">
        <v>5</v>
      </c>
      <c r="O460" s="518">
        <v>83948</v>
      </c>
      <c r="P460" s="518">
        <v>250</v>
      </c>
      <c r="Q460" s="519"/>
      <c r="R460" s="516">
        <v>0</v>
      </c>
      <c r="S460" s="516">
        <v>0</v>
      </c>
      <c r="T460" s="516">
        <v>0</v>
      </c>
      <c r="U460" s="517"/>
      <c r="V460" s="342">
        <v>5</v>
      </c>
      <c r="W460" s="518">
        <v>83948</v>
      </c>
    </row>
    <row r="461" spans="1:23" x14ac:dyDescent="0.25">
      <c r="A461" s="515">
        <v>456</v>
      </c>
      <c r="B461" t="s">
        <v>474</v>
      </c>
      <c r="C461" s="308" t="s">
        <v>148</v>
      </c>
      <c r="D461" s="308" t="s">
        <v>475</v>
      </c>
      <c r="F461" s="516">
        <v>172</v>
      </c>
      <c r="G461" s="516">
        <v>3954976.7900000005</v>
      </c>
      <c r="H461" s="516">
        <v>6880</v>
      </c>
      <c r="I461" s="517"/>
      <c r="J461" s="516">
        <v>0</v>
      </c>
      <c r="K461" s="516">
        <v>0</v>
      </c>
      <c r="L461" s="516">
        <v>0</v>
      </c>
      <c r="M461" s="517"/>
      <c r="N461" s="342">
        <v>172</v>
      </c>
      <c r="O461" s="518">
        <v>3954976.7900000005</v>
      </c>
      <c r="P461" s="518">
        <v>6880</v>
      </c>
      <c r="Q461" s="519"/>
      <c r="R461" s="516">
        <v>0</v>
      </c>
      <c r="S461" s="516">
        <v>0</v>
      </c>
      <c r="T461" s="516">
        <v>0</v>
      </c>
      <c r="U461" s="517"/>
      <c r="V461" s="342">
        <v>172</v>
      </c>
      <c r="W461" s="518">
        <v>3954976.7900000005</v>
      </c>
    </row>
    <row r="462" spans="1:23" x14ac:dyDescent="0.25">
      <c r="A462" s="515">
        <v>457</v>
      </c>
      <c r="B462" t="s">
        <v>476</v>
      </c>
      <c r="C462" s="308" t="s">
        <v>351</v>
      </c>
      <c r="D462" s="308" t="s">
        <v>16</v>
      </c>
      <c r="F462" s="516">
        <v>9</v>
      </c>
      <c r="G462" s="516">
        <v>450000</v>
      </c>
      <c r="H462" s="516">
        <v>450</v>
      </c>
      <c r="I462" s="517"/>
      <c r="J462" s="516">
        <v>0</v>
      </c>
      <c r="K462" s="516">
        <v>0</v>
      </c>
      <c r="L462" s="516">
        <v>0</v>
      </c>
      <c r="M462" s="517"/>
      <c r="N462" s="342">
        <v>9</v>
      </c>
      <c r="O462" s="518">
        <v>450000</v>
      </c>
      <c r="P462" s="518">
        <v>450</v>
      </c>
      <c r="Q462" s="519"/>
      <c r="R462" s="516">
        <v>0</v>
      </c>
      <c r="S462" s="516">
        <v>0</v>
      </c>
      <c r="T462" s="516">
        <v>0</v>
      </c>
      <c r="U462" s="517"/>
      <c r="V462" s="342">
        <v>9</v>
      </c>
      <c r="W462" s="518">
        <v>450000</v>
      </c>
    </row>
    <row r="463" spans="1:23" x14ac:dyDescent="0.25">
      <c r="A463" s="515">
        <v>458</v>
      </c>
      <c r="B463" t="s">
        <v>477</v>
      </c>
      <c r="C463" s="308" t="s">
        <v>41</v>
      </c>
      <c r="D463" s="308" t="s">
        <v>16</v>
      </c>
      <c r="F463" s="516">
        <v>104</v>
      </c>
      <c r="G463" s="516">
        <v>309675</v>
      </c>
      <c r="H463" s="516">
        <v>3120</v>
      </c>
      <c r="I463" s="517"/>
      <c r="J463" s="516">
        <v>0</v>
      </c>
      <c r="K463" s="516">
        <v>0</v>
      </c>
      <c r="L463" s="516">
        <v>0</v>
      </c>
      <c r="M463" s="517"/>
      <c r="N463" s="342">
        <v>104</v>
      </c>
      <c r="O463" s="518">
        <v>309675</v>
      </c>
      <c r="P463" s="518">
        <v>3120</v>
      </c>
      <c r="Q463" s="519"/>
      <c r="R463" s="516">
        <v>0</v>
      </c>
      <c r="S463" s="516">
        <v>0</v>
      </c>
      <c r="T463" s="516">
        <v>0</v>
      </c>
      <c r="U463" s="517"/>
      <c r="V463" s="342">
        <v>104</v>
      </c>
      <c r="W463" s="518">
        <v>309675</v>
      </c>
    </row>
    <row r="464" spans="1:23" x14ac:dyDescent="0.25">
      <c r="A464" s="515">
        <v>459</v>
      </c>
      <c r="B464" t="s">
        <v>478</v>
      </c>
      <c r="C464" s="308" t="s">
        <v>18</v>
      </c>
      <c r="D464" s="308" t="s">
        <v>16</v>
      </c>
      <c r="F464" s="516">
        <v>0</v>
      </c>
      <c r="G464" s="516">
        <v>0</v>
      </c>
      <c r="H464" s="516">
        <v>0</v>
      </c>
      <c r="I464" s="517"/>
      <c r="J464" s="516">
        <v>0</v>
      </c>
      <c r="K464" s="516">
        <v>0</v>
      </c>
      <c r="L464" s="516">
        <v>0</v>
      </c>
      <c r="M464" s="517"/>
      <c r="N464" s="342">
        <v>0</v>
      </c>
      <c r="O464" s="518">
        <v>0</v>
      </c>
      <c r="P464" s="518">
        <v>0</v>
      </c>
      <c r="Q464" s="519"/>
      <c r="R464" s="516">
        <v>0</v>
      </c>
      <c r="S464" s="516">
        <v>0</v>
      </c>
      <c r="T464" s="516">
        <v>0</v>
      </c>
      <c r="U464" s="517"/>
      <c r="V464" s="342">
        <v>0</v>
      </c>
      <c r="W464" s="518">
        <v>0</v>
      </c>
    </row>
    <row r="465" spans="1:23" x14ac:dyDescent="0.25">
      <c r="A465" s="515">
        <v>460</v>
      </c>
      <c r="B465" t="s">
        <v>2988</v>
      </c>
      <c r="C465" s="308" t="s">
        <v>366</v>
      </c>
      <c r="D465" s="308" t="s">
        <v>480</v>
      </c>
      <c r="F465" s="516">
        <v>2</v>
      </c>
      <c r="G465" s="516">
        <v>235539</v>
      </c>
      <c r="H465" s="516">
        <v>180</v>
      </c>
      <c r="I465" s="517"/>
      <c r="J465" s="516">
        <v>0</v>
      </c>
      <c r="K465" s="516">
        <v>0</v>
      </c>
      <c r="L465" s="516">
        <v>0</v>
      </c>
      <c r="M465" s="517"/>
      <c r="N465" s="342">
        <v>2</v>
      </c>
      <c r="O465" s="518">
        <v>235539</v>
      </c>
      <c r="P465" s="518">
        <v>180</v>
      </c>
      <c r="Q465" s="519"/>
      <c r="R465" s="516">
        <v>0</v>
      </c>
      <c r="S465" s="516">
        <v>0</v>
      </c>
      <c r="T465" s="516">
        <v>0</v>
      </c>
      <c r="U465" s="517"/>
      <c r="V465" s="342">
        <v>2</v>
      </c>
      <c r="W465" s="518">
        <v>235539</v>
      </c>
    </row>
    <row r="466" spans="1:23" x14ac:dyDescent="0.25">
      <c r="A466" s="515">
        <v>461</v>
      </c>
      <c r="B466" t="s">
        <v>2445</v>
      </c>
      <c r="C466" s="308" t="s">
        <v>366</v>
      </c>
      <c r="D466" s="308" t="s">
        <v>480</v>
      </c>
      <c r="F466" s="516">
        <v>5</v>
      </c>
      <c r="G466" s="516">
        <v>204775</v>
      </c>
      <c r="H466" s="516">
        <v>210</v>
      </c>
      <c r="I466" s="517"/>
      <c r="J466" s="516">
        <v>0</v>
      </c>
      <c r="K466" s="516">
        <v>0</v>
      </c>
      <c r="L466" s="516">
        <v>0</v>
      </c>
      <c r="M466" s="517"/>
      <c r="N466" s="342">
        <v>5</v>
      </c>
      <c r="O466" s="518">
        <v>204775</v>
      </c>
      <c r="P466" s="518">
        <v>210</v>
      </c>
      <c r="Q466" s="519"/>
      <c r="R466" s="516">
        <v>0</v>
      </c>
      <c r="S466" s="516">
        <v>0</v>
      </c>
      <c r="T466" s="516">
        <v>0</v>
      </c>
      <c r="U466" s="517"/>
      <c r="V466" s="342">
        <v>5</v>
      </c>
      <c r="W466" s="518">
        <v>204775</v>
      </c>
    </row>
    <row r="467" spans="1:23" x14ac:dyDescent="0.25">
      <c r="A467" s="515">
        <v>462</v>
      </c>
      <c r="B467" t="s">
        <v>2447</v>
      </c>
      <c r="C467" s="308" t="s">
        <v>366</v>
      </c>
      <c r="D467" s="308" t="s">
        <v>480</v>
      </c>
      <c r="F467" s="516">
        <v>0</v>
      </c>
      <c r="G467" s="516">
        <v>0</v>
      </c>
      <c r="H467" s="516">
        <v>0</v>
      </c>
      <c r="I467" s="517"/>
      <c r="J467" s="516">
        <v>0</v>
      </c>
      <c r="K467" s="516">
        <v>0</v>
      </c>
      <c r="L467" s="516">
        <v>0</v>
      </c>
      <c r="M467" s="517"/>
      <c r="N467" s="342">
        <v>0</v>
      </c>
      <c r="O467" s="518">
        <v>0</v>
      </c>
      <c r="P467" s="518">
        <v>0</v>
      </c>
      <c r="Q467" s="519"/>
      <c r="R467" s="516">
        <v>0</v>
      </c>
      <c r="S467" s="516">
        <v>0</v>
      </c>
      <c r="T467" s="516">
        <v>0</v>
      </c>
      <c r="U467" s="517"/>
      <c r="V467" s="342">
        <v>0</v>
      </c>
      <c r="W467" s="518">
        <v>0</v>
      </c>
    </row>
    <row r="468" spans="1:23" x14ac:dyDescent="0.25">
      <c r="A468" s="515">
        <v>463</v>
      </c>
      <c r="B468" t="s">
        <v>2963</v>
      </c>
      <c r="C468" s="308" t="s">
        <v>366</v>
      </c>
      <c r="D468" s="308" t="s">
        <v>480</v>
      </c>
      <c r="F468" s="516">
        <v>2</v>
      </c>
      <c r="G468" s="516">
        <v>296289</v>
      </c>
      <c r="H468" s="516">
        <v>210</v>
      </c>
      <c r="I468" s="517"/>
      <c r="J468" s="516">
        <v>0</v>
      </c>
      <c r="K468" s="516">
        <v>0</v>
      </c>
      <c r="L468" s="516">
        <v>0</v>
      </c>
      <c r="M468" s="517"/>
      <c r="N468" s="342">
        <v>2</v>
      </c>
      <c r="O468" s="518">
        <v>296289</v>
      </c>
      <c r="P468" s="518">
        <v>210</v>
      </c>
      <c r="Q468" s="519"/>
      <c r="R468" s="516">
        <v>0</v>
      </c>
      <c r="S468" s="516">
        <v>0</v>
      </c>
      <c r="T468" s="516">
        <v>0</v>
      </c>
      <c r="U468" s="517"/>
      <c r="V468" s="342">
        <v>2</v>
      </c>
      <c r="W468" s="518">
        <v>296289</v>
      </c>
    </row>
    <row r="469" spans="1:23" x14ac:dyDescent="0.25">
      <c r="A469" s="515">
        <v>464</v>
      </c>
      <c r="B469" t="s">
        <v>2427</v>
      </c>
      <c r="C469" s="308" t="s">
        <v>366</v>
      </c>
      <c r="D469" s="308" t="s">
        <v>480</v>
      </c>
      <c r="F469" s="516">
        <v>10</v>
      </c>
      <c r="G469" s="516">
        <v>1612595</v>
      </c>
      <c r="H469" s="516">
        <v>1080</v>
      </c>
      <c r="I469" s="517"/>
      <c r="J469" s="516">
        <v>0</v>
      </c>
      <c r="K469" s="516">
        <v>0</v>
      </c>
      <c r="L469" s="516">
        <v>0</v>
      </c>
      <c r="M469" s="517"/>
      <c r="N469" s="342">
        <v>10</v>
      </c>
      <c r="O469" s="518">
        <v>1612595</v>
      </c>
      <c r="P469" s="518">
        <v>1080</v>
      </c>
      <c r="Q469" s="519"/>
      <c r="R469" s="516">
        <v>0</v>
      </c>
      <c r="S469" s="516">
        <v>0</v>
      </c>
      <c r="T469" s="516">
        <v>0</v>
      </c>
      <c r="U469" s="517"/>
      <c r="V469" s="342">
        <v>10</v>
      </c>
      <c r="W469" s="518">
        <v>1612595</v>
      </c>
    </row>
    <row r="470" spans="1:23" x14ac:dyDescent="0.25">
      <c r="A470" s="515">
        <v>465</v>
      </c>
      <c r="B470" t="s">
        <v>2446</v>
      </c>
      <c r="C470" s="308" t="s">
        <v>366</v>
      </c>
      <c r="D470" s="308" t="s">
        <v>480</v>
      </c>
      <c r="F470" s="516">
        <v>5</v>
      </c>
      <c r="G470" s="516">
        <v>336778</v>
      </c>
      <c r="H470" s="516">
        <v>300</v>
      </c>
      <c r="I470" s="517"/>
      <c r="J470" s="516">
        <v>0</v>
      </c>
      <c r="K470" s="516">
        <v>0</v>
      </c>
      <c r="L470" s="516">
        <v>0</v>
      </c>
      <c r="M470" s="517"/>
      <c r="N470" s="342">
        <v>5</v>
      </c>
      <c r="O470" s="518">
        <v>336778</v>
      </c>
      <c r="P470" s="518">
        <v>300</v>
      </c>
      <c r="Q470" s="519"/>
      <c r="R470" s="516">
        <v>0</v>
      </c>
      <c r="S470" s="516">
        <v>0</v>
      </c>
      <c r="T470" s="516">
        <v>0</v>
      </c>
      <c r="U470" s="517"/>
      <c r="V470" s="342">
        <v>5</v>
      </c>
      <c r="W470" s="518">
        <v>336778</v>
      </c>
    </row>
    <row r="471" spans="1:23" x14ac:dyDescent="0.25">
      <c r="A471" s="515">
        <v>466</v>
      </c>
      <c r="B471" t="s">
        <v>3189</v>
      </c>
      <c r="C471" s="308" t="s">
        <v>529</v>
      </c>
      <c r="D471" s="308"/>
      <c r="F471" s="516">
        <v>1</v>
      </c>
      <c r="G471" s="516">
        <v>180066</v>
      </c>
      <c r="H471" s="516">
        <v>120</v>
      </c>
      <c r="I471" s="517"/>
      <c r="J471" s="516">
        <v>0</v>
      </c>
      <c r="K471" s="516">
        <v>0</v>
      </c>
      <c r="L471" s="516">
        <v>0</v>
      </c>
      <c r="M471" s="517"/>
      <c r="N471" s="342">
        <v>1</v>
      </c>
      <c r="O471" s="518">
        <v>180066</v>
      </c>
      <c r="P471" s="518">
        <v>120</v>
      </c>
      <c r="Q471" s="519"/>
      <c r="R471" s="516">
        <v>0</v>
      </c>
      <c r="S471" s="516">
        <v>0</v>
      </c>
      <c r="T471" s="516">
        <v>0</v>
      </c>
      <c r="U471" s="517"/>
      <c r="V471" s="342">
        <v>1</v>
      </c>
      <c r="W471" s="518">
        <v>180066</v>
      </c>
    </row>
    <row r="472" spans="1:23" x14ac:dyDescent="0.25">
      <c r="A472" s="515">
        <v>467</v>
      </c>
      <c r="B472" t="s">
        <v>2439</v>
      </c>
      <c r="C472" s="308" t="s">
        <v>366</v>
      </c>
      <c r="D472" s="308" t="s">
        <v>480</v>
      </c>
      <c r="F472" s="516">
        <v>18</v>
      </c>
      <c r="G472" s="516">
        <v>377682</v>
      </c>
      <c r="H472" s="516">
        <v>600</v>
      </c>
      <c r="I472" s="517"/>
      <c r="J472" s="516">
        <v>0</v>
      </c>
      <c r="K472" s="516">
        <v>0</v>
      </c>
      <c r="L472" s="516">
        <v>0</v>
      </c>
      <c r="M472" s="517"/>
      <c r="N472" s="342">
        <v>18</v>
      </c>
      <c r="O472" s="518">
        <v>377682</v>
      </c>
      <c r="P472" s="518">
        <v>600</v>
      </c>
      <c r="Q472" s="519"/>
      <c r="R472" s="516">
        <v>0</v>
      </c>
      <c r="S472" s="516">
        <v>0</v>
      </c>
      <c r="T472" s="516">
        <v>0</v>
      </c>
      <c r="U472" s="517"/>
      <c r="V472" s="342">
        <v>18</v>
      </c>
      <c r="W472" s="518">
        <v>377682</v>
      </c>
    </row>
    <row r="473" spans="1:23" x14ac:dyDescent="0.25">
      <c r="A473" s="515">
        <v>468</v>
      </c>
      <c r="B473" t="s">
        <v>2428</v>
      </c>
      <c r="C473" s="308" t="s">
        <v>366</v>
      </c>
      <c r="D473" s="308" t="s">
        <v>480</v>
      </c>
      <c r="F473" s="516">
        <v>29</v>
      </c>
      <c r="G473" s="516">
        <v>931375</v>
      </c>
      <c r="H473" s="516">
        <v>1050</v>
      </c>
      <c r="I473" s="517"/>
      <c r="J473" s="516">
        <v>0</v>
      </c>
      <c r="K473" s="516">
        <v>0</v>
      </c>
      <c r="L473" s="516">
        <v>0</v>
      </c>
      <c r="M473" s="517"/>
      <c r="N473" s="342">
        <v>29</v>
      </c>
      <c r="O473" s="518">
        <v>931375</v>
      </c>
      <c r="P473" s="518">
        <v>1050</v>
      </c>
      <c r="Q473" s="519"/>
      <c r="R473" s="516">
        <v>0</v>
      </c>
      <c r="S473" s="516">
        <v>0</v>
      </c>
      <c r="T473" s="516">
        <v>0</v>
      </c>
      <c r="U473" s="517"/>
      <c r="V473" s="342">
        <v>29</v>
      </c>
      <c r="W473" s="518">
        <v>931375</v>
      </c>
    </row>
    <row r="474" spans="1:23" x14ac:dyDescent="0.25">
      <c r="A474" s="515">
        <v>469</v>
      </c>
      <c r="B474" t="s">
        <v>2448</v>
      </c>
      <c r="C474" s="308" t="s">
        <v>366</v>
      </c>
      <c r="D474" s="308" t="s">
        <v>480</v>
      </c>
      <c r="F474" s="516">
        <v>3</v>
      </c>
      <c r="G474" s="516">
        <v>717082</v>
      </c>
      <c r="H474" s="516">
        <v>480</v>
      </c>
      <c r="I474" s="517"/>
      <c r="J474" s="516">
        <v>0</v>
      </c>
      <c r="K474" s="516">
        <v>0</v>
      </c>
      <c r="L474" s="516">
        <v>0</v>
      </c>
      <c r="M474" s="517"/>
      <c r="N474" s="342">
        <v>3</v>
      </c>
      <c r="O474" s="518">
        <v>717082</v>
      </c>
      <c r="P474" s="518">
        <v>480</v>
      </c>
      <c r="Q474" s="519"/>
      <c r="R474" s="516">
        <v>0</v>
      </c>
      <c r="S474" s="516">
        <v>0</v>
      </c>
      <c r="T474" s="516">
        <v>0</v>
      </c>
      <c r="U474" s="517"/>
      <c r="V474" s="342">
        <v>3</v>
      </c>
      <c r="W474" s="518">
        <v>717082</v>
      </c>
    </row>
    <row r="475" spans="1:23" x14ac:dyDescent="0.25">
      <c r="A475" s="515">
        <v>470</v>
      </c>
      <c r="B475" t="s">
        <v>2426</v>
      </c>
      <c r="C475" s="308" t="s">
        <v>366</v>
      </c>
      <c r="D475" s="308" t="s">
        <v>480</v>
      </c>
      <c r="F475" s="516">
        <v>67</v>
      </c>
      <c r="G475" s="516">
        <v>2362351</v>
      </c>
      <c r="H475" s="516">
        <v>2460</v>
      </c>
      <c r="I475" s="517"/>
      <c r="J475" s="516">
        <v>0</v>
      </c>
      <c r="K475" s="516">
        <v>0</v>
      </c>
      <c r="L475" s="516">
        <v>0</v>
      </c>
      <c r="M475" s="517"/>
      <c r="N475" s="342">
        <v>67</v>
      </c>
      <c r="O475" s="518">
        <v>2362351</v>
      </c>
      <c r="P475" s="518">
        <v>2460</v>
      </c>
      <c r="Q475" s="519"/>
      <c r="R475" s="516">
        <v>0</v>
      </c>
      <c r="S475" s="516">
        <v>0</v>
      </c>
      <c r="T475" s="516">
        <v>0</v>
      </c>
      <c r="U475" s="517"/>
      <c r="V475" s="342">
        <v>67</v>
      </c>
      <c r="W475" s="518">
        <v>2362351</v>
      </c>
    </row>
    <row r="476" spans="1:23" x14ac:dyDescent="0.25">
      <c r="A476" s="515">
        <v>471</v>
      </c>
      <c r="B476" t="s">
        <v>2429</v>
      </c>
      <c r="C476" s="308" t="s">
        <v>366</v>
      </c>
      <c r="D476" s="308" t="s">
        <v>480</v>
      </c>
      <c r="F476" s="516">
        <v>47</v>
      </c>
      <c r="G476" s="516">
        <v>1222857.5</v>
      </c>
      <c r="H476" s="516">
        <v>1530</v>
      </c>
      <c r="I476" s="517"/>
      <c r="J476" s="516">
        <v>0</v>
      </c>
      <c r="K476" s="516">
        <v>0</v>
      </c>
      <c r="L476" s="516">
        <v>0</v>
      </c>
      <c r="M476" s="517"/>
      <c r="N476" s="342">
        <v>47</v>
      </c>
      <c r="O476" s="518">
        <v>1222857.5</v>
      </c>
      <c r="P476" s="518">
        <v>1530</v>
      </c>
      <c r="Q476" s="519"/>
      <c r="R476" s="516">
        <v>0</v>
      </c>
      <c r="S476" s="516">
        <v>0</v>
      </c>
      <c r="T476" s="516">
        <v>0</v>
      </c>
      <c r="U476" s="517"/>
      <c r="V476" s="342">
        <v>47</v>
      </c>
      <c r="W476" s="518">
        <v>1222857.5</v>
      </c>
    </row>
    <row r="477" spans="1:23" x14ac:dyDescent="0.25">
      <c r="A477" s="515">
        <v>472</v>
      </c>
      <c r="B477" t="s">
        <v>2440</v>
      </c>
      <c r="C477" s="308" t="s">
        <v>366</v>
      </c>
      <c r="D477" s="308" t="s">
        <v>480</v>
      </c>
      <c r="F477" s="516">
        <v>42</v>
      </c>
      <c r="G477" s="516">
        <v>986636.02999999991</v>
      </c>
      <c r="H477" s="516">
        <v>1500</v>
      </c>
      <c r="I477" s="517"/>
      <c r="J477" s="516">
        <v>0</v>
      </c>
      <c r="K477" s="516">
        <v>0</v>
      </c>
      <c r="L477" s="516">
        <v>0</v>
      </c>
      <c r="M477" s="517"/>
      <c r="N477" s="342">
        <v>42</v>
      </c>
      <c r="O477" s="518">
        <v>986636.02999999991</v>
      </c>
      <c r="P477" s="518">
        <v>1500</v>
      </c>
      <c r="Q477" s="519"/>
      <c r="R477" s="516">
        <v>0</v>
      </c>
      <c r="S477" s="516">
        <v>0</v>
      </c>
      <c r="T477" s="516">
        <v>0</v>
      </c>
      <c r="U477" s="517"/>
      <c r="V477" s="342">
        <v>42</v>
      </c>
      <c r="W477" s="518">
        <v>986636.02999999991</v>
      </c>
    </row>
    <row r="478" spans="1:23" x14ac:dyDescent="0.25">
      <c r="A478" s="515">
        <v>473</v>
      </c>
      <c r="B478" t="s">
        <v>497</v>
      </c>
      <c r="C478" s="308" t="s">
        <v>15</v>
      </c>
      <c r="D478" s="308" t="s">
        <v>16</v>
      </c>
      <c r="F478" s="516">
        <v>0</v>
      </c>
      <c r="G478" s="516">
        <v>0</v>
      </c>
      <c r="H478" s="516">
        <v>0</v>
      </c>
      <c r="I478" s="517"/>
      <c r="J478" s="516">
        <v>0</v>
      </c>
      <c r="K478" s="516">
        <v>0</v>
      </c>
      <c r="L478" s="516">
        <v>0</v>
      </c>
      <c r="M478" s="517"/>
      <c r="N478" s="342">
        <v>0</v>
      </c>
      <c r="O478" s="518">
        <v>0</v>
      </c>
      <c r="P478" s="518">
        <v>0</v>
      </c>
      <c r="Q478" s="519"/>
      <c r="R478" s="516">
        <v>0</v>
      </c>
      <c r="S478" s="516">
        <v>0</v>
      </c>
      <c r="T478" s="516">
        <v>0</v>
      </c>
      <c r="U478" s="517"/>
      <c r="V478" s="342">
        <v>0</v>
      </c>
      <c r="W478" s="518">
        <v>0</v>
      </c>
    </row>
    <row r="479" spans="1:23" x14ac:dyDescent="0.25">
      <c r="A479" s="515">
        <v>474</v>
      </c>
      <c r="B479" t="s">
        <v>479</v>
      </c>
      <c r="C479" s="308"/>
      <c r="D479" s="308" t="s">
        <v>480</v>
      </c>
      <c r="F479" s="516">
        <v>0</v>
      </c>
      <c r="G479" s="516">
        <v>0</v>
      </c>
      <c r="H479" s="516">
        <v>0</v>
      </c>
      <c r="I479" s="517"/>
      <c r="J479" s="516">
        <v>0</v>
      </c>
      <c r="K479" s="516">
        <v>0</v>
      </c>
      <c r="L479" s="516">
        <v>0</v>
      </c>
      <c r="M479" s="517"/>
      <c r="N479" s="342">
        <v>0</v>
      </c>
      <c r="O479" s="518">
        <v>0</v>
      </c>
      <c r="P479" s="518">
        <v>0</v>
      </c>
      <c r="Q479" s="519"/>
      <c r="R479" s="516">
        <v>0</v>
      </c>
      <c r="S479" s="516">
        <v>0</v>
      </c>
      <c r="T479" s="516">
        <v>0</v>
      </c>
      <c r="U479" s="517"/>
      <c r="V479" s="342">
        <v>0</v>
      </c>
      <c r="W479" s="518">
        <v>0</v>
      </c>
    </row>
    <row r="480" spans="1:23" x14ac:dyDescent="0.25">
      <c r="A480" s="515">
        <v>475</v>
      </c>
      <c r="B480" t="s">
        <v>3187</v>
      </c>
      <c r="C480" s="308" t="s">
        <v>366</v>
      </c>
      <c r="D480" s="308" t="s">
        <v>3188</v>
      </c>
      <c r="F480" s="516">
        <v>1</v>
      </c>
      <c r="G480" s="516">
        <v>76483.64</v>
      </c>
      <c r="H480" s="516">
        <v>60</v>
      </c>
      <c r="I480" s="517"/>
      <c r="J480" s="516">
        <v>0</v>
      </c>
      <c r="K480" s="516">
        <v>0</v>
      </c>
      <c r="L480" s="516">
        <v>0</v>
      </c>
      <c r="M480" s="517"/>
      <c r="N480" s="342">
        <v>1</v>
      </c>
      <c r="O480" s="518">
        <v>76483.64</v>
      </c>
      <c r="P480" s="518">
        <v>60</v>
      </c>
      <c r="Q480" s="519"/>
      <c r="R480" s="516">
        <v>0</v>
      </c>
      <c r="S480" s="516">
        <v>0</v>
      </c>
      <c r="T480" s="516">
        <v>0</v>
      </c>
      <c r="U480" s="517"/>
      <c r="V480" s="342">
        <v>1</v>
      </c>
      <c r="W480" s="518">
        <v>76483.64</v>
      </c>
    </row>
    <row r="481" spans="1:23" x14ac:dyDescent="0.25">
      <c r="A481" s="515">
        <v>476</v>
      </c>
      <c r="B481" t="s">
        <v>2220</v>
      </c>
      <c r="C481" s="308"/>
      <c r="D481" s="308"/>
      <c r="F481" s="516">
        <v>2</v>
      </c>
      <c r="G481" s="516">
        <v>10000</v>
      </c>
      <c r="H481" s="516">
        <v>30</v>
      </c>
      <c r="I481" s="517"/>
      <c r="J481" s="516">
        <v>0</v>
      </c>
      <c r="K481" s="516">
        <v>0</v>
      </c>
      <c r="L481" s="516">
        <v>0</v>
      </c>
      <c r="M481" s="517"/>
      <c r="N481" s="342">
        <v>2</v>
      </c>
      <c r="O481" s="518">
        <v>10000</v>
      </c>
      <c r="P481" s="518">
        <v>30</v>
      </c>
      <c r="Q481" s="519"/>
      <c r="R481" s="516">
        <v>0</v>
      </c>
      <c r="S481" s="516">
        <v>0</v>
      </c>
      <c r="T481" s="516">
        <v>0</v>
      </c>
      <c r="U481" s="517"/>
      <c r="V481" s="342">
        <v>2</v>
      </c>
      <c r="W481" s="518">
        <v>10000</v>
      </c>
    </row>
    <row r="482" spans="1:23" x14ac:dyDescent="0.25">
      <c r="A482" s="515">
        <v>477</v>
      </c>
      <c r="B482" t="s">
        <v>481</v>
      </c>
      <c r="C482" s="308"/>
      <c r="D482" s="308" t="s">
        <v>480</v>
      </c>
      <c r="F482" s="516">
        <v>4</v>
      </c>
      <c r="G482" s="516">
        <v>82915</v>
      </c>
      <c r="H482" s="516">
        <v>145</v>
      </c>
      <c r="I482" s="517"/>
      <c r="J482" s="516">
        <v>0</v>
      </c>
      <c r="K482" s="516">
        <v>0</v>
      </c>
      <c r="L482" s="516">
        <v>0</v>
      </c>
      <c r="M482" s="517"/>
      <c r="N482" s="342">
        <v>4</v>
      </c>
      <c r="O482" s="518">
        <v>82915</v>
      </c>
      <c r="P482" s="518">
        <v>145</v>
      </c>
      <c r="Q482" s="519"/>
      <c r="R482" s="516">
        <v>0</v>
      </c>
      <c r="S482" s="516">
        <v>0</v>
      </c>
      <c r="T482" s="516">
        <v>0</v>
      </c>
      <c r="U482" s="517"/>
      <c r="V482" s="342">
        <v>4</v>
      </c>
      <c r="W482" s="518">
        <v>82915</v>
      </c>
    </row>
    <row r="483" spans="1:23" x14ac:dyDescent="0.25">
      <c r="A483" s="515">
        <v>478</v>
      </c>
      <c r="B483" t="s">
        <v>482</v>
      </c>
      <c r="C483" s="308" t="s">
        <v>15</v>
      </c>
      <c r="D483" s="308" t="s">
        <v>45</v>
      </c>
      <c r="F483" s="516">
        <v>31</v>
      </c>
      <c r="G483" s="516">
        <v>781595</v>
      </c>
      <c r="H483" s="516">
        <v>1000</v>
      </c>
      <c r="I483" s="517"/>
      <c r="J483" s="516">
        <v>0</v>
      </c>
      <c r="K483" s="516">
        <v>0</v>
      </c>
      <c r="L483" s="516">
        <v>0</v>
      </c>
      <c r="M483" s="517"/>
      <c r="N483" s="342">
        <v>31</v>
      </c>
      <c r="O483" s="518">
        <v>781595</v>
      </c>
      <c r="P483" s="518">
        <v>1000</v>
      </c>
      <c r="Q483" s="519"/>
      <c r="R483" s="516">
        <v>0</v>
      </c>
      <c r="S483" s="516">
        <v>0</v>
      </c>
      <c r="T483" s="516">
        <v>0</v>
      </c>
      <c r="U483" s="517"/>
      <c r="V483" s="342">
        <v>31</v>
      </c>
      <c r="W483" s="518">
        <v>781595</v>
      </c>
    </row>
    <row r="484" spans="1:23" x14ac:dyDescent="0.25">
      <c r="A484" s="515">
        <v>479</v>
      </c>
      <c r="B484" t="s">
        <v>483</v>
      </c>
      <c r="C484" s="308" t="s">
        <v>15</v>
      </c>
      <c r="D484" s="308" t="s">
        <v>45</v>
      </c>
      <c r="F484" s="516">
        <v>5</v>
      </c>
      <c r="G484" s="516">
        <v>88200</v>
      </c>
      <c r="H484" s="516">
        <v>140</v>
      </c>
      <c r="I484" s="517"/>
      <c r="J484" s="516">
        <v>0</v>
      </c>
      <c r="K484" s="516">
        <v>0</v>
      </c>
      <c r="L484" s="516">
        <v>0</v>
      </c>
      <c r="M484" s="517"/>
      <c r="N484" s="342">
        <v>5</v>
      </c>
      <c r="O484" s="518">
        <v>88200</v>
      </c>
      <c r="P484" s="518">
        <v>140</v>
      </c>
      <c r="Q484" s="519"/>
      <c r="R484" s="516">
        <v>0</v>
      </c>
      <c r="S484" s="516">
        <v>0</v>
      </c>
      <c r="T484" s="516">
        <v>0</v>
      </c>
      <c r="U484" s="517"/>
      <c r="V484" s="342">
        <v>5</v>
      </c>
      <c r="W484" s="518">
        <v>88200</v>
      </c>
    </row>
    <row r="485" spans="1:23" x14ac:dyDescent="0.25">
      <c r="A485" s="515">
        <v>480</v>
      </c>
      <c r="B485" t="s">
        <v>484</v>
      </c>
      <c r="C485" s="308" t="s">
        <v>15</v>
      </c>
      <c r="D485" s="308" t="s">
        <v>45</v>
      </c>
      <c r="F485" s="516">
        <v>3</v>
      </c>
      <c r="G485" s="516">
        <v>27531</v>
      </c>
      <c r="H485" s="516">
        <v>75</v>
      </c>
      <c r="I485" s="517"/>
      <c r="J485" s="516">
        <v>0</v>
      </c>
      <c r="K485" s="516">
        <v>0</v>
      </c>
      <c r="L485" s="516">
        <v>0</v>
      </c>
      <c r="M485" s="517"/>
      <c r="N485" s="342">
        <v>3</v>
      </c>
      <c r="O485" s="518">
        <v>27531</v>
      </c>
      <c r="P485" s="518">
        <v>75</v>
      </c>
      <c r="Q485" s="519"/>
      <c r="R485" s="516">
        <v>0</v>
      </c>
      <c r="S485" s="516">
        <v>0</v>
      </c>
      <c r="T485" s="516">
        <v>0</v>
      </c>
      <c r="U485" s="517"/>
      <c r="V485" s="342">
        <v>3</v>
      </c>
      <c r="W485" s="518">
        <v>27531</v>
      </c>
    </row>
    <row r="486" spans="1:23" x14ac:dyDescent="0.25">
      <c r="A486" s="515">
        <v>481</v>
      </c>
      <c r="B486" t="s">
        <v>485</v>
      </c>
      <c r="C486" s="308" t="s">
        <v>15</v>
      </c>
      <c r="D486" s="308" t="s">
        <v>45</v>
      </c>
      <c r="F486" s="516">
        <v>43</v>
      </c>
      <c r="G486" s="516">
        <v>1250143.5</v>
      </c>
      <c r="H486" s="516">
        <v>1455</v>
      </c>
      <c r="I486" s="517"/>
      <c r="J486" s="516">
        <v>0</v>
      </c>
      <c r="K486" s="516">
        <v>0</v>
      </c>
      <c r="L486" s="516">
        <v>0</v>
      </c>
      <c r="M486" s="517"/>
      <c r="N486" s="342">
        <v>43</v>
      </c>
      <c r="O486" s="518">
        <v>1250143.5</v>
      </c>
      <c r="P486" s="518">
        <v>1455</v>
      </c>
      <c r="Q486" s="519"/>
      <c r="R486" s="516">
        <v>0</v>
      </c>
      <c r="S486" s="516">
        <v>0</v>
      </c>
      <c r="T486" s="516">
        <v>0</v>
      </c>
      <c r="U486" s="517"/>
      <c r="V486" s="342">
        <v>43</v>
      </c>
      <c r="W486" s="518">
        <v>1250143.5</v>
      </c>
    </row>
    <row r="487" spans="1:23" x14ac:dyDescent="0.25">
      <c r="A487" s="515">
        <v>482</v>
      </c>
      <c r="B487" t="s">
        <v>486</v>
      </c>
      <c r="C487" s="308" t="s">
        <v>15</v>
      </c>
      <c r="D487" s="308" t="s">
        <v>45</v>
      </c>
      <c r="F487" s="516">
        <v>6</v>
      </c>
      <c r="G487" s="516">
        <v>281300</v>
      </c>
      <c r="H487" s="516">
        <v>240</v>
      </c>
      <c r="I487" s="517"/>
      <c r="J487" s="516">
        <v>0</v>
      </c>
      <c r="K487" s="516">
        <v>0</v>
      </c>
      <c r="L487" s="516">
        <v>0</v>
      </c>
      <c r="M487" s="517"/>
      <c r="N487" s="342">
        <v>6</v>
      </c>
      <c r="O487" s="518">
        <v>281300</v>
      </c>
      <c r="P487" s="518">
        <v>240</v>
      </c>
      <c r="Q487" s="519"/>
      <c r="R487" s="516">
        <v>0</v>
      </c>
      <c r="S487" s="516">
        <v>0</v>
      </c>
      <c r="T487" s="516">
        <v>0</v>
      </c>
      <c r="U487" s="517"/>
      <c r="V487" s="342">
        <v>6</v>
      </c>
      <c r="W487" s="518">
        <v>281300</v>
      </c>
    </row>
    <row r="488" spans="1:23" x14ac:dyDescent="0.25">
      <c r="A488" s="515">
        <v>483</v>
      </c>
      <c r="B488" t="s">
        <v>487</v>
      </c>
      <c r="C488" s="308" t="s">
        <v>15</v>
      </c>
      <c r="D488" s="308" t="s">
        <v>45</v>
      </c>
      <c r="F488" s="516">
        <v>4</v>
      </c>
      <c r="G488" s="516">
        <v>210345</v>
      </c>
      <c r="H488" s="516">
        <v>160</v>
      </c>
      <c r="I488" s="517"/>
      <c r="J488" s="516">
        <v>0</v>
      </c>
      <c r="K488" s="516">
        <v>0</v>
      </c>
      <c r="L488" s="516">
        <v>0</v>
      </c>
      <c r="M488" s="517"/>
      <c r="N488" s="342">
        <v>4</v>
      </c>
      <c r="O488" s="518">
        <v>210345</v>
      </c>
      <c r="P488" s="518">
        <v>160</v>
      </c>
      <c r="Q488" s="519"/>
      <c r="R488" s="516">
        <v>0</v>
      </c>
      <c r="S488" s="516">
        <v>0</v>
      </c>
      <c r="T488" s="516">
        <v>0</v>
      </c>
      <c r="U488" s="517"/>
      <c r="V488" s="342">
        <v>4</v>
      </c>
      <c r="W488" s="518">
        <v>210345</v>
      </c>
    </row>
    <row r="489" spans="1:23" x14ac:dyDescent="0.25">
      <c r="A489" s="515">
        <v>484</v>
      </c>
      <c r="B489" t="s">
        <v>488</v>
      </c>
      <c r="C489" s="308" t="s">
        <v>15</v>
      </c>
      <c r="D489" s="308" t="s">
        <v>45</v>
      </c>
      <c r="F489" s="516">
        <v>0</v>
      </c>
      <c r="G489" s="516">
        <v>0</v>
      </c>
      <c r="H489" s="516">
        <v>0</v>
      </c>
      <c r="I489" s="517"/>
      <c r="J489" s="516">
        <v>0</v>
      </c>
      <c r="K489" s="516">
        <v>0</v>
      </c>
      <c r="L489" s="516">
        <v>0</v>
      </c>
      <c r="M489" s="517"/>
      <c r="N489" s="342">
        <v>0</v>
      </c>
      <c r="O489" s="518">
        <v>0</v>
      </c>
      <c r="P489" s="518">
        <v>0</v>
      </c>
      <c r="Q489" s="519"/>
      <c r="R489" s="516">
        <v>0</v>
      </c>
      <c r="S489" s="516">
        <v>0</v>
      </c>
      <c r="T489" s="516">
        <v>0</v>
      </c>
      <c r="U489" s="517"/>
      <c r="V489" s="342">
        <v>0</v>
      </c>
      <c r="W489" s="518">
        <v>0</v>
      </c>
    </row>
    <row r="490" spans="1:23" x14ac:dyDescent="0.25">
      <c r="A490" s="515">
        <v>485</v>
      </c>
      <c r="B490" t="s">
        <v>2221</v>
      </c>
      <c r="C490" s="308" t="s">
        <v>136</v>
      </c>
      <c r="D490" s="308" t="s">
        <v>380</v>
      </c>
      <c r="F490" s="516">
        <v>0</v>
      </c>
      <c r="G490" s="516">
        <v>0</v>
      </c>
      <c r="H490" s="516">
        <v>0</v>
      </c>
      <c r="I490" s="517"/>
      <c r="J490" s="516">
        <v>0</v>
      </c>
      <c r="K490" s="516">
        <v>0</v>
      </c>
      <c r="L490" s="516">
        <v>0</v>
      </c>
      <c r="M490" s="517"/>
      <c r="N490" s="342">
        <v>0</v>
      </c>
      <c r="O490" s="518">
        <v>0</v>
      </c>
      <c r="P490" s="518">
        <v>0</v>
      </c>
      <c r="Q490" s="519"/>
      <c r="R490" s="516">
        <v>0</v>
      </c>
      <c r="S490" s="516">
        <v>0</v>
      </c>
      <c r="T490" s="516">
        <v>0</v>
      </c>
      <c r="U490" s="517"/>
      <c r="V490" s="342">
        <v>0</v>
      </c>
      <c r="W490" s="518">
        <v>0</v>
      </c>
    </row>
    <row r="491" spans="1:23" x14ac:dyDescent="0.25">
      <c r="A491" s="515">
        <v>486</v>
      </c>
      <c r="B491" t="s">
        <v>489</v>
      </c>
      <c r="C491" s="308" t="s">
        <v>18</v>
      </c>
      <c r="D491" s="308" t="s">
        <v>20</v>
      </c>
      <c r="F491" s="516">
        <v>61</v>
      </c>
      <c r="G491" s="516">
        <v>1523189.17</v>
      </c>
      <c r="H491" s="516">
        <v>2200</v>
      </c>
      <c r="I491" s="517"/>
      <c r="J491" s="516">
        <v>0</v>
      </c>
      <c r="K491" s="516">
        <v>0</v>
      </c>
      <c r="L491" s="516">
        <v>0</v>
      </c>
      <c r="M491" s="517"/>
      <c r="N491" s="342">
        <v>61</v>
      </c>
      <c r="O491" s="518">
        <v>1523189.17</v>
      </c>
      <c r="P491" s="518">
        <v>2200</v>
      </c>
      <c r="Q491" s="519"/>
      <c r="R491" s="516">
        <v>0</v>
      </c>
      <c r="S491" s="516">
        <v>0</v>
      </c>
      <c r="T491" s="516">
        <v>0</v>
      </c>
      <c r="U491" s="517"/>
      <c r="V491" s="342">
        <v>61</v>
      </c>
      <c r="W491" s="518">
        <v>1523189.17</v>
      </c>
    </row>
    <row r="492" spans="1:23" x14ac:dyDescent="0.25">
      <c r="A492" s="515">
        <v>487</v>
      </c>
      <c r="B492" t="s">
        <v>490</v>
      </c>
      <c r="C492" s="308" t="s">
        <v>15</v>
      </c>
      <c r="D492" s="308" t="s">
        <v>16</v>
      </c>
      <c r="F492" s="516">
        <v>2</v>
      </c>
      <c r="G492" s="516">
        <v>1713</v>
      </c>
      <c r="H492" s="516">
        <v>20</v>
      </c>
      <c r="I492" s="517"/>
      <c r="J492" s="516">
        <v>0</v>
      </c>
      <c r="K492" s="516">
        <v>0</v>
      </c>
      <c r="L492" s="516">
        <v>0</v>
      </c>
      <c r="M492" s="517"/>
      <c r="N492" s="342">
        <v>2</v>
      </c>
      <c r="O492" s="518">
        <v>1713</v>
      </c>
      <c r="P492" s="518">
        <v>20</v>
      </c>
      <c r="Q492" s="519"/>
      <c r="R492" s="516">
        <v>0</v>
      </c>
      <c r="S492" s="516">
        <v>0</v>
      </c>
      <c r="T492" s="516">
        <v>0</v>
      </c>
      <c r="U492" s="517"/>
      <c r="V492" s="342">
        <v>2</v>
      </c>
      <c r="W492" s="518">
        <v>1713</v>
      </c>
    </row>
    <row r="493" spans="1:23" x14ac:dyDescent="0.25">
      <c r="A493" s="515">
        <v>488</v>
      </c>
      <c r="B493" t="s">
        <v>491</v>
      </c>
      <c r="C493" s="308" t="s">
        <v>98</v>
      </c>
      <c r="D493" s="308" t="s">
        <v>16</v>
      </c>
      <c r="F493" s="516">
        <v>0</v>
      </c>
      <c r="G493" s="516">
        <v>0</v>
      </c>
      <c r="H493" s="516">
        <v>0</v>
      </c>
      <c r="I493" s="517"/>
      <c r="J493" s="516">
        <v>0</v>
      </c>
      <c r="K493" s="516">
        <v>0</v>
      </c>
      <c r="L493" s="516">
        <v>0</v>
      </c>
      <c r="M493" s="517"/>
      <c r="N493" s="342">
        <v>0</v>
      </c>
      <c r="O493" s="518">
        <v>0</v>
      </c>
      <c r="P493" s="518">
        <v>0</v>
      </c>
      <c r="Q493" s="519"/>
      <c r="R493" s="516">
        <v>0</v>
      </c>
      <c r="S493" s="516">
        <v>0</v>
      </c>
      <c r="T493" s="516">
        <v>0</v>
      </c>
      <c r="U493" s="517"/>
      <c r="V493" s="342">
        <v>0</v>
      </c>
      <c r="W493" s="518">
        <v>0</v>
      </c>
    </row>
    <row r="494" spans="1:23" x14ac:dyDescent="0.25">
      <c r="A494" s="515">
        <v>489</v>
      </c>
      <c r="B494" t="s">
        <v>492</v>
      </c>
      <c r="C494" s="308" t="s">
        <v>18</v>
      </c>
      <c r="D494" s="308" t="s">
        <v>16</v>
      </c>
      <c r="F494" s="516">
        <v>78</v>
      </c>
      <c r="G494" s="516">
        <v>6658403.8799999999</v>
      </c>
      <c r="H494" s="516">
        <v>2400</v>
      </c>
      <c r="I494" s="517"/>
      <c r="J494" s="516">
        <v>0</v>
      </c>
      <c r="K494" s="516">
        <v>0</v>
      </c>
      <c r="L494" s="516">
        <v>0</v>
      </c>
      <c r="M494" s="517"/>
      <c r="N494" s="342">
        <v>78</v>
      </c>
      <c r="O494" s="518">
        <v>6658403.8799999999</v>
      </c>
      <c r="P494" s="518">
        <v>2400</v>
      </c>
      <c r="Q494" s="519"/>
      <c r="R494" s="516">
        <v>0</v>
      </c>
      <c r="S494" s="516">
        <v>0</v>
      </c>
      <c r="T494" s="516">
        <v>0</v>
      </c>
      <c r="U494" s="517"/>
      <c r="V494" s="342">
        <v>78</v>
      </c>
      <c r="W494" s="518">
        <v>6658403.8799999999</v>
      </c>
    </row>
    <row r="495" spans="1:23" x14ac:dyDescent="0.25">
      <c r="A495" s="515">
        <v>490</v>
      </c>
      <c r="B495" t="s">
        <v>493</v>
      </c>
      <c r="C495" s="308" t="s">
        <v>18</v>
      </c>
      <c r="D495" s="308" t="s">
        <v>20</v>
      </c>
      <c r="F495" s="516">
        <v>43</v>
      </c>
      <c r="G495" s="516">
        <v>2836649.5</v>
      </c>
      <c r="H495" s="516">
        <v>1310</v>
      </c>
      <c r="I495" s="517"/>
      <c r="J495" s="516">
        <v>0</v>
      </c>
      <c r="K495" s="516">
        <v>0</v>
      </c>
      <c r="L495" s="516">
        <v>0</v>
      </c>
      <c r="M495" s="517"/>
      <c r="N495" s="342">
        <v>43</v>
      </c>
      <c r="O495" s="518">
        <v>2836649.5</v>
      </c>
      <c r="P495" s="518">
        <v>1310</v>
      </c>
      <c r="Q495" s="519"/>
      <c r="R495" s="516">
        <v>0</v>
      </c>
      <c r="S495" s="516">
        <v>0</v>
      </c>
      <c r="T495" s="516">
        <v>0</v>
      </c>
      <c r="U495" s="517"/>
      <c r="V495" s="342">
        <v>43</v>
      </c>
      <c r="W495" s="518">
        <v>2836649.5</v>
      </c>
    </row>
    <row r="496" spans="1:23" x14ac:dyDescent="0.25">
      <c r="A496" s="515">
        <v>491</v>
      </c>
      <c r="B496" t="s">
        <v>494</v>
      </c>
      <c r="C496" s="308"/>
      <c r="D496" s="308" t="s">
        <v>16</v>
      </c>
      <c r="F496" s="516">
        <v>1</v>
      </c>
      <c r="G496" s="516">
        <v>7000</v>
      </c>
      <c r="H496" s="516">
        <v>30</v>
      </c>
      <c r="I496" s="517"/>
      <c r="J496" s="516">
        <v>0</v>
      </c>
      <c r="K496" s="516">
        <v>0</v>
      </c>
      <c r="L496" s="516">
        <v>0</v>
      </c>
      <c r="M496" s="517"/>
      <c r="N496" s="342">
        <v>1</v>
      </c>
      <c r="O496" s="518">
        <v>7000</v>
      </c>
      <c r="P496" s="518">
        <v>30</v>
      </c>
      <c r="Q496" s="519"/>
      <c r="R496" s="516">
        <v>0</v>
      </c>
      <c r="S496" s="516">
        <v>0</v>
      </c>
      <c r="T496" s="516">
        <v>0</v>
      </c>
      <c r="U496" s="517"/>
      <c r="V496" s="342">
        <v>1</v>
      </c>
      <c r="W496" s="518">
        <v>7000</v>
      </c>
    </row>
    <row r="497" spans="1:23" x14ac:dyDescent="0.25">
      <c r="A497" s="515">
        <v>492</v>
      </c>
      <c r="B497" t="s">
        <v>495</v>
      </c>
      <c r="C497" s="308" t="s">
        <v>98</v>
      </c>
      <c r="D497" s="308" t="s">
        <v>20</v>
      </c>
      <c r="F497" s="516">
        <v>40</v>
      </c>
      <c r="G497" s="516">
        <v>571894</v>
      </c>
      <c r="H497" s="516">
        <v>1200</v>
      </c>
      <c r="I497" s="517"/>
      <c r="J497" s="516">
        <v>0</v>
      </c>
      <c r="K497" s="516">
        <v>0</v>
      </c>
      <c r="L497" s="516">
        <v>0</v>
      </c>
      <c r="M497" s="517"/>
      <c r="N497" s="342">
        <v>40</v>
      </c>
      <c r="O497" s="518">
        <v>571894</v>
      </c>
      <c r="P497" s="518">
        <v>1200</v>
      </c>
      <c r="Q497" s="519"/>
      <c r="R497" s="516">
        <v>0</v>
      </c>
      <c r="S497" s="516">
        <v>0</v>
      </c>
      <c r="T497" s="516">
        <v>0</v>
      </c>
      <c r="U497" s="517"/>
      <c r="V497" s="342">
        <v>40</v>
      </c>
      <c r="W497" s="518">
        <v>571894</v>
      </c>
    </row>
    <row r="498" spans="1:23" x14ac:dyDescent="0.25">
      <c r="A498" s="515">
        <v>493</v>
      </c>
      <c r="B498" t="s">
        <v>496</v>
      </c>
      <c r="C498" s="308" t="s">
        <v>329</v>
      </c>
      <c r="D498" s="308" t="s">
        <v>20</v>
      </c>
      <c r="F498" s="516">
        <v>5</v>
      </c>
      <c r="G498" s="516">
        <v>158809</v>
      </c>
      <c r="H498" s="516">
        <v>200</v>
      </c>
      <c r="I498" s="517"/>
      <c r="J498" s="516">
        <v>0</v>
      </c>
      <c r="K498" s="516">
        <v>0</v>
      </c>
      <c r="L498" s="516">
        <v>0</v>
      </c>
      <c r="M498" s="517"/>
      <c r="N498" s="342">
        <v>5</v>
      </c>
      <c r="O498" s="518">
        <v>158809</v>
      </c>
      <c r="P498" s="518">
        <v>200</v>
      </c>
      <c r="Q498" s="519"/>
      <c r="R498" s="516">
        <v>0</v>
      </c>
      <c r="S498" s="516">
        <v>0</v>
      </c>
      <c r="T498" s="516">
        <v>0</v>
      </c>
      <c r="U498" s="517"/>
      <c r="V498" s="342">
        <v>5</v>
      </c>
      <c r="W498" s="518">
        <v>158809</v>
      </c>
    </row>
    <row r="499" spans="1:23" x14ac:dyDescent="0.25">
      <c r="A499" s="515">
        <v>494</v>
      </c>
      <c r="B499" t="s">
        <v>498</v>
      </c>
      <c r="C499" s="308" t="s">
        <v>15</v>
      </c>
      <c r="D499" s="308" t="s">
        <v>380</v>
      </c>
      <c r="F499" s="516">
        <v>10</v>
      </c>
      <c r="G499" s="516">
        <v>289224.14</v>
      </c>
      <c r="H499" s="516">
        <v>425</v>
      </c>
      <c r="I499" s="517"/>
      <c r="J499" s="516">
        <v>0</v>
      </c>
      <c r="K499" s="516">
        <v>0</v>
      </c>
      <c r="L499" s="516">
        <v>0</v>
      </c>
      <c r="M499" s="517"/>
      <c r="N499" s="342">
        <v>10</v>
      </c>
      <c r="O499" s="518">
        <v>289224.14</v>
      </c>
      <c r="P499" s="518">
        <v>425</v>
      </c>
      <c r="Q499" s="519"/>
      <c r="R499" s="516">
        <v>0</v>
      </c>
      <c r="S499" s="516">
        <v>0</v>
      </c>
      <c r="T499" s="516">
        <v>0</v>
      </c>
      <c r="U499" s="517"/>
      <c r="V499" s="342">
        <v>10</v>
      </c>
      <c r="W499" s="518">
        <v>289224.14</v>
      </c>
    </row>
    <row r="500" spans="1:23" x14ac:dyDescent="0.25">
      <c r="A500" s="515">
        <v>495</v>
      </c>
      <c r="B500" t="s">
        <v>499</v>
      </c>
      <c r="C500" s="308" t="s">
        <v>366</v>
      </c>
      <c r="D500" s="308" t="s">
        <v>16</v>
      </c>
      <c r="F500" s="516">
        <v>0</v>
      </c>
      <c r="G500" s="516">
        <v>0</v>
      </c>
      <c r="H500" s="516">
        <v>0</v>
      </c>
      <c r="I500" s="517"/>
      <c r="J500" s="516">
        <v>0</v>
      </c>
      <c r="K500" s="516">
        <v>0</v>
      </c>
      <c r="L500" s="516">
        <v>0</v>
      </c>
      <c r="M500" s="517"/>
      <c r="N500" s="342">
        <v>0</v>
      </c>
      <c r="O500" s="518">
        <v>0</v>
      </c>
      <c r="P500" s="518">
        <v>0</v>
      </c>
      <c r="Q500" s="519"/>
      <c r="R500" s="516">
        <v>0</v>
      </c>
      <c r="S500" s="516">
        <v>0</v>
      </c>
      <c r="T500" s="516">
        <v>0</v>
      </c>
      <c r="U500" s="517"/>
      <c r="V500" s="342">
        <v>0</v>
      </c>
      <c r="W500" s="518">
        <v>0</v>
      </c>
    </row>
    <row r="501" spans="1:23" x14ac:dyDescent="0.25">
      <c r="A501" s="515">
        <v>496</v>
      </c>
      <c r="B501" t="s">
        <v>500</v>
      </c>
      <c r="C501" s="308" t="s">
        <v>18</v>
      </c>
      <c r="D501" s="308" t="s">
        <v>16</v>
      </c>
      <c r="F501" s="516">
        <v>363</v>
      </c>
      <c r="G501" s="516">
        <v>468047.02</v>
      </c>
      <c r="H501" s="516">
        <v>3630</v>
      </c>
      <c r="I501" s="517"/>
      <c r="J501" s="516">
        <v>0</v>
      </c>
      <c r="K501" s="516">
        <v>0</v>
      </c>
      <c r="L501" s="516">
        <v>0</v>
      </c>
      <c r="M501" s="517"/>
      <c r="N501" s="342">
        <v>363</v>
      </c>
      <c r="O501" s="518">
        <v>468047.02</v>
      </c>
      <c r="P501" s="518">
        <v>3630</v>
      </c>
      <c r="Q501" s="519"/>
      <c r="R501" s="516">
        <v>0</v>
      </c>
      <c r="S501" s="516">
        <v>0</v>
      </c>
      <c r="T501" s="516">
        <v>0</v>
      </c>
      <c r="U501" s="517"/>
      <c r="V501" s="342">
        <v>363</v>
      </c>
      <c r="W501" s="518">
        <v>468047.02</v>
      </c>
    </row>
    <row r="502" spans="1:23" x14ac:dyDescent="0.25">
      <c r="A502" s="515">
        <v>497</v>
      </c>
      <c r="B502" t="s">
        <v>501</v>
      </c>
      <c r="C502" s="308" t="s">
        <v>18</v>
      </c>
      <c r="D502" s="308" t="s">
        <v>16</v>
      </c>
      <c r="F502" s="516">
        <v>0</v>
      </c>
      <c r="G502" s="516">
        <v>0</v>
      </c>
      <c r="H502" s="516">
        <v>0</v>
      </c>
      <c r="I502" s="517"/>
      <c r="J502" s="516">
        <v>0</v>
      </c>
      <c r="K502" s="516">
        <v>0</v>
      </c>
      <c r="L502" s="516">
        <v>0</v>
      </c>
      <c r="M502" s="517"/>
      <c r="N502" s="342">
        <v>0</v>
      </c>
      <c r="O502" s="518">
        <v>0</v>
      </c>
      <c r="P502" s="518">
        <v>0</v>
      </c>
      <c r="Q502" s="519"/>
      <c r="R502" s="516">
        <v>0</v>
      </c>
      <c r="S502" s="516">
        <v>0</v>
      </c>
      <c r="T502" s="516">
        <v>0</v>
      </c>
      <c r="U502" s="517"/>
      <c r="V502" s="342">
        <v>0</v>
      </c>
      <c r="W502" s="518">
        <v>0</v>
      </c>
    </row>
    <row r="503" spans="1:23" x14ac:dyDescent="0.25">
      <c r="A503" s="515">
        <v>498</v>
      </c>
      <c r="B503" t="s">
        <v>502</v>
      </c>
      <c r="C503" s="308"/>
      <c r="D503" s="308" t="s">
        <v>16</v>
      </c>
      <c r="F503" s="516">
        <v>0</v>
      </c>
      <c r="G503" s="516">
        <v>0</v>
      </c>
      <c r="H503" s="516">
        <v>0</v>
      </c>
      <c r="I503" s="517"/>
      <c r="J503" s="516">
        <v>0</v>
      </c>
      <c r="K503" s="516">
        <v>0</v>
      </c>
      <c r="L503" s="516">
        <v>0</v>
      </c>
      <c r="M503" s="517"/>
      <c r="N503" s="342">
        <v>0</v>
      </c>
      <c r="O503" s="518">
        <v>0</v>
      </c>
      <c r="P503" s="518">
        <v>0</v>
      </c>
      <c r="Q503" s="519"/>
      <c r="R503" s="516">
        <v>0</v>
      </c>
      <c r="S503" s="516">
        <v>0</v>
      </c>
      <c r="T503" s="516">
        <v>0</v>
      </c>
      <c r="U503" s="517"/>
      <c r="V503" s="342">
        <v>0</v>
      </c>
      <c r="W503" s="518">
        <v>0</v>
      </c>
    </row>
    <row r="504" spans="1:23" x14ac:dyDescent="0.25">
      <c r="A504" s="515">
        <v>499</v>
      </c>
      <c r="B504" t="s">
        <v>503</v>
      </c>
      <c r="C504" s="308" t="s">
        <v>24</v>
      </c>
      <c r="D504" s="308" t="s">
        <v>16</v>
      </c>
      <c r="F504" s="516">
        <v>0</v>
      </c>
      <c r="G504" s="516">
        <v>0</v>
      </c>
      <c r="H504" s="516">
        <v>0</v>
      </c>
      <c r="I504" s="517"/>
      <c r="J504" s="516">
        <v>0</v>
      </c>
      <c r="K504" s="516">
        <v>0</v>
      </c>
      <c r="L504" s="516">
        <v>0</v>
      </c>
      <c r="M504" s="517"/>
      <c r="N504" s="342">
        <v>0</v>
      </c>
      <c r="O504" s="518">
        <v>0</v>
      </c>
      <c r="P504" s="518">
        <v>0</v>
      </c>
      <c r="Q504" s="519"/>
      <c r="R504" s="516">
        <v>0</v>
      </c>
      <c r="S504" s="516">
        <v>0</v>
      </c>
      <c r="T504" s="516">
        <v>0</v>
      </c>
      <c r="U504" s="517"/>
      <c r="V504" s="342">
        <v>0</v>
      </c>
      <c r="W504" s="518">
        <v>0</v>
      </c>
    </row>
    <row r="505" spans="1:23" x14ac:dyDescent="0.25">
      <c r="A505" s="515">
        <v>500</v>
      </c>
      <c r="B505" t="s">
        <v>3078</v>
      </c>
      <c r="C505" s="308" t="s">
        <v>242</v>
      </c>
      <c r="D505" s="308" t="s">
        <v>16</v>
      </c>
      <c r="F505" s="516">
        <v>0</v>
      </c>
      <c r="G505" s="516">
        <v>0</v>
      </c>
      <c r="H505" s="516">
        <v>0</v>
      </c>
      <c r="I505" s="517"/>
      <c r="J505" s="516">
        <v>0</v>
      </c>
      <c r="K505" s="516">
        <v>0</v>
      </c>
      <c r="L505" s="516">
        <v>0</v>
      </c>
      <c r="M505" s="517"/>
      <c r="N505" s="342">
        <v>0</v>
      </c>
      <c r="O505" s="518">
        <v>0</v>
      </c>
      <c r="P505" s="518">
        <v>0</v>
      </c>
      <c r="Q505" s="519"/>
      <c r="R505" s="516">
        <v>0</v>
      </c>
      <c r="S505" s="516">
        <v>0</v>
      </c>
      <c r="T505" s="516">
        <v>0</v>
      </c>
      <c r="U505" s="517"/>
      <c r="V505" s="342">
        <v>0</v>
      </c>
      <c r="W505" s="518">
        <v>0</v>
      </c>
    </row>
    <row r="506" spans="1:23" x14ac:dyDescent="0.25">
      <c r="A506" s="515">
        <v>501</v>
      </c>
      <c r="B506" t="s">
        <v>504</v>
      </c>
      <c r="C506" s="308" t="s">
        <v>24</v>
      </c>
      <c r="D506" s="308" t="s">
        <v>16</v>
      </c>
      <c r="F506" s="516">
        <v>1</v>
      </c>
      <c r="G506" s="516">
        <v>250</v>
      </c>
      <c r="H506" s="516">
        <v>10</v>
      </c>
      <c r="I506" s="517"/>
      <c r="J506" s="516">
        <v>0</v>
      </c>
      <c r="K506" s="516">
        <v>0</v>
      </c>
      <c r="L506" s="516">
        <v>0</v>
      </c>
      <c r="M506" s="517"/>
      <c r="N506" s="342">
        <v>1</v>
      </c>
      <c r="O506" s="518">
        <v>250</v>
      </c>
      <c r="P506" s="518">
        <v>10</v>
      </c>
      <c r="Q506" s="519"/>
      <c r="R506" s="516">
        <v>0</v>
      </c>
      <c r="S506" s="516">
        <v>0</v>
      </c>
      <c r="T506" s="516">
        <v>0</v>
      </c>
      <c r="U506" s="517"/>
      <c r="V506" s="342">
        <v>1</v>
      </c>
      <c r="W506" s="518">
        <v>250</v>
      </c>
    </row>
    <row r="507" spans="1:23" x14ac:dyDescent="0.25">
      <c r="A507" s="515">
        <v>502</v>
      </c>
      <c r="B507" t="s">
        <v>505</v>
      </c>
      <c r="C507" s="308" t="s">
        <v>25</v>
      </c>
      <c r="D507" s="308" t="s">
        <v>16</v>
      </c>
      <c r="F507" s="516">
        <v>21</v>
      </c>
      <c r="G507" s="516">
        <v>228248</v>
      </c>
      <c r="H507" s="516">
        <v>630</v>
      </c>
      <c r="I507" s="517"/>
      <c r="J507" s="516">
        <v>0</v>
      </c>
      <c r="K507" s="516">
        <v>0</v>
      </c>
      <c r="L507" s="516">
        <v>0</v>
      </c>
      <c r="M507" s="517"/>
      <c r="N507" s="342">
        <v>21</v>
      </c>
      <c r="O507" s="518">
        <v>228248</v>
      </c>
      <c r="P507" s="518">
        <v>630</v>
      </c>
      <c r="Q507" s="519"/>
      <c r="R507" s="516">
        <v>0</v>
      </c>
      <c r="S507" s="516">
        <v>0</v>
      </c>
      <c r="T507" s="516">
        <v>0</v>
      </c>
      <c r="U507" s="517"/>
      <c r="V507" s="342">
        <v>21</v>
      </c>
      <c r="W507" s="518">
        <v>228248</v>
      </c>
    </row>
    <row r="508" spans="1:23" x14ac:dyDescent="0.25">
      <c r="A508" s="515">
        <v>503</v>
      </c>
      <c r="B508" t="s">
        <v>506</v>
      </c>
      <c r="C508" s="308" t="s">
        <v>18</v>
      </c>
      <c r="D508" s="308" t="s">
        <v>20</v>
      </c>
      <c r="F508" s="516">
        <v>29</v>
      </c>
      <c r="G508" s="516">
        <v>474994.79</v>
      </c>
      <c r="H508" s="516">
        <v>1450</v>
      </c>
      <c r="I508" s="517"/>
      <c r="J508" s="516">
        <v>0</v>
      </c>
      <c r="K508" s="516">
        <v>0</v>
      </c>
      <c r="L508" s="516">
        <v>0</v>
      </c>
      <c r="M508" s="517"/>
      <c r="N508" s="342">
        <v>29</v>
      </c>
      <c r="O508" s="518">
        <v>474994.79</v>
      </c>
      <c r="P508" s="518">
        <v>1450</v>
      </c>
      <c r="Q508" s="519"/>
      <c r="R508" s="516">
        <v>0</v>
      </c>
      <c r="S508" s="516">
        <v>0</v>
      </c>
      <c r="T508" s="516">
        <v>0</v>
      </c>
      <c r="U508" s="517"/>
      <c r="V508" s="342">
        <v>29</v>
      </c>
      <c r="W508" s="518">
        <v>474994.79</v>
      </c>
    </row>
    <row r="509" spans="1:23" x14ac:dyDescent="0.25">
      <c r="A509" s="515">
        <v>504</v>
      </c>
      <c r="B509" t="s">
        <v>507</v>
      </c>
      <c r="C509" s="308" t="s">
        <v>15</v>
      </c>
      <c r="D509" s="308" t="s">
        <v>16</v>
      </c>
      <c r="F509" s="516">
        <v>2</v>
      </c>
      <c r="G509" s="516">
        <v>13150</v>
      </c>
      <c r="H509" s="516">
        <v>100</v>
      </c>
      <c r="I509" s="517"/>
      <c r="J509" s="516">
        <v>0</v>
      </c>
      <c r="K509" s="516">
        <v>0</v>
      </c>
      <c r="L509" s="516">
        <v>0</v>
      </c>
      <c r="M509" s="517"/>
      <c r="N509" s="342">
        <v>2</v>
      </c>
      <c r="O509" s="518">
        <v>13150</v>
      </c>
      <c r="P509" s="518">
        <v>100</v>
      </c>
      <c r="Q509" s="519"/>
      <c r="R509" s="516">
        <v>0</v>
      </c>
      <c r="S509" s="516">
        <v>0</v>
      </c>
      <c r="T509" s="516">
        <v>0</v>
      </c>
      <c r="U509" s="517"/>
      <c r="V509" s="342">
        <v>2</v>
      </c>
      <c r="W509" s="518">
        <v>13150</v>
      </c>
    </row>
    <row r="510" spans="1:23" x14ac:dyDescent="0.25">
      <c r="A510" s="515">
        <v>505</v>
      </c>
      <c r="B510" t="s">
        <v>508</v>
      </c>
      <c r="C510" s="308" t="s">
        <v>154</v>
      </c>
      <c r="D510" s="308" t="s">
        <v>16</v>
      </c>
      <c r="F510" s="516">
        <v>9</v>
      </c>
      <c r="G510" s="516">
        <v>177132</v>
      </c>
      <c r="H510" s="516">
        <v>270</v>
      </c>
      <c r="I510" s="517"/>
      <c r="J510" s="516">
        <v>0</v>
      </c>
      <c r="K510" s="516">
        <v>0</v>
      </c>
      <c r="L510" s="516">
        <v>0</v>
      </c>
      <c r="M510" s="517"/>
      <c r="N510" s="342">
        <v>9</v>
      </c>
      <c r="O510" s="518">
        <v>177132</v>
      </c>
      <c r="P510" s="518">
        <v>270</v>
      </c>
      <c r="Q510" s="519"/>
      <c r="R510" s="516">
        <v>0</v>
      </c>
      <c r="S510" s="516">
        <v>0</v>
      </c>
      <c r="T510" s="516">
        <v>0</v>
      </c>
      <c r="U510" s="517"/>
      <c r="V510" s="342">
        <v>9</v>
      </c>
      <c r="W510" s="518">
        <v>177132</v>
      </c>
    </row>
    <row r="511" spans="1:23" x14ac:dyDescent="0.25">
      <c r="A511" s="515">
        <v>506</v>
      </c>
      <c r="B511" t="s">
        <v>509</v>
      </c>
      <c r="C511" s="308" t="s">
        <v>135</v>
      </c>
      <c r="D511" s="308" t="s">
        <v>327</v>
      </c>
      <c r="F511" s="516">
        <v>1</v>
      </c>
      <c r="G511" s="516">
        <v>36115</v>
      </c>
      <c r="H511" s="516">
        <v>100</v>
      </c>
      <c r="I511" s="517"/>
      <c r="J511" s="516">
        <v>0</v>
      </c>
      <c r="K511" s="516">
        <v>0</v>
      </c>
      <c r="L511" s="516">
        <v>0</v>
      </c>
      <c r="M511" s="517"/>
      <c r="N511" s="342">
        <v>1</v>
      </c>
      <c r="O511" s="518">
        <v>36115</v>
      </c>
      <c r="P511" s="518">
        <v>100</v>
      </c>
      <c r="Q511" s="519"/>
      <c r="R511" s="516">
        <v>0</v>
      </c>
      <c r="S511" s="516">
        <v>0</v>
      </c>
      <c r="T511" s="516">
        <v>0</v>
      </c>
      <c r="U511" s="517"/>
      <c r="V511" s="342">
        <v>1</v>
      </c>
      <c r="W511" s="518">
        <v>36115</v>
      </c>
    </row>
    <row r="512" spans="1:23" x14ac:dyDescent="0.25">
      <c r="A512" s="515">
        <v>507</v>
      </c>
      <c r="B512" t="s">
        <v>510</v>
      </c>
      <c r="C512" s="308" t="s">
        <v>351</v>
      </c>
      <c r="D512" s="308" t="s">
        <v>40</v>
      </c>
      <c r="F512" s="516">
        <v>14</v>
      </c>
      <c r="G512" s="516">
        <v>71372.62</v>
      </c>
      <c r="H512" s="516">
        <v>0</v>
      </c>
      <c r="I512" s="517"/>
      <c r="J512" s="516">
        <v>0</v>
      </c>
      <c r="K512" s="516">
        <v>0</v>
      </c>
      <c r="L512" s="516">
        <v>0</v>
      </c>
      <c r="M512" s="517"/>
      <c r="N512" s="342">
        <v>14</v>
      </c>
      <c r="O512" s="518">
        <v>71372.62</v>
      </c>
      <c r="P512" s="518">
        <v>0</v>
      </c>
      <c r="Q512" s="519"/>
      <c r="R512" s="516">
        <v>0</v>
      </c>
      <c r="S512" s="516">
        <v>0</v>
      </c>
      <c r="T512" s="516">
        <v>0</v>
      </c>
      <c r="U512" s="517"/>
      <c r="V512" s="342">
        <v>14</v>
      </c>
      <c r="W512" s="518">
        <v>71372.62</v>
      </c>
    </row>
    <row r="513" spans="1:23" x14ac:dyDescent="0.25">
      <c r="A513" s="515">
        <v>508</v>
      </c>
      <c r="B513" t="s">
        <v>511</v>
      </c>
      <c r="C513" s="308"/>
      <c r="D513" s="308" t="s">
        <v>40</v>
      </c>
      <c r="F513" s="516">
        <v>1</v>
      </c>
      <c r="G513" s="516">
        <v>14546</v>
      </c>
      <c r="H513" s="516">
        <v>0</v>
      </c>
      <c r="I513" s="517"/>
      <c r="J513" s="516">
        <v>0</v>
      </c>
      <c r="K513" s="516">
        <v>0</v>
      </c>
      <c r="L513" s="516">
        <v>0</v>
      </c>
      <c r="M513" s="517"/>
      <c r="N513" s="342">
        <v>1</v>
      </c>
      <c r="O513" s="518">
        <v>14546</v>
      </c>
      <c r="P513" s="518">
        <v>0</v>
      </c>
      <c r="Q513" s="519"/>
      <c r="R513" s="516">
        <v>0</v>
      </c>
      <c r="S513" s="516">
        <v>0</v>
      </c>
      <c r="T513" s="516">
        <v>0</v>
      </c>
      <c r="U513" s="517"/>
      <c r="V513" s="342">
        <v>1</v>
      </c>
      <c r="W513" s="518">
        <v>14546</v>
      </c>
    </row>
    <row r="514" spans="1:23" x14ac:dyDescent="0.25">
      <c r="A514" s="515">
        <v>509</v>
      </c>
      <c r="B514" t="s">
        <v>512</v>
      </c>
      <c r="C514" s="308"/>
      <c r="D514" s="308" t="s">
        <v>26</v>
      </c>
      <c r="F514" s="516">
        <v>18</v>
      </c>
      <c r="G514" s="516">
        <v>240441.06</v>
      </c>
      <c r="H514" s="516">
        <v>0</v>
      </c>
      <c r="I514" s="517"/>
      <c r="J514" s="516">
        <v>0</v>
      </c>
      <c r="K514" s="516">
        <v>0</v>
      </c>
      <c r="L514" s="516">
        <v>0</v>
      </c>
      <c r="M514" s="517"/>
      <c r="N514" s="342">
        <v>18</v>
      </c>
      <c r="O514" s="518">
        <v>240441.06</v>
      </c>
      <c r="P514" s="518">
        <v>0</v>
      </c>
      <c r="Q514" s="519"/>
      <c r="R514" s="516">
        <v>0</v>
      </c>
      <c r="S514" s="516">
        <v>0</v>
      </c>
      <c r="T514" s="516">
        <v>0</v>
      </c>
      <c r="U514" s="517"/>
      <c r="V514" s="342">
        <v>18</v>
      </c>
      <c r="W514" s="518">
        <v>240441.06</v>
      </c>
    </row>
    <row r="515" spans="1:23" x14ac:dyDescent="0.25">
      <c r="A515" s="515">
        <v>510</v>
      </c>
      <c r="B515" t="s">
        <v>2236</v>
      </c>
      <c r="C515" s="308"/>
      <c r="D515" s="308"/>
      <c r="F515" s="516">
        <v>1</v>
      </c>
      <c r="G515" s="516">
        <v>22777</v>
      </c>
      <c r="H515" s="516">
        <v>0</v>
      </c>
      <c r="I515" s="517"/>
      <c r="J515" s="516">
        <v>0</v>
      </c>
      <c r="K515" s="516">
        <v>0</v>
      </c>
      <c r="L515" s="516">
        <v>0</v>
      </c>
      <c r="M515" s="517"/>
      <c r="N515" s="342">
        <v>1</v>
      </c>
      <c r="O515" s="518">
        <v>22777</v>
      </c>
      <c r="P515" s="518">
        <v>0</v>
      </c>
      <c r="Q515" s="519"/>
      <c r="R515" s="516">
        <v>0</v>
      </c>
      <c r="S515" s="516">
        <v>0</v>
      </c>
      <c r="T515" s="516">
        <v>0</v>
      </c>
      <c r="U515" s="517"/>
      <c r="V515" s="342">
        <v>1</v>
      </c>
      <c r="W515" s="518">
        <v>22777</v>
      </c>
    </row>
    <row r="516" spans="1:23" x14ac:dyDescent="0.25">
      <c r="A516" s="515">
        <v>511</v>
      </c>
      <c r="B516" t="s">
        <v>2430</v>
      </c>
      <c r="C516" s="308"/>
      <c r="D516" s="308"/>
      <c r="F516" s="516">
        <v>1</v>
      </c>
      <c r="G516" s="516">
        <v>5000</v>
      </c>
      <c r="H516" s="516">
        <v>0</v>
      </c>
      <c r="I516" s="517"/>
      <c r="J516" s="516">
        <v>0</v>
      </c>
      <c r="K516" s="516">
        <v>0</v>
      </c>
      <c r="L516" s="516">
        <v>0</v>
      </c>
      <c r="M516" s="517"/>
      <c r="N516" s="342">
        <v>1</v>
      </c>
      <c r="O516" s="518">
        <v>5000</v>
      </c>
      <c r="P516" s="518">
        <v>0</v>
      </c>
      <c r="Q516" s="519"/>
      <c r="R516" s="516">
        <v>0</v>
      </c>
      <c r="S516" s="516">
        <v>0</v>
      </c>
      <c r="T516" s="516">
        <v>0</v>
      </c>
      <c r="U516" s="517"/>
      <c r="V516" s="342">
        <v>1</v>
      </c>
      <c r="W516" s="518">
        <v>5000</v>
      </c>
    </row>
    <row r="517" spans="1:23" x14ac:dyDescent="0.25">
      <c r="A517" s="515">
        <v>512</v>
      </c>
      <c r="B517" t="s">
        <v>3226</v>
      </c>
      <c r="C517" s="308"/>
      <c r="D517" s="308"/>
      <c r="F517" s="516">
        <v>0</v>
      </c>
      <c r="G517" s="516">
        <v>0</v>
      </c>
      <c r="H517" s="516">
        <v>0</v>
      </c>
      <c r="I517" s="517"/>
      <c r="J517" s="516">
        <v>0</v>
      </c>
      <c r="K517" s="516">
        <v>0</v>
      </c>
      <c r="L517" s="516">
        <v>0</v>
      </c>
      <c r="M517" s="517"/>
      <c r="N517" s="342">
        <v>0</v>
      </c>
      <c r="O517" s="518">
        <v>0</v>
      </c>
      <c r="P517" s="518">
        <v>0</v>
      </c>
      <c r="Q517" s="519"/>
      <c r="R517" s="516">
        <v>0</v>
      </c>
      <c r="S517" s="516">
        <v>0</v>
      </c>
      <c r="T517" s="516">
        <v>0</v>
      </c>
      <c r="U517" s="517"/>
      <c r="V517" s="342">
        <v>0</v>
      </c>
      <c r="W517" s="518">
        <v>0</v>
      </c>
    </row>
    <row r="518" spans="1:23" x14ac:dyDescent="0.25">
      <c r="A518" s="515">
        <v>513</v>
      </c>
      <c r="B518" t="s">
        <v>2237</v>
      </c>
      <c r="C518" s="308"/>
      <c r="D518" s="308"/>
      <c r="F518" s="516">
        <v>13</v>
      </c>
      <c r="G518" s="516">
        <v>13989.3</v>
      </c>
      <c r="H518" s="516">
        <v>0</v>
      </c>
      <c r="I518" s="517"/>
      <c r="J518" s="516">
        <v>0</v>
      </c>
      <c r="K518" s="516">
        <v>0</v>
      </c>
      <c r="L518" s="516">
        <v>0</v>
      </c>
      <c r="M518" s="517"/>
      <c r="N518" s="342">
        <v>13</v>
      </c>
      <c r="O518" s="518">
        <v>13989.3</v>
      </c>
      <c r="P518" s="518">
        <v>0</v>
      </c>
      <c r="Q518" s="519"/>
      <c r="R518" s="516">
        <v>0</v>
      </c>
      <c r="S518" s="516">
        <v>0</v>
      </c>
      <c r="T518" s="516">
        <v>0</v>
      </c>
      <c r="U518" s="517"/>
      <c r="V518" s="342">
        <v>13</v>
      </c>
      <c r="W518" s="518">
        <v>13989.3</v>
      </c>
    </row>
    <row r="519" spans="1:23" x14ac:dyDescent="0.25">
      <c r="A519" s="515">
        <v>514</v>
      </c>
      <c r="B519" t="s">
        <v>521</v>
      </c>
      <c r="C519" s="308" t="s">
        <v>136</v>
      </c>
      <c r="D519" s="308" t="s">
        <v>16</v>
      </c>
      <c r="F519" s="516">
        <v>210</v>
      </c>
      <c r="G519" s="516">
        <v>62966</v>
      </c>
      <c r="H519" s="516">
        <v>0</v>
      </c>
      <c r="I519" s="517"/>
      <c r="J519" s="516">
        <v>0</v>
      </c>
      <c r="K519" s="516">
        <v>0</v>
      </c>
      <c r="L519" s="516">
        <v>0</v>
      </c>
      <c r="M519" s="517"/>
      <c r="N519" s="342">
        <v>210</v>
      </c>
      <c r="O519" s="518">
        <v>62966</v>
      </c>
      <c r="P519" s="518">
        <v>0</v>
      </c>
      <c r="Q519" s="519"/>
      <c r="R519" s="516">
        <v>0</v>
      </c>
      <c r="S519" s="516">
        <v>0</v>
      </c>
      <c r="T519" s="516">
        <v>0</v>
      </c>
      <c r="U519" s="517"/>
      <c r="V519" s="342">
        <v>210</v>
      </c>
      <c r="W519" s="518">
        <v>62966</v>
      </c>
    </row>
    <row r="520" spans="1:23" x14ac:dyDescent="0.25">
      <c r="A520" s="515">
        <v>515</v>
      </c>
      <c r="B520" t="s">
        <v>513</v>
      </c>
      <c r="C520" s="308" t="s">
        <v>27</v>
      </c>
      <c r="D520" s="308" t="s">
        <v>16</v>
      </c>
      <c r="F520" s="516">
        <v>17</v>
      </c>
      <c r="G520" s="516">
        <v>153760</v>
      </c>
      <c r="H520" s="516">
        <v>340</v>
      </c>
      <c r="I520" s="517"/>
      <c r="J520" s="516">
        <v>0</v>
      </c>
      <c r="K520" s="516">
        <v>0</v>
      </c>
      <c r="L520" s="516">
        <v>0</v>
      </c>
      <c r="M520" s="517"/>
      <c r="N520" s="342">
        <v>17</v>
      </c>
      <c r="O520" s="518">
        <v>153760</v>
      </c>
      <c r="P520" s="518">
        <v>340</v>
      </c>
      <c r="Q520" s="519"/>
      <c r="R520" s="516">
        <v>0</v>
      </c>
      <c r="S520" s="516">
        <v>0</v>
      </c>
      <c r="T520" s="516">
        <v>0</v>
      </c>
      <c r="U520" s="517"/>
      <c r="V520" s="342">
        <v>17</v>
      </c>
      <c r="W520" s="518">
        <v>153760</v>
      </c>
    </row>
    <row r="521" spans="1:23" x14ac:dyDescent="0.25">
      <c r="A521" s="515">
        <v>516</v>
      </c>
      <c r="B521" t="s">
        <v>3232</v>
      </c>
      <c r="C521" s="308" t="s">
        <v>525</v>
      </c>
      <c r="D521" s="308" t="s">
        <v>3231</v>
      </c>
      <c r="F521" s="516">
        <v>6</v>
      </c>
      <c r="G521" s="516">
        <v>142039</v>
      </c>
      <c r="H521" s="516">
        <v>245</v>
      </c>
      <c r="I521" s="517"/>
      <c r="J521" s="516">
        <v>0</v>
      </c>
      <c r="K521" s="516">
        <v>0</v>
      </c>
      <c r="L521" s="516">
        <v>0</v>
      </c>
      <c r="M521" s="517"/>
      <c r="N521" s="342">
        <v>6</v>
      </c>
      <c r="O521" s="518">
        <v>142039</v>
      </c>
      <c r="P521" s="518">
        <v>245</v>
      </c>
      <c r="Q521" s="519"/>
      <c r="R521" s="516">
        <v>0</v>
      </c>
      <c r="S521" s="516">
        <v>0</v>
      </c>
      <c r="T521" s="516">
        <v>0</v>
      </c>
      <c r="U521" s="517"/>
      <c r="V521" s="342">
        <v>6</v>
      </c>
      <c r="W521" s="518">
        <v>142039</v>
      </c>
    </row>
    <row r="522" spans="1:23" x14ac:dyDescent="0.25">
      <c r="A522" s="515">
        <v>517</v>
      </c>
      <c r="B522" t="s">
        <v>514</v>
      </c>
      <c r="C522" s="308" t="s">
        <v>18</v>
      </c>
      <c r="D522" s="308" t="s">
        <v>16</v>
      </c>
      <c r="F522" s="516">
        <v>1</v>
      </c>
      <c r="G522" s="516">
        <v>668</v>
      </c>
      <c r="H522" s="516">
        <v>30</v>
      </c>
      <c r="I522" s="517"/>
      <c r="J522" s="516">
        <v>0</v>
      </c>
      <c r="K522" s="516">
        <v>0</v>
      </c>
      <c r="L522" s="516">
        <v>0</v>
      </c>
      <c r="M522" s="517"/>
      <c r="N522" s="342">
        <v>1</v>
      </c>
      <c r="O522" s="518">
        <v>668</v>
      </c>
      <c r="P522" s="518">
        <v>30</v>
      </c>
      <c r="Q522" s="519"/>
      <c r="R522" s="516">
        <v>0</v>
      </c>
      <c r="S522" s="516">
        <v>0</v>
      </c>
      <c r="T522" s="516">
        <v>0</v>
      </c>
      <c r="U522" s="517"/>
      <c r="V522" s="342">
        <v>1</v>
      </c>
      <c r="W522" s="518">
        <v>668</v>
      </c>
    </row>
    <row r="523" spans="1:23" x14ac:dyDescent="0.25">
      <c r="A523" s="515">
        <v>518</v>
      </c>
      <c r="B523" t="s">
        <v>517</v>
      </c>
      <c r="C523" s="308"/>
      <c r="D523" s="308" t="s">
        <v>516</v>
      </c>
      <c r="F523" s="516">
        <v>159</v>
      </c>
      <c r="G523" s="516">
        <v>1321097.2100000002</v>
      </c>
      <c r="H523" s="516">
        <v>3180</v>
      </c>
      <c r="I523" s="517"/>
      <c r="J523" s="516">
        <v>0</v>
      </c>
      <c r="K523" s="516">
        <v>0</v>
      </c>
      <c r="L523" s="516">
        <v>0</v>
      </c>
      <c r="M523" s="517"/>
      <c r="N523" s="342">
        <v>159</v>
      </c>
      <c r="O523" s="518">
        <v>1321097.2100000002</v>
      </c>
      <c r="P523" s="518">
        <v>3180</v>
      </c>
      <c r="Q523" s="519"/>
      <c r="R523" s="516">
        <v>0</v>
      </c>
      <c r="S523" s="516">
        <v>0</v>
      </c>
      <c r="T523" s="516">
        <v>0</v>
      </c>
      <c r="U523" s="517"/>
      <c r="V523" s="342">
        <v>159</v>
      </c>
      <c r="W523" s="518">
        <v>1321097.2100000002</v>
      </c>
    </row>
    <row r="524" spans="1:23" x14ac:dyDescent="0.25">
      <c r="A524" s="515">
        <v>519</v>
      </c>
      <c r="B524" t="s">
        <v>518</v>
      </c>
      <c r="C524" s="308" t="s">
        <v>112</v>
      </c>
      <c r="D524" s="308"/>
      <c r="F524" s="516">
        <v>0</v>
      </c>
      <c r="G524" s="516">
        <v>0</v>
      </c>
      <c r="H524" s="516">
        <v>0</v>
      </c>
      <c r="I524" s="517"/>
      <c r="J524" s="516">
        <v>0</v>
      </c>
      <c r="K524" s="516">
        <v>0</v>
      </c>
      <c r="L524" s="516">
        <v>0</v>
      </c>
      <c r="M524" s="517"/>
      <c r="N524" s="342">
        <v>0</v>
      </c>
      <c r="O524" s="518">
        <v>0</v>
      </c>
      <c r="P524" s="518">
        <v>0</v>
      </c>
      <c r="Q524" s="519"/>
      <c r="R524" s="516">
        <v>0</v>
      </c>
      <c r="S524" s="516">
        <v>0</v>
      </c>
      <c r="T524" s="516">
        <v>0</v>
      </c>
      <c r="U524" s="517"/>
      <c r="V524" s="342">
        <v>0</v>
      </c>
      <c r="W524" s="518">
        <v>0</v>
      </c>
    </row>
    <row r="525" spans="1:23" x14ac:dyDescent="0.25">
      <c r="A525" s="515">
        <v>520</v>
      </c>
      <c r="B525" t="s">
        <v>519</v>
      </c>
      <c r="C525" s="308" t="s">
        <v>18</v>
      </c>
      <c r="D525" s="308" t="s">
        <v>414</v>
      </c>
      <c r="F525" s="516">
        <v>0</v>
      </c>
      <c r="G525" s="516">
        <v>0</v>
      </c>
      <c r="H525" s="516">
        <v>0</v>
      </c>
      <c r="I525" s="517"/>
      <c r="J525" s="516">
        <v>0</v>
      </c>
      <c r="K525" s="516">
        <v>0</v>
      </c>
      <c r="L525" s="516">
        <v>0</v>
      </c>
      <c r="M525" s="517"/>
      <c r="N525" s="342">
        <v>0</v>
      </c>
      <c r="O525" s="518">
        <v>0</v>
      </c>
      <c r="P525" s="518">
        <v>0</v>
      </c>
      <c r="Q525" s="519"/>
      <c r="R525" s="516">
        <v>0</v>
      </c>
      <c r="S525" s="516">
        <v>0</v>
      </c>
      <c r="T525" s="516">
        <v>0</v>
      </c>
      <c r="U525" s="517"/>
      <c r="V525" s="342">
        <v>0</v>
      </c>
      <c r="W525" s="518">
        <v>0</v>
      </c>
    </row>
    <row r="526" spans="1:23" x14ac:dyDescent="0.25">
      <c r="A526" s="515">
        <v>521</v>
      </c>
      <c r="B526" t="s">
        <v>520</v>
      </c>
      <c r="C526" s="308"/>
      <c r="D526" s="308" t="s">
        <v>16</v>
      </c>
      <c r="F526" s="516">
        <v>0</v>
      </c>
      <c r="G526" s="516">
        <v>0</v>
      </c>
      <c r="H526" s="516">
        <v>0</v>
      </c>
      <c r="I526" s="517"/>
      <c r="J526" s="516">
        <v>0</v>
      </c>
      <c r="K526" s="516">
        <v>0</v>
      </c>
      <c r="L526" s="516">
        <v>0</v>
      </c>
      <c r="M526" s="517"/>
      <c r="N526" s="342">
        <v>0</v>
      </c>
      <c r="O526" s="518">
        <v>0</v>
      </c>
      <c r="P526" s="518">
        <v>0</v>
      </c>
      <c r="Q526" s="519"/>
      <c r="R526" s="516">
        <v>0</v>
      </c>
      <c r="S526" s="516">
        <v>0</v>
      </c>
      <c r="T526" s="516">
        <v>0</v>
      </c>
      <c r="U526" s="517"/>
      <c r="V526" s="342">
        <v>0</v>
      </c>
      <c r="W526" s="518">
        <v>0</v>
      </c>
    </row>
    <row r="527" spans="1:23" x14ac:dyDescent="0.25">
      <c r="A527" s="515">
        <v>522</v>
      </c>
      <c r="B527" t="s">
        <v>522</v>
      </c>
      <c r="C527" s="308" t="s">
        <v>366</v>
      </c>
      <c r="D527" s="308" t="s">
        <v>16</v>
      </c>
      <c r="F527" s="516">
        <v>101</v>
      </c>
      <c r="G527" s="516">
        <v>2165269.4900000002</v>
      </c>
      <c r="H527" s="516">
        <v>2060</v>
      </c>
      <c r="I527" s="517"/>
      <c r="J527" s="516">
        <v>0</v>
      </c>
      <c r="K527" s="516">
        <v>0</v>
      </c>
      <c r="L527" s="516">
        <v>0</v>
      </c>
      <c r="M527" s="517"/>
      <c r="N527" s="342">
        <v>101</v>
      </c>
      <c r="O527" s="518">
        <v>2165269.4900000002</v>
      </c>
      <c r="P527" s="518">
        <v>2060</v>
      </c>
      <c r="Q527" s="519"/>
      <c r="R527" s="516">
        <v>0</v>
      </c>
      <c r="S527" s="516">
        <v>0</v>
      </c>
      <c r="T527" s="516">
        <v>0</v>
      </c>
      <c r="U527" s="517"/>
      <c r="V527" s="342">
        <v>101</v>
      </c>
      <c r="W527" s="518">
        <v>2165269.4900000002</v>
      </c>
    </row>
    <row r="528" spans="1:23" x14ac:dyDescent="0.25">
      <c r="A528" s="515">
        <v>523</v>
      </c>
      <c r="B528" t="s">
        <v>523</v>
      </c>
      <c r="C528" s="308" t="s">
        <v>41</v>
      </c>
      <c r="D528" s="308" t="s">
        <v>16</v>
      </c>
      <c r="F528" s="516">
        <v>279</v>
      </c>
      <c r="G528" s="516">
        <v>538300.91</v>
      </c>
      <c r="H528" s="516">
        <v>2790</v>
      </c>
      <c r="I528" s="517"/>
      <c r="J528" s="516">
        <v>0</v>
      </c>
      <c r="K528" s="516">
        <v>0</v>
      </c>
      <c r="L528" s="516">
        <v>0</v>
      </c>
      <c r="M528" s="517"/>
      <c r="N528" s="342">
        <v>279</v>
      </c>
      <c r="O528" s="518">
        <v>538300.91</v>
      </c>
      <c r="P528" s="518">
        <v>2790</v>
      </c>
      <c r="Q528" s="519"/>
      <c r="R528" s="516">
        <v>0</v>
      </c>
      <c r="S528" s="516">
        <v>0</v>
      </c>
      <c r="T528" s="516">
        <v>0</v>
      </c>
      <c r="U528" s="517"/>
      <c r="V528" s="342">
        <v>279</v>
      </c>
      <c r="W528" s="518">
        <v>538300.91</v>
      </c>
    </row>
    <row r="529" spans="1:23" x14ac:dyDescent="0.25">
      <c r="A529" s="515">
        <v>524</v>
      </c>
      <c r="B529" t="s">
        <v>524</v>
      </c>
      <c r="C529" s="308" t="s">
        <v>525</v>
      </c>
      <c r="D529" s="308" t="s">
        <v>16</v>
      </c>
      <c r="F529" s="516">
        <v>0</v>
      </c>
      <c r="G529" s="516">
        <v>0</v>
      </c>
      <c r="H529" s="516">
        <v>0</v>
      </c>
      <c r="I529" s="517"/>
      <c r="J529" s="516">
        <v>0</v>
      </c>
      <c r="K529" s="516">
        <v>0</v>
      </c>
      <c r="L529" s="516">
        <v>0</v>
      </c>
      <c r="M529" s="517"/>
      <c r="N529" s="342">
        <v>0</v>
      </c>
      <c r="O529" s="518">
        <v>0</v>
      </c>
      <c r="P529" s="518">
        <v>0</v>
      </c>
      <c r="Q529" s="519"/>
      <c r="R529" s="516">
        <v>0</v>
      </c>
      <c r="S529" s="516">
        <v>0</v>
      </c>
      <c r="T529" s="516">
        <v>0</v>
      </c>
      <c r="U529" s="517"/>
      <c r="V529" s="342">
        <v>0</v>
      </c>
      <c r="W529" s="518">
        <v>0</v>
      </c>
    </row>
    <row r="530" spans="1:23" x14ac:dyDescent="0.25">
      <c r="A530" s="515">
        <v>525</v>
      </c>
      <c r="B530" t="s">
        <v>526</v>
      </c>
      <c r="C530" s="308" t="s">
        <v>148</v>
      </c>
      <c r="D530" s="308" t="s">
        <v>16</v>
      </c>
      <c r="F530" s="516">
        <v>0</v>
      </c>
      <c r="G530" s="516">
        <v>0</v>
      </c>
      <c r="H530" s="516">
        <v>0</v>
      </c>
      <c r="I530" s="517"/>
      <c r="J530" s="516">
        <v>0</v>
      </c>
      <c r="K530" s="516">
        <v>0</v>
      </c>
      <c r="L530" s="516">
        <v>0</v>
      </c>
      <c r="M530" s="517"/>
      <c r="N530" s="342">
        <v>0</v>
      </c>
      <c r="O530" s="518">
        <v>0</v>
      </c>
      <c r="P530" s="518">
        <v>0</v>
      </c>
      <c r="Q530" s="519"/>
      <c r="R530" s="516">
        <v>0</v>
      </c>
      <c r="S530" s="516">
        <v>0</v>
      </c>
      <c r="T530" s="516">
        <v>0</v>
      </c>
      <c r="U530" s="517"/>
      <c r="V530" s="342">
        <v>0</v>
      </c>
      <c r="W530" s="518">
        <v>0</v>
      </c>
    </row>
    <row r="531" spans="1:23" x14ac:dyDescent="0.25">
      <c r="A531" s="515">
        <v>526</v>
      </c>
      <c r="B531" t="s">
        <v>2996</v>
      </c>
      <c r="C531" s="308" t="s">
        <v>15</v>
      </c>
      <c r="D531" s="308" t="s">
        <v>16</v>
      </c>
      <c r="F531" s="520">
        <v>2</v>
      </c>
      <c r="G531" s="521">
        <v>18063.93</v>
      </c>
      <c r="H531" s="521">
        <v>100</v>
      </c>
      <c r="I531" s="517"/>
      <c r="J531" s="516">
        <v>0</v>
      </c>
      <c r="K531" s="516">
        <v>0</v>
      </c>
      <c r="L531" s="516">
        <v>0</v>
      </c>
      <c r="M531" s="517"/>
      <c r="N531" s="342">
        <v>2</v>
      </c>
      <c r="O531" s="518">
        <v>18063.93</v>
      </c>
      <c r="P531" s="518">
        <v>100</v>
      </c>
      <c r="Q531" s="519"/>
      <c r="R531" s="516">
        <v>0</v>
      </c>
      <c r="S531" s="516">
        <v>0</v>
      </c>
      <c r="T531" s="516">
        <v>0</v>
      </c>
      <c r="U531" s="517"/>
      <c r="V531" s="342">
        <v>2</v>
      </c>
      <c r="W531" s="518">
        <v>18063.93</v>
      </c>
    </row>
    <row r="532" spans="1:23" x14ac:dyDescent="0.25">
      <c r="A532" s="515">
        <v>527</v>
      </c>
      <c r="B532" t="s">
        <v>527</v>
      </c>
      <c r="C532" s="308" t="s">
        <v>27</v>
      </c>
      <c r="D532" s="308" t="s">
        <v>16</v>
      </c>
      <c r="F532" s="516">
        <v>1</v>
      </c>
      <c r="G532" s="516">
        <v>4000</v>
      </c>
      <c r="H532" s="516">
        <v>30</v>
      </c>
      <c r="I532" s="517"/>
      <c r="J532" s="516">
        <v>0</v>
      </c>
      <c r="K532" s="516">
        <v>0</v>
      </c>
      <c r="L532" s="516">
        <v>0</v>
      </c>
      <c r="M532" s="517"/>
      <c r="N532" s="342">
        <v>1</v>
      </c>
      <c r="O532" s="518">
        <v>4000</v>
      </c>
      <c r="P532" s="518">
        <v>30</v>
      </c>
      <c r="Q532" s="519"/>
      <c r="R532" s="520">
        <v>0</v>
      </c>
      <c r="S532" s="521">
        <v>0</v>
      </c>
      <c r="T532" s="516">
        <v>0</v>
      </c>
      <c r="U532" s="517"/>
      <c r="V532" s="342">
        <v>1</v>
      </c>
      <c r="W532" s="518">
        <v>4000</v>
      </c>
    </row>
    <row r="533" spans="1:23" x14ac:dyDescent="0.25">
      <c r="A533" s="515">
        <v>528</v>
      </c>
      <c r="B533" t="s">
        <v>528</v>
      </c>
      <c r="C533" s="308" t="s">
        <v>529</v>
      </c>
      <c r="D533" s="308" t="s">
        <v>16</v>
      </c>
      <c r="F533" s="516">
        <v>0</v>
      </c>
      <c r="G533" s="516">
        <v>0</v>
      </c>
      <c r="H533" s="516">
        <v>0</v>
      </c>
      <c r="I533" s="517"/>
      <c r="J533" s="516">
        <v>0</v>
      </c>
      <c r="K533" s="516">
        <v>0</v>
      </c>
      <c r="L533" s="516">
        <v>0</v>
      </c>
      <c r="M533" s="517"/>
      <c r="N533" s="342">
        <v>0</v>
      </c>
      <c r="O533" s="518">
        <v>0</v>
      </c>
      <c r="P533" s="518">
        <v>0</v>
      </c>
      <c r="Q533" s="519"/>
      <c r="R533" s="516">
        <v>0</v>
      </c>
      <c r="S533" s="516">
        <v>0</v>
      </c>
      <c r="T533" s="516">
        <v>0</v>
      </c>
      <c r="U533" s="517"/>
      <c r="V533" s="342">
        <v>0</v>
      </c>
      <c r="W533" s="518">
        <v>0</v>
      </c>
    </row>
    <row r="534" spans="1:23" x14ac:dyDescent="0.25">
      <c r="A534" s="515">
        <v>529</v>
      </c>
      <c r="B534" t="s">
        <v>530</v>
      </c>
      <c r="C534" s="308" t="s">
        <v>98</v>
      </c>
      <c r="D534" s="308" t="s">
        <v>16</v>
      </c>
      <c r="F534" s="516">
        <v>0</v>
      </c>
      <c r="G534" s="516">
        <v>0</v>
      </c>
      <c r="H534" s="516">
        <v>0</v>
      </c>
      <c r="I534" s="517"/>
      <c r="J534" s="516">
        <v>0</v>
      </c>
      <c r="K534" s="516">
        <v>0</v>
      </c>
      <c r="L534" s="516">
        <v>0</v>
      </c>
      <c r="M534" s="517"/>
      <c r="N534" s="342">
        <v>0</v>
      </c>
      <c r="O534" s="518">
        <v>0</v>
      </c>
      <c r="P534" s="518">
        <v>0</v>
      </c>
      <c r="Q534" s="519"/>
      <c r="R534" s="516">
        <v>0</v>
      </c>
      <c r="S534" s="516">
        <v>0</v>
      </c>
      <c r="T534" s="516">
        <v>0</v>
      </c>
      <c r="U534" s="517"/>
      <c r="V534" s="342">
        <v>0</v>
      </c>
      <c r="W534" s="518">
        <v>0</v>
      </c>
    </row>
    <row r="535" spans="1:23" x14ac:dyDescent="0.25">
      <c r="A535" s="515">
        <v>530</v>
      </c>
      <c r="B535" t="s">
        <v>531</v>
      </c>
      <c r="C535" s="308" t="s">
        <v>18</v>
      </c>
      <c r="D535" s="308" t="s">
        <v>16</v>
      </c>
      <c r="F535" s="516">
        <v>0</v>
      </c>
      <c r="G535" s="516">
        <v>0</v>
      </c>
      <c r="H535" s="516">
        <v>0</v>
      </c>
      <c r="I535" s="517"/>
      <c r="J535" s="516">
        <v>0</v>
      </c>
      <c r="K535" s="516">
        <v>0</v>
      </c>
      <c r="L535" s="516">
        <v>0</v>
      </c>
      <c r="M535" s="517"/>
      <c r="N535" s="342">
        <v>0</v>
      </c>
      <c r="O535" s="518">
        <v>0</v>
      </c>
      <c r="P535" s="518">
        <v>0</v>
      </c>
      <c r="Q535" s="519"/>
      <c r="R535" s="516">
        <v>0</v>
      </c>
      <c r="S535" s="516">
        <v>0</v>
      </c>
      <c r="T535" s="516">
        <v>0</v>
      </c>
      <c r="U535" s="517"/>
      <c r="V535" s="342">
        <v>0</v>
      </c>
      <c r="W535" s="518">
        <v>0</v>
      </c>
    </row>
    <row r="536" spans="1:23" x14ac:dyDescent="0.25">
      <c r="A536" s="515">
        <v>531</v>
      </c>
      <c r="B536" t="s">
        <v>532</v>
      </c>
      <c r="C536" s="308"/>
      <c r="D536" s="308" t="s">
        <v>16</v>
      </c>
      <c r="F536" s="516">
        <v>0</v>
      </c>
      <c r="G536" s="516">
        <v>0</v>
      </c>
      <c r="H536" s="516">
        <v>0</v>
      </c>
      <c r="I536" s="517"/>
      <c r="J536" s="516">
        <v>0</v>
      </c>
      <c r="K536" s="516">
        <v>0</v>
      </c>
      <c r="L536" s="516">
        <v>0</v>
      </c>
      <c r="M536" s="517"/>
      <c r="N536" s="342">
        <v>0</v>
      </c>
      <c r="O536" s="518">
        <v>0</v>
      </c>
      <c r="P536" s="518">
        <v>0</v>
      </c>
      <c r="Q536" s="519"/>
      <c r="R536" s="516">
        <v>0</v>
      </c>
      <c r="S536" s="516">
        <v>0</v>
      </c>
      <c r="T536" s="516">
        <v>0</v>
      </c>
      <c r="U536" s="517"/>
      <c r="V536" s="342">
        <v>0</v>
      </c>
      <c r="W536" s="518">
        <v>0</v>
      </c>
    </row>
    <row r="537" spans="1:23" x14ac:dyDescent="0.25">
      <c r="A537" s="515">
        <v>532</v>
      </c>
      <c r="B537" t="s">
        <v>533</v>
      </c>
      <c r="C537" s="308" t="s">
        <v>18</v>
      </c>
      <c r="D537" s="308" t="s">
        <v>16</v>
      </c>
      <c r="F537" s="520">
        <v>0</v>
      </c>
      <c r="G537" s="522">
        <v>0</v>
      </c>
      <c r="H537" s="520">
        <v>0</v>
      </c>
      <c r="I537" s="517"/>
      <c r="J537" s="516">
        <v>0</v>
      </c>
      <c r="K537" s="516">
        <v>0</v>
      </c>
      <c r="L537" s="516">
        <v>0</v>
      </c>
      <c r="M537" s="517"/>
      <c r="N537" s="342">
        <v>0</v>
      </c>
      <c r="O537" s="518">
        <v>0</v>
      </c>
      <c r="P537" s="518">
        <v>0</v>
      </c>
      <c r="Q537" s="519"/>
      <c r="R537" s="520">
        <v>0</v>
      </c>
      <c r="S537" s="521">
        <v>0</v>
      </c>
      <c r="T537" s="516">
        <v>0</v>
      </c>
      <c r="U537" s="517"/>
      <c r="V537" s="342">
        <v>0</v>
      </c>
      <c r="W537" s="518">
        <v>0</v>
      </c>
    </row>
    <row r="538" spans="1:23" x14ac:dyDescent="0.25">
      <c r="A538" s="515">
        <v>533</v>
      </c>
      <c r="B538" t="s">
        <v>534</v>
      </c>
      <c r="C538" s="308" t="s">
        <v>18</v>
      </c>
      <c r="D538" s="308" t="s">
        <v>16</v>
      </c>
      <c r="F538" s="516">
        <v>0</v>
      </c>
      <c r="G538" s="516">
        <v>0</v>
      </c>
      <c r="H538" s="516">
        <v>0</v>
      </c>
      <c r="I538" s="517"/>
      <c r="J538" s="516">
        <v>0</v>
      </c>
      <c r="K538" s="516">
        <v>0</v>
      </c>
      <c r="L538" s="516">
        <v>0</v>
      </c>
      <c r="M538" s="517"/>
      <c r="N538" s="342">
        <v>0</v>
      </c>
      <c r="O538" s="518">
        <v>0</v>
      </c>
      <c r="P538" s="518">
        <v>0</v>
      </c>
      <c r="Q538" s="519"/>
      <c r="R538" s="516">
        <v>0</v>
      </c>
      <c r="S538" s="516">
        <v>0</v>
      </c>
      <c r="T538" s="516">
        <v>0</v>
      </c>
      <c r="U538" s="517"/>
      <c r="V538" s="342">
        <v>0</v>
      </c>
      <c r="W538" s="518">
        <v>0</v>
      </c>
    </row>
    <row r="539" spans="1:23" x14ac:dyDescent="0.25">
      <c r="A539" s="515">
        <v>534</v>
      </c>
      <c r="B539" t="s">
        <v>535</v>
      </c>
      <c r="C539" s="308" t="s">
        <v>18</v>
      </c>
      <c r="D539" s="308" t="s">
        <v>16</v>
      </c>
      <c r="F539" s="516">
        <v>0</v>
      </c>
      <c r="G539" s="516">
        <v>0</v>
      </c>
      <c r="H539" s="516">
        <v>0</v>
      </c>
      <c r="I539" s="517"/>
      <c r="J539" s="516">
        <v>0</v>
      </c>
      <c r="K539" s="516">
        <v>0</v>
      </c>
      <c r="L539" s="516">
        <v>0</v>
      </c>
      <c r="M539" s="517"/>
      <c r="N539" s="342">
        <v>0</v>
      </c>
      <c r="O539" s="518">
        <v>0</v>
      </c>
      <c r="P539" s="518">
        <v>0</v>
      </c>
      <c r="Q539" s="519"/>
      <c r="R539" s="516">
        <v>0</v>
      </c>
      <c r="S539" s="516">
        <v>0</v>
      </c>
      <c r="T539" s="516">
        <v>0</v>
      </c>
      <c r="U539" s="517"/>
      <c r="V539" s="342">
        <v>0</v>
      </c>
      <c r="W539" s="518">
        <v>0</v>
      </c>
    </row>
    <row r="540" spans="1:23" x14ac:dyDescent="0.25">
      <c r="A540" s="515">
        <v>535</v>
      </c>
      <c r="B540" t="s">
        <v>536</v>
      </c>
      <c r="C540" s="308" t="s">
        <v>18</v>
      </c>
      <c r="D540" s="308" t="s">
        <v>16</v>
      </c>
      <c r="F540" s="516">
        <v>0</v>
      </c>
      <c r="G540" s="516">
        <v>0</v>
      </c>
      <c r="H540" s="516">
        <v>0</v>
      </c>
      <c r="I540" s="517"/>
      <c r="J540" s="516">
        <v>0</v>
      </c>
      <c r="K540" s="516">
        <v>0</v>
      </c>
      <c r="L540" s="516">
        <v>0</v>
      </c>
      <c r="M540" s="517"/>
      <c r="N540" s="342">
        <v>0</v>
      </c>
      <c r="O540" s="518">
        <v>0</v>
      </c>
      <c r="P540" s="518">
        <v>0</v>
      </c>
      <c r="Q540" s="519"/>
      <c r="R540" s="520">
        <v>0</v>
      </c>
      <c r="S540" s="521">
        <v>0</v>
      </c>
      <c r="T540" s="516">
        <v>0</v>
      </c>
      <c r="U540" s="517"/>
      <c r="V540" s="342">
        <v>0</v>
      </c>
      <c r="W540" s="518">
        <v>0</v>
      </c>
    </row>
    <row r="541" spans="1:23" x14ac:dyDescent="0.25">
      <c r="A541" s="515">
        <v>536</v>
      </c>
      <c r="B541" t="s">
        <v>537</v>
      </c>
      <c r="C541" s="308" t="s">
        <v>18</v>
      </c>
      <c r="D541" s="308" t="s">
        <v>16</v>
      </c>
      <c r="F541" s="516">
        <v>0</v>
      </c>
      <c r="G541" s="516">
        <v>0</v>
      </c>
      <c r="H541" s="516">
        <v>0</v>
      </c>
      <c r="I541" s="517"/>
      <c r="J541" s="516">
        <v>0</v>
      </c>
      <c r="K541" s="516">
        <v>0</v>
      </c>
      <c r="L541" s="516">
        <v>0</v>
      </c>
      <c r="M541" s="517"/>
      <c r="N541" s="342">
        <v>0</v>
      </c>
      <c r="O541" s="518">
        <v>0</v>
      </c>
      <c r="P541" s="518">
        <v>0</v>
      </c>
      <c r="Q541" s="519"/>
      <c r="R541" s="520">
        <v>0</v>
      </c>
      <c r="S541" s="521">
        <v>0</v>
      </c>
      <c r="T541" s="516">
        <v>0</v>
      </c>
      <c r="U541" s="517"/>
      <c r="V541" s="342">
        <v>0</v>
      </c>
      <c r="W541" s="518">
        <v>0</v>
      </c>
    </row>
    <row r="542" spans="1:23" x14ac:dyDescent="0.25">
      <c r="A542" s="515">
        <v>537</v>
      </c>
      <c r="B542" t="s">
        <v>538</v>
      </c>
      <c r="C542" s="308" t="s">
        <v>18</v>
      </c>
      <c r="D542" s="308" t="s">
        <v>16</v>
      </c>
      <c r="F542" s="516">
        <v>0</v>
      </c>
      <c r="G542" s="516">
        <v>0</v>
      </c>
      <c r="H542" s="516">
        <v>0</v>
      </c>
      <c r="I542" s="517"/>
      <c r="J542" s="516">
        <v>0</v>
      </c>
      <c r="K542" s="516">
        <v>0</v>
      </c>
      <c r="L542" s="516">
        <v>0</v>
      </c>
      <c r="M542" s="517"/>
      <c r="N542" s="342">
        <v>0</v>
      </c>
      <c r="O542" s="518">
        <v>0</v>
      </c>
      <c r="P542" s="518">
        <v>0</v>
      </c>
      <c r="Q542" s="519"/>
      <c r="R542" s="516">
        <v>0</v>
      </c>
      <c r="S542" s="516">
        <v>0</v>
      </c>
      <c r="T542" s="516">
        <v>0</v>
      </c>
      <c r="U542" s="517"/>
      <c r="V542" s="342">
        <v>0</v>
      </c>
      <c r="W542" s="518">
        <v>0</v>
      </c>
    </row>
    <row r="543" spans="1:23" x14ac:dyDescent="0.25">
      <c r="A543" s="515">
        <v>538</v>
      </c>
      <c r="B543" t="s">
        <v>539</v>
      </c>
      <c r="C543" s="308" t="s">
        <v>18</v>
      </c>
      <c r="D543" s="308" t="s">
        <v>16</v>
      </c>
      <c r="F543" s="516">
        <v>0</v>
      </c>
      <c r="G543" s="516">
        <v>0</v>
      </c>
      <c r="H543" s="516">
        <v>0</v>
      </c>
      <c r="I543" s="517"/>
      <c r="J543" s="516">
        <v>0</v>
      </c>
      <c r="K543" s="516">
        <v>0</v>
      </c>
      <c r="L543" s="516">
        <v>0</v>
      </c>
      <c r="M543" s="517"/>
      <c r="N543" s="342">
        <v>0</v>
      </c>
      <c r="O543" s="518">
        <v>0</v>
      </c>
      <c r="P543" s="518">
        <v>0</v>
      </c>
      <c r="Q543" s="519"/>
      <c r="R543" s="516">
        <v>0</v>
      </c>
      <c r="S543" s="516">
        <v>0</v>
      </c>
      <c r="T543" s="516">
        <v>0</v>
      </c>
      <c r="U543" s="517"/>
      <c r="V543" s="342">
        <v>0</v>
      </c>
      <c r="W543" s="518">
        <v>0</v>
      </c>
    </row>
    <row r="544" spans="1:23" x14ac:dyDescent="0.25">
      <c r="A544" s="515">
        <v>539</v>
      </c>
      <c r="B544" t="s">
        <v>540</v>
      </c>
      <c r="C544" s="308" t="s">
        <v>18</v>
      </c>
      <c r="D544" s="308" t="s">
        <v>16</v>
      </c>
      <c r="F544" s="516">
        <v>0</v>
      </c>
      <c r="G544" s="516">
        <v>0</v>
      </c>
      <c r="H544" s="516">
        <v>0</v>
      </c>
      <c r="I544" s="517"/>
      <c r="J544" s="516">
        <v>0</v>
      </c>
      <c r="K544" s="516">
        <v>0</v>
      </c>
      <c r="L544" s="516">
        <v>0</v>
      </c>
      <c r="M544" s="517"/>
      <c r="N544" s="342">
        <v>0</v>
      </c>
      <c r="O544" s="518">
        <v>0</v>
      </c>
      <c r="P544" s="518">
        <v>0</v>
      </c>
      <c r="Q544" s="519"/>
      <c r="R544" s="516">
        <v>0</v>
      </c>
      <c r="S544" s="516">
        <v>0</v>
      </c>
      <c r="T544" s="516">
        <v>0</v>
      </c>
      <c r="U544" s="517"/>
      <c r="V544" s="342">
        <v>0</v>
      </c>
      <c r="W544" s="518">
        <v>0</v>
      </c>
    </row>
    <row r="545" spans="1:23" x14ac:dyDescent="0.25">
      <c r="A545" s="515">
        <v>540</v>
      </c>
      <c r="B545" t="s">
        <v>541</v>
      </c>
      <c r="C545" s="308" t="s">
        <v>18</v>
      </c>
      <c r="D545" s="308" t="s">
        <v>16</v>
      </c>
      <c r="F545" s="516">
        <v>0</v>
      </c>
      <c r="G545" s="516">
        <v>0</v>
      </c>
      <c r="H545" s="516">
        <v>0</v>
      </c>
      <c r="I545" s="517"/>
      <c r="J545" s="516">
        <v>0</v>
      </c>
      <c r="K545" s="516">
        <v>0</v>
      </c>
      <c r="L545" s="516">
        <v>0</v>
      </c>
      <c r="M545" s="517"/>
      <c r="N545" s="342">
        <v>0</v>
      </c>
      <c r="O545" s="518">
        <v>0</v>
      </c>
      <c r="P545" s="518">
        <v>0</v>
      </c>
      <c r="Q545" s="519"/>
      <c r="R545" s="516">
        <v>0</v>
      </c>
      <c r="S545" s="516">
        <v>0</v>
      </c>
      <c r="T545" s="516">
        <v>0</v>
      </c>
      <c r="U545" s="517"/>
      <c r="V545" s="342">
        <v>0</v>
      </c>
      <c r="W545" s="518">
        <v>0</v>
      </c>
    </row>
    <row r="546" spans="1:23" x14ac:dyDescent="0.25">
      <c r="A546" s="515">
        <v>541</v>
      </c>
      <c r="B546" t="s">
        <v>542</v>
      </c>
      <c r="C546" s="308" t="s">
        <v>18</v>
      </c>
      <c r="D546" s="308" t="s">
        <v>16</v>
      </c>
      <c r="F546" s="516">
        <v>0</v>
      </c>
      <c r="G546" s="516">
        <v>0</v>
      </c>
      <c r="H546" s="516">
        <v>0</v>
      </c>
      <c r="I546" s="517"/>
      <c r="J546" s="516">
        <v>0</v>
      </c>
      <c r="K546" s="516">
        <v>0</v>
      </c>
      <c r="L546" s="516">
        <v>0</v>
      </c>
      <c r="M546" s="517"/>
      <c r="N546" s="342">
        <v>0</v>
      </c>
      <c r="O546" s="518">
        <v>0</v>
      </c>
      <c r="P546" s="518">
        <v>0</v>
      </c>
      <c r="Q546" s="519"/>
      <c r="R546" s="516">
        <v>0</v>
      </c>
      <c r="S546" s="516">
        <v>0</v>
      </c>
      <c r="T546" s="516">
        <v>0</v>
      </c>
      <c r="U546" s="517"/>
      <c r="V546" s="342">
        <v>0</v>
      </c>
      <c r="W546" s="518">
        <v>0</v>
      </c>
    </row>
    <row r="547" spans="1:23" x14ac:dyDescent="0.25">
      <c r="A547" s="515">
        <v>542</v>
      </c>
      <c r="B547" t="s">
        <v>543</v>
      </c>
      <c r="C547" s="308" t="s">
        <v>18</v>
      </c>
      <c r="D547" s="308" t="s">
        <v>16</v>
      </c>
      <c r="F547" s="516">
        <v>0</v>
      </c>
      <c r="G547" s="516">
        <v>0</v>
      </c>
      <c r="H547" s="516">
        <v>0</v>
      </c>
      <c r="I547" s="517"/>
      <c r="J547" s="516">
        <v>0</v>
      </c>
      <c r="K547" s="516">
        <v>0</v>
      </c>
      <c r="L547" s="516">
        <v>0</v>
      </c>
      <c r="M547" s="517"/>
      <c r="N547" s="342">
        <v>0</v>
      </c>
      <c r="O547" s="518">
        <v>0</v>
      </c>
      <c r="P547" s="518">
        <v>0</v>
      </c>
      <c r="Q547" s="519"/>
      <c r="R547" s="516">
        <v>0</v>
      </c>
      <c r="S547" s="516">
        <v>0</v>
      </c>
      <c r="T547" s="516">
        <v>0</v>
      </c>
      <c r="U547" s="517"/>
      <c r="V547" s="342">
        <v>0</v>
      </c>
      <c r="W547" s="518">
        <v>0</v>
      </c>
    </row>
    <row r="548" spans="1:23" x14ac:dyDescent="0.25">
      <c r="A548" s="515">
        <v>543</v>
      </c>
      <c r="B548" t="s">
        <v>544</v>
      </c>
      <c r="C548" s="308" t="s">
        <v>18</v>
      </c>
      <c r="D548" s="308" t="s">
        <v>16</v>
      </c>
      <c r="F548" s="516">
        <v>0</v>
      </c>
      <c r="G548" s="516">
        <v>0</v>
      </c>
      <c r="H548" s="516">
        <v>0</v>
      </c>
      <c r="I548" s="517"/>
      <c r="J548" s="516">
        <v>0</v>
      </c>
      <c r="K548" s="516">
        <v>0</v>
      </c>
      <c r="L548" s="516">
        <v>0</v>
      </c>
      <c r="M548" s="517"/>
      <c r="N548" s="342">
        <v>0</v>
      </c>
      <c r="O548" s="518">
        <v>0</v>
      </c>
      <c r="P548" s="518">
        <v>0</v>
      </c>
      <c r="Q548" s="519"/>
      <c r="R548" s="516">
        <v>0</v>
      </c>
      <c r="S548" s="516">
        <v>0</v>
      </c>
      <c r="T548" s="516">
        <v>0</v>
      </c>
      <c r="U548" s="517"/>
      <c r="V548" s="342">
        <v>0</v>
      </c>
      <c r="W548" s="518">
        <v>0</v>
      </c>
    </row>
    <row r="549" spans="1:23" x14ac:dyDescent="0.25">
      <c r="A549" s="515">
        <v>544</v>
      </c>
      <c r="B549" t="s">
        <v>545</v>
      </c>
      <c r="C549" s="308" t="s">
        <v>18</v>
      </c>
      <c r="D549" s="308" t="s">
        <v>16</v>
      </c>
      <c r="F549" s="516">
        <v>0</v>
      </c>
      <c r="G549" s="516">
        <v>0</v>
      </c>
      <c r="H549" s="516">
        <v>0</v>
      </c>
      <c r="I549" s="517"/>
      <c r="J549" s="516">
        <v>0</v>
      </c>
      <c r="K549" s="516">
        <v>0</v>
      </c>
      <c r="L549" s="516">
        <v>0</v>
      </c>
      <c r="M549" s="517"/>
      <c r="N549" s="342">
        <v>0</v>
      </c>
      <c r="O549" s="518">
        <v>0</v>
      </c>
      <c r="P549" s="518">
        <v>0</v>
      </c>
      <c r="Q549" s="519"/>
      <c r="R549" s="516">
        <v>0</v>
      </c>
      <c r="S549" s="516">
        <v>0</v>
      </c>
      <c r="T549" s="516">
        <v>0</v>
      </c>
      <c r="U549" s="517"/>
      <c r="V549" s="342">
        <v>0</v>
      </c>
      <c r="W549" s="518">
        <v>0</v>
      </c>
    </row>
    <row r="550" spans="1:23" x14ac:dyDescent="0.25">
      <c r="A550" s="515">
        <v>545</v>
      </c>
      <c r="B550" t="s">
        <v>546</v>
      </c>
      <c r="C550" s="308" t="s">
        <v>18</v>
      </c>
      <c r="D550" s="308" t="s">
        <v>16</v>
      </c>
      <c r="F550" s="516">
        <v>0</v>
      </c>
      <c r="G550" s="516">
        <v>0</v>
      </c>
      <c r="H550" s="516">
        <v>0</v>
      </c>
      <c r="I550" s="517"/>
      <c r="J550" s="516">
        <v>0</v>
      </c>
      <c r="K550" s="516">
        <v>0</v>
      </c>
      <c r="L550" s="516">
        <v>0</v>
      </c>
      <c r="M550" s="517"/>
      <c r="N550" s="342">
        <v>0</v>
      </c>
      <c r="O550" s="518">
        <v>0</v>
      </c>
      <c r="P550" s="518">
        <v>0</v>
      </c>
      <c r="Q550" s="519"/>
      <c r="R550" s="516">
        <v>0</v>
      </c>
      <c r="S550" s="516">
        <v>0</v>
      </c>
      <c r="T550" s="516">
        <v>0</v>
      </c>
      <c r="U550" s="517"/>
      <c r="V550" s="342">
        <v>0</v>
      </c>
      <c r="W550" s="518">
        <v>0</v>
      </c>
    </row>
    <row r="551" spans="1:23" x14ac:dyDescent="0.25">
      <c r="A551" s="515">
        <v>546</v>
      </c>
      <c r="B551" t="s">
        <v>547</v>
      </c>
      <c r="C551" s="308" t="s">
        <v>18</v>
      </c>
      <c r="D551" s="308" t="s">
        <v>16</v>
      </c>
      <c r="F551" s="516">
        <v>0</v>
      </c>
      <c r="G551" s="516">
        <v>0</v>
      </c>
      <c r="H551" s="516">
        <v>0</v>
      </c>
      <c r="I551" s="517"/>
      <c r="J551" s="516">
        <v>0</v>
      </c>
      <c r="K551" s="516">
        <v>0</v>
      </c>
      <c r="L551" s="516">
        <v>0</v>
      </c>
      <c r="M551" s="517"/>
      <c r="N551" s="342">
        <v>0</v>
      </c>
      <c r="O551" s="518">
        <v>0</v>
      </c>
      <c r="P551" s="518">
        <v>0</v>
      </c>
      <c r="Q551" s="519"/>
      <c r="R551" s="516">
        <v>0</v>
      </c>
      <c r="S551" s="516">
        <v>0</v>
      </c>
      <c r="T551" s="516">
        <v>0</v>
      </c>
      <c r="U551" s="517"/>
      <c r="V551" s="342">
        <v>0</v>
      </c>
      <c r="W551" s="518">
        <v>0</v>
      </c>
    </row>
    <row r="552" spans="1:23" x14ac:dyDescent="0.25">
      <c r="A552" s="515">
        <v>547</v>
      </c>
      <c r="B552" t="s">
        <v>548</v>
      </c>
      <c r="C552" s="308" t="s">
        <v>18</v>
      </c>
      <c r="D552" s="308" t="s">
        <v>16</v>
      </c>
      <c r="F552" s="516">
        <v>0</v>
      </c>
      <c r="G552" s="516">
        <v>0</v>
      </c>
      <c r="H552" s="516">
        <v>0</v>
      </c>
      <c r="I552" s="517"/>
      <c r="J552" s="516">
        <v>0</v>
      </c>
      <c r="K552" s="516">
        <v>0</v>
      </c>
      <c r="L552" s="516">
        <v>0</v>
      </c>
      <c r="M552" s="517"/>
      <c r="N552" s="342">
        <v>0</v>
      </c>
      <c r="O552" s="518">
        <v>0</v>
      </c>
      <c r="P552" s="518">
        <v>0</v>
      </c>
      <c r="Q552" s="519"/>
      <c r="R552" s="516">
        <v>0</v>
      </c>
      <c r="S552" s="516">
        <v>0</v>
      </c>
      <c r="T552" s="516">
        <v>0</v>
      </c>
      <c r="U552" s="517"/>
      <c r="V552" s="342">
        <v>0</v>
      </c>
      <c r="W552" s="518">
        <v>0</v>
      </c>
    </row>
    <row r="553" spans="1:23" x14ac:dyDescent="0.25">
      <c r="A553" s="515">
        <v>548</v>
      </c>
      <c r="B553" t="s">
        <v>549</v>
      </c>
      <c r="C553" s="308" t="s">
        <v>18</v>
      </c>
      <c r="D553" s="308" t="s">
        <v>16</v>
      </c>
      <c r="F553" s="516">
        <v>0</v>
      </c>
      <c r="G553" s="516">
        <v>0</v>
      </c>
      <c r="H553" s="516">
        <v>0</v>
      </c>
      <c r="I553" s="517"/>
      <c r="J553" s="516">
        <v>0</v>
      </c>
      <c r="K553" s="516">
        <v>0</v>
      </c>
      <c r="L553" s="516">
        <v>0</v>
      </c>
      <c r="M553" s="517"/>
      <c r="N553" s="342">
        <v>0</v>
      </c>
      <c r="O553" s="518">
        <v>0</v>
      </c>
      <c r="P553" s="518">
        <v>0</v>
      </c>
      <c r="Q553" s="519"/>
      <c r="R553" s="516">
        <v>0</v>
      </c>
      <c r="S553" s="516">
        <v>0</v>
      </c>
      <c r="T553" s="516">
        <v>0</v>
      </c>
      <c r="U553" s="517"/>
      <c r="V553" s="342">
        <v>0</v>
      </c>
      <c r="W553" s="518">
        <v>0</v>
      </c>
    </row>
    <row r="554" spans="1:23" x14ac:dyDescent="0.25">
      <c r="A554" s="515">
        <v>549</v>
      </c>
      <c r="B554" t="s">
        <v>550</v>
      </c>
      <c r="C554" s="308" t="s">
        <v>18</v>
      </c>
      <c r="D554" s="308" t="s">
        <v>16</v>
      </c>
      <c r="F554" s="516">
        <v>0</v>
      </c>
      <c r="G554" s="516">
        <v>0</v>
      </c>
      <c r="H554" s="516">
        <v>0</v>
      </c>
      <c r="I554" s="517"/>
      <c r="J554" s="516">
        <v>0</v>
      </c>
      <c r="K554" s="516">
        <v>0</v>
      </c>
      <c r="L554" s="516">
        <v>0</v>
      </c>
      <c r="M554" s="517"/>
      <c r="N554" s="342">
        <v>0</v>
      </c>
      <c r="O554" s="518">
        <v>0</v>
      </c>
      <c r="P554" s="518">
        <v>0</v>
      </c>
      <c r="Q554" s="519"/>
      <c r="R554" s="516">
        <v>0</v>
      </c>
      <c r="S554" s="516">
        <v>0</v>
      </c>
      <c r="T554" s="516">
        <v>0</v>
      </c>
      <c r="U554" s="517"/>
      <c r="V554" s="342">
        <v>0</v>
      </c>
      <c r="W554" s="518">
        <v>0</v>
      </c>
    </row>
    <row r="555" spans="1:23" x14ac:dyDescent="0.25">
      <c r="A555" s="515">
        <v>550</v>
      </c>
      <c r="B555" t="s">
        <v>551</v>
      </c>
      <c r="C555" s="308" t="s">
        <v>18</v>
      </c>
      <c r="D555" s="308" t="s">
        <v>16</v>
      </c>
      <c r="F555" s="516">
        <v>0</v>
      </c>
      <c r="G555" s="516">
        <v>0</v>
      </c>
      <c r="H555" s="516">
        <v>0</v>
      </c>
      <c r="I555" s="517"/>
      <c r="J555" s="516">
        <v>0</v>
      </c>
      <c r="K555" s="516">
        <v>0</v>
      </c>
      <c r="L555" s="516">
        <v>0</v>
      </c>
      <c r="M555" s="517"/>
      <c r="N555" s="342">
        <v>0</v>
      </c>
      <c r="O555" s="518">
        <v>0</v>
      </c>
      <c r="P555" s="518">
        <v>0</v>
      </c>
      <c r="Q555" s="519"/>
      <c r="R555" s="516">
        <v>0</v>
      </c>
      <c r="S555" s="516">
        <v>0</v>
      </c>
      <c r="T555" s="516">
        <v>0</v>
      </c>
      <c r="U555" s="517"/>
      <c r="V555" s="342">
        <v>0</v>
      </c>
      <c r="W555" s="518">
        <v>0</v>
      </c>
    </row>
    <row r="556" spans="1:23" x14ac:dyDescent="0.25">
      <c r="A556" s="515">
        <v>551</v>
      </c>
      <c r="B556" t="s">
        <v>552</v>
      </c>
      <c r="C556" s="308" t="s">
        <v>18</v>
      </c>
      <c r="D556" s="308" t="s">
        <v>16</v>
      </c>
      <c r="F556" s="516">
        <v>0</v>
      </c>
      <c r="G556" s="516">
        <v>0</v>
      </c>
      <c r="H556" s="516">
        <v>0</v>
      </c>
      <c r="I556" s="517"/>
      <c r="J556" s="516">
        <v>0</v>
      </c>
      <c r="K556" s="516">
        <v>0</v>
      </c>
      <c r="L556" s="516">
        <v>0</v>
      </c>
      <c r="M556" s="517"/>
      <c r="N556" s="342">
        <v>0</v>
      </c>
      <c r="O556" s="518">
        <v>0</v>
      </c>
      <c r="P556" s="518">
        <v>0</v>
      </c>
      <c r="Q556" s="519"/>
      <c r="R556" s="516">
        <v>0</v>
      </c>
      <c r="S556" s="516">
        <v>0</v>
      </c>
      <c r="T556" s="516">
        <v>0</v>
      </c>
      <c r="U556" s="517"/>
      <c r="V556" s="342">
        <v>0</v>
      </c>
      <c r="W556" s="518">
        <v>0</v>
      </c>
    </row>
    <row r="557" spans="1:23" x14ac:dyDescent="0.25">
      <c r="A557" s="515">
        <v>552</v>
      </c>
      <c r="B557" t="s">
        <v>553</v>
      </c>
      <c r="C557" s="308" t="s">
        <v>18</v>
      </c>
      <c r="D557" s="308" t="s">
        <v>16</v>
      </c>
      <c r="F557" s="516">
        <v>0</v>
      </c>
      <c r="G557" s="516">
        <v>0</v>
      </c>
      <c r="H557" s="516">
        <v>0</v>
      </c>
      <c r="I557" s="517"/>
      <c r="J557" s="516">
        <v>0</v>
      </c>
      <c r="K557" s="516">
        <v>0</v>
      </c>
      <c r="L557" s="516">
        <v>0</v>
      </c>
      <c r="M557" s="517"/>
      <c r="N557" s="342">
        <v>0</v>
      </c>
      <c r="O557" s="518">
        <v>0</v>
      </c>
      <c r="P557" s="518">
        <v>0</v>
      </c>
      <c r="Q557" s="519"/>
      <c r="R557" s="516">
        <v>0</v>
      </c>
      <c r="S557" s="516">
        <v>0</v>
      </c>
      <c r="T557" s="516">
        <v>0</v>
      </c>
      <c r="U557" s="517"/>
      <c r="V557" s="342">
        <v>0</v>
      </c>
      <c r="W557" s="518">
        <v>0</v>
      </c>
    </row>
    <row r="558" spans="1:23" x14ac:dyDescent="0.25">
      <c r="A558" s="515">
        <v>553</v>
      </c>
      <c r="B558" t="s">
        <v>554</v>
      </c>
      <c r="C558" s="308" t="s">
        <v>18</v>
      </c>
      <c r="D558" s="308" t="s">
        <v>16</v>
      </c>
      <c r="F558" s="516">
        <v>0</v>
      </c>
      <c r="G558" s="516">
        <v>0</v>
      </c>
      <c r="H558" s="516">
        <v>0</v>
      </c>
      <c r="I558" s="517"/>
      <c r="J558" s="516">
        <v>0</v>
      </c>
      <c r="K558" s="516">
        <v>0</v>
      </c>
      <c r="L558" s="516">
        <v>0</v>
      </c>
      <c r="M558" s="517"/>
      <c r="N558" s="342">
        <v>0</v>
      </c>
      <c r="O558" s="518">
        <v>0</v>
      </c>
      <c r="P558" s="518">
        <v>0</v>
      </c>
      <c r="Q558" s="519"/>
      <c r="R558" s="516">
        <v>0</v>
      </c>
      <c r="S558" s="516">
        <v>0</v>
      </c>
      <c r="T558" s="516">
        <v>0</v>
      </c>
      <c r="U558" s="517"/>
      <c r="V558" s="342">
        <v>0</v>
      </c>
      <c r="W558" s="518">
        <v>0</v>
      </c>
    </row>
    <row r="559" spans="1:23" x14ac:dyDescent="0.25">
      <c r="A559" s="515">
        <v>554</v>
      </c>
      <c r="B559" t="s">
        <v>555</v>
      </c>
      <c r="C559" s="308" t="s">
        <v>18</v>
      </c>
      <c r="D559" s="308" t="s">
        <v>16</v>
      </c>
      <c r="F559" s="516">
        <v>0</v>
      </c>
      <c r="G559" s="516">
        <v>0</v>
      </c>
      <c r="H559" s="516">
        <v>0</v>
      </c>
      <c r="I559" s="517"/>
      <c r="J559" s="516">
        <v>0</v>
      </c>
      <c r="K559" s="516">
        <v>0</v>
      </c>
      <c r="L559" s="516">
        <v>0</v>
      </c>
      <c r="M559" s="517"/>
      <c r="N559" s="342">
        <v>0</v>
      </c>
      <c r="O559" s="518">
        <v>0</v>
      </c>
      <c r="P559" s="518">
        <v>0</v>
      </c>
      <c r="Q559" s="519"/>
      <c r="R559" s="516">
        <v>0</v>
      </c>
      <c r="S559" s="516">
        <v>0</v>
      </c>
      <c r="T559" s="516">
        <v>0</v>
      </c>
      <c r="U559" s="517"/>
      <c r="V559" s="342">
        <v>0</v>
      </c>
      <c r="W559" s="518">
        <v>0</v>
      </c>
    </row>
    <row r="560" spans="1:23" x14ac:dyDescent="0.25">
      <c r="A560" s="515">
        <v>555</v>
      </c>
      <c r="B560" t="s">
        <v>556</v>
      </c>
      <c r="C560" s="308" t="s">
        <v>18</v>
      </c>
      <c r="D560" s="308" t="s">
        <v>16</v>
      </c>
      <c r="F560" s="516">
        <v>0</v>
      </c>
      <c r="G560" s="516">
        <v>0</v>
      </c>
      <c r="H560" s="516">
        <v>0</v>
      </c>
      <c r="I560" s="517"/>
      <c r="J560" s="516">
        <v>0</v>
      </c>
      <c r="K560" s="516">
        <v>0</v>
      </c>
      <c r="L560" s="516">
        <v>0</v>
      </c>
      <c r="M560" s="517"/>
      <c r="N560" s="342">
        <v>0</v>
      </c>
      <c r="O560" s="518">
        <v>0</v>
      </c>
      <c r="P560" s="518">
        <v>0</v>
      </c>
      <c r="Q560" s="519"/>
      <c r="R560" s="516">
        <v>0</v>
      </c>
      <c r="S560" s="516">
        <v>0</v>
      </c>
      <c r="T560" s="516">
        <v>0</v>
      </c>
      <c r="U560" s="517"/>
      <c r="V560" s="342">
        <v>0</v>
      </c>
      <c r="W560" s="518">
        <v>0</v>
      </c>
    </row>
    <row r="561" spans="1:23" x14ac:dyDescent="0.25">
      <c r="A561" s="515">
        <v>556</v>
      </c>
      <c r="B561" t="s">
        <v>557</v>
      </c>
      <c r="C561" s="308" t="s">
        <v>18</v>
      </c>
      <c r="D561" s="308" t="s">
        <v>16</v>
      </c>
      <c r="F561" s="516">
        <v>0</v>
      </c>
      <c r="G561" s="516">
        <v>0</v>
      </c>
      <c r="H561" s="516">
        <v>0</v>
      </c>
      <c r="I561" s="517"/>
      <c r="J561" s="516">
        <v>0</v>
      </c>
      <c r="K561" s="516">
        <v>0</v>
      </c>
      <c r="L561" s="516">
        <v>0</v>
      </c>
      <c r="M561" s="517"/>
      <c r="N561" s="342">
        <v>0</v>
      </c>
      <c r="O561" s="518">
        <v>0</v>
      </c>
      <c r="P561" s="518">
        <v>0</v>
      </c>
      <c r="Q561" s="519"/>
      <c r="R561" s="516">
        <v>0</v>
      </c>
      <c r="S561" s="516">
        <v>0</v>
      </c>
      <c r="T561" s="516">
        <v>0</v>
      </c>
      <c r="U561" s="517"/>
      <c r="V561" s="342">
        <v>0</v>
      </c>
      <c r="W561" s="518">
        <v>0</v>
      </c>
    </row>
    <row r="562" spans="1:23" x14ac:dyDescent="0.25">
      <c r="A562" s="515">
        <v>557</v>
      </c>
      <c r="B562" t="s">
        <v>558</v>
      </c>
      <c r="C562" s="308" t="s">
        <v>18</v>
      </c>
      <c r="D562" s="308" t="s">
        <v>16</v>
      </c>
      <c r="F562" s="516">
        <v>0</v>
      </c>
      <c r="G562" s="516">
        <v>0</v>
      </c>
      <c r="H562" s="516">
        <v>0</v>
      </c>
      <c r="I562" s="517"/>
      <c r="J562" s="516">
        <v>0</v>
      </c>
      <c r="K562" s="516">
        <v>0</v>
      </c>
      <c r="L562" s="516">
        <v>0</v>
      </c>
      <c r="M562" s="517"/>
      <c r="N562" s="342">
        <v>0</v>
      </c>
      <c r="O562" s="518">
        <v>0</v>
      </c>
      <c r="P562" s="518">
        <v>0</v>
      </c>
      <c r="Q562" s="519"/>
      <c r="R562" s="516">
        <v>0</v>
      </c>
      <c r="S562" s="516">
        <v>0</v>
      </c>
      <c r="T562" s="516">
        <v>0</v>
      </c>
      <c r="U562" s="517"/>
      <c r="V562" s="342">
        <v>0</v>
      </c>
      <c r="W562" s="518">
        <v>0</v>
      </c>
    </row>
    <row r="563" spans="1:23" x14ac:dyDescent="0.25">
      <c r="A563" s="515">
        <v>558</v>
      </c>
      <c r="B563" t="s">
        <v>559</v>
      </c>
      <c r="C563" s="308" t="s">
        <v>18</v>
      </c>
      <c r="D563" s="308" t="s">
        <v>16</v>
      </c>
      <c r="F563" s="516">
        <v>0</v>
      </c>
      <c r="G563" s="516">
        <v>0</v>
      </c>
      <c r="H563" s="516">
        <v>0</v>
      </c>
      <c r="I563" s="517"/>
      <c r="J563" s="516">
        <v>0</v>
      </c>
      <c r="K563" s="516">
        <v>0</v>
      </c>
      <c r="L563" s="516">
        <v>0</v>
      </c>
      <c r="M563" s="517"/>
      <c r="N563" s="342">
        <v>0</v>
      </c>
      <c r="O563" s="518">
        <v>0</v>
      </c>
      <c r="P563" s="518">
        <v>0</v>
      </c>
      <c r="Q563" s="519"/>
      <c r="R563" s="516">
        <v>0</v>
      </c>
      <c r="S563" s="516">
        <v>0</v>
      </c>
      <c r="T563" s="516">
        <v>0</v>
      </c>
      <c r="U563" s="517"/>
      <c r="V563" s="342">
        <v>0</v>
      </c>
      <c r="W563" s="518">
        <v>0</v>
      </c>
    </row>
    <row r="564" spans="1:23" x14ac:dyDescent="0.25">
      <c r="A564" s="515">
        <v>559</v>
      </c>
      <c r="B564" t="s">
        <v>560</v>
      </c>
      <c r="C564" s="308" t="s">
        <v>18</v>
      </c>
      <c r="D564" s="308" t="s">
        <v>16</v>
      </c>
      <c r="F564" s="516">
        <v>0</v>
      </c>
      <c r="G564" s="516">
        <v>0</v>
      </c>
      <c r="H564" s="516">
        <v>0</v>
      </c>
      <c r="I564" s="517"/>
      <c r="J564" s="516">
        <v>0</v>
      </c>
      <c r="K564" s="516">
        <v>0</v>
      </c>
      <c r="L564" s="516">
        <v>0</v>
      </c>
      <c r="M564" s="517"/>
      <c r="N564" s="342">
        <v>0</v>
      </c>
      <c r="O564" s="518">
        <v>0</v>
      </c>
      <c r="P564" s="518">
        <v>0</v>
      </c>
      <c r="Q564" s="519"/>
      <c r="R564" s="516">
        <v>0</v>
      </c>
      <c r="S564" s="516">
        <v>0</v>
      </c>
      <c r="T564" s="516">
        <v>0</v>
      </c>
      <c r="U564" s="517"/>
      <c r="V564" s="342">
        <v>0</v>
      </c>
      <c r="W564" s="518">
        <v>0</v>
      </c>
    </row>
    <row r="565" spans="1:23" x14ac:dyDescent="0.25">
      <c r="A565" s="515">
        <v>560</v>
      </c>
      <c r="B565" t="s">
        <v>561</v>
      </c>
      <c r="C565" s="308" t="s">
        <v>18</v>
      </c>
      <c r="D565" s="308" t="s">
        <v>16</v>
      </c>
      <c r="F565" s="516">
        <v>0</v>
      </c>
      <c r="G565" s="516">
        <v>0</v>
      </c>
      <c r="H565" s="516">
        <v>0</v>
      </c>
      <c r="I565" s="517"/>
      <c r="J565" s="516">
        <v>0</v>
      </c>
      <c r="K565" s="516">
        <v>0</v>
      </c>
      <c r="L565" s="516">
        <v>0</v>
      </c>
      <c r="M565" s="517"/>
      <c r="N565" s="342">
        <v>0</v>
      </c>
      <c r="O565" s="518">
        <v>0</v>
      </c>
      <c r="P565" s="518">
        <v>0</v>
      </c>
      <c r="Q565" s="519"/>
      <c r="R565" s="516">
        <v>0</v>
      </c>
      <c r="S565" s="516">
        <v>0</v>
      </c>
      <c r="T565" s="516">
        <v>0</v>
      </c>
      <c r="U565" s="517"/>
      <c r="V565" s="342">
        <v>0</v>
      </c>
      <c r="W565" s="518">
        <v>0</v>
      </c>
    </row>
    <row r="566" spans="1:23" x14ac:dyDescent="0.25">
      <c r="A566" s="515">
        <v>561</v>
      </c>
      <c r="B566" t="s">
        <v>562</v>
      </c>
      <c r="C566" s="308" t="s">
        <v>18</v>
      </c>
      <c r="D566" s="308" t="s">
        <v>16</v>
      </c>
      <c r="F566" s="516">
        <v>0</v>
      </c>
      <c r="G566" s="516">
        <v>0</v>
      </c>
      <c r="H566" s="516">
        <v>0</v>
      </c>
      <c r="I566" s="517"/>
      <c r="J566" s="516">
        <v>0</v>
      </c>
      <c r="K566" s="516">
        <v>0</v>
      </c>
      <c r="L566" s="516">
        <v>0</v>
      </c>
      <c r="M566" s="517"/>
      <c r="N566" s="342">
        <v>0</v>
      </c>
      <c r="O566" s="518">
        <v>0</v>
      </c>
      <c r="P566" s="518">
        <v>0</v>
      </c>
      <c r="Q566" s="519"/>
      <c r="R566" s="516">
        <v>0</v>
      </c>
      <c r="S566" s="516">
        <v>0</v>
      </c>
      <c r="T566" s="516">
        <v>0</v>
      </c>
      <c r="U566" s="517"/>
      <c r="V566" s="342">
        <v>0</v>
      </c>
      <c r="W566" s="518">
        <v>0</v>
      </c>
    </row>
    <row r="567" spans="1:23" x14ac:dyDescent="0.25">
      <c r="A567" s="515">
        <v>562</v>
      </c>
      <c r="B567" t="s">
        <v>563</v>
      </c>
      <c r="C567" s="308" t="s">
        <v>18</v>
      </c>
      <c r="D567" s="308" t="s">
        <v>16</v>
      </c>
      <c r="F567" s="516">
        <v>0</v>
      </c>
      <c r="G567" s="516">
        <v>0</v>
      </c>
      <c r="H567" s="516">
        <v>0</v>
      </c>
      <c r="I567" s="517"/>
      <c r="J567" s="516">
        <v>0</v>
      </c>
      <c r="K567" s="516">
        <v>0</v>
      </c>
      <c r="L567" s="516">
        <v>0</v>
      </c>
      <c r="M567" s="517"/>
      <c r="N567" s="342">
        <v>0</v>
      </c>
      <c r="O567" s="518">
        <v>0</v>
      </c>
      <c r="P567" s="518">
        <v>0</v>
      </c>
      <c r="Q567" s="519"/>
      <c r="R567" s="516">
        <v>0</v>
      </c>
      <c r="S567" s="516">
        <v>0</v>
      </c>
      <c r="T567" s="516">
        <v>0</v>
      </c>
      <c r="U567" s="517"/>
      <c r="V567" s="342">
        <v>0</v>
      </c>
      <c r="W567" s="518">
        <v>0</v>
      </c>
    </row>
    <row r="568" spans="1:23" x14ac:dyDescent="0.25">
      <c r="A568" s="515">
        <v>563</v>
      </c>
      <c r="B568" t="s">
        <v>564</v>
      </c>
      <c r="C568" s="308" t="s">
        <v>18</v>
      </c>
      <c r="D568" s="308" t="s">
        <v>16</v>
      </c>
      <c r="F568" s="516">
        <v>0</v>
      </c>
      <c r="G568" s="516">
        <v>0</v>
      </c>
      <c r="H568" s="516">
        <v>0</v>
      </c>
      <c r="I568" s="517"/>
      <c r="J568" s="516">
        <v>0</v>
      </c>
      <c r="K568" s="516">
        <v>0</v>
      </c>
      <c r="L568" s="516">
        <v>0</v>
      </c>
      <c r="M568" s="517"/>
      <c r="N568" s="342">
        <v>0</v>
      </c>
      <c r="O568" s="518">
        <v>0</v>
      </c>
      <c r="P568" s="518">
        <v>0</v>
      </c>
      <c r="Q568" s="519"/>
      <c r="R568" s="516">
        <v>0</v>
      </c>
      <c r="S568" s="516">
        <v>0</v>
      </c>
      <c r="T568" s="516">
        <v>0</v>
      </c>
      <c r="U568" s="517"/>
      <c r="V568" s="342">
        <v>0</v>
      </c>
      <c r="W568" s="518">
        <v>0</v>
      </c>
    </row>
    <row r="569" spans="1:23" x14ac:dyDescent="0.25">
      <c r="A569" s="515">
        <v>564</v>
      </c>
      <c r="B569" t="s">
        <v>565</v>
      </c>
      <c r="C569" s="308" t="s">
        <v>18</v>
      </c>
      <c r="D569" s="308" t="s">
        <v>16</v>
      </c>
      <c r="F569" s="516">
        <v>0</v>
      </c>
      <c r="G569" s="516">
        <v>0</v>
      </c>
      <c r="H569" s="516">
        <v>0</v>
      </c>
      <c r="I569" s="517"/>
      <c r="J569" s="516">
        <v>0</v>
      </c>
      <c r="K569" s="516">
        <v>0</v>
      </c>
      <c r="L569" s="516">
        <v>0</v>
      </c>
      <c r="M569" s="517"/>
      <c r="N569" s="342">
        <v>0</v>
      </c>
      <c r="O569" s="518">
        <v>0</v>
      </c>
      <c r="P569" s="518">
        <v>0</v>
      </c>
      <c r="Q569" s="519"/>
      <c r="R569" s="516">
        <v>0</v>
      </c>
      <c r="S569" s="516">
        <v>0</v>
      </c>
      <c r="T569" s="516">
        <v>0</v>
      </c>
      <c r="U569" s="517"/>
      <c r="V569" s="342">
        <v>0</v>
      </c>
      <c r="W569" s="518">
        <v>0</v>
      </c>
    </row>
    <row r="570" spans="1:23" x14ac:dyDescent="0.25">
      <c r="A570" s="515">
        <v>565</v>
      </c>
      <c r="B570" t="s">
        <v>566</v>
      </c>
      <c r="C570" s="308" t="s">
        <v>18</v>
      </c>
      <c r="D570" s="308" t="s">
        <v>16</v>
      </c>
      <c r="F570" s="516">
        <v>0</v>
      </c>
      <c r="G570" s="516">
        <v>0</v>
      </c>
      <c r="H570" s="516">
        <v>0</v>
      </c>
      <c r="I570" s="517"/>
      <c r="J570" s="516">
        <v>0</v>
      </c>
      <c r="K570" s="516">
        <v>0</v>
      </c>
      <c r="L570" s="516">
        <v>0</v>
      </c>
      <c r="M570" s="517"/>
      <c r="N570" s="342">
        <v>0</v>
      </c>
      <c r="O570" s="518">
        <v>0</v>
      </c>
      <c r="P570" s="518">
        <v>0</v>
      </c>
      <c r="Q570" s="519"/>
      <c r="R570" s="520">
        <v>0</v>
      </c>
      <c r="S570" s="521">
        <v>0</v>
      </c>
      <c r="T570" s="516">
        <v>0</v>
      </c>
      <c r="U570" s="517"/>
      <c r="V570" s="342">
        <v>0</v>
      </c>
      <c r="W570" s="518">
        <v>0</v>
      </c>
    </row>
    <row r="571" spans="1:23" x14ac:dyDescent="0.25">
      <c r="A571" s="515">
        <v>566</v>
      </c>
      <c r="B571" t="s">
        <v>567</v>
      </c>
      <c r="C571" s="308" t="s">
        <v>18</v>
      </c>
      <c r="D571" s="308" t="s">
        <v>16</v>
      </c>
      <c r="F571" s="516">
        <v>0</v>
      </c>
      <c r="G571" s="516">
        <v>0</v>
      </c>
      <c r="H571" s="516">
        <v>0</v>
      </c>
      <c r="I571" s="517"/>
      <c r="J571" s="516">
        <v>0</v>
      </c>
      <c r="K571" s="516">
        <v>0</v>
      </c>
      <c r="L571" s="516">
        <v>0</v>
      </c>
      <c r="M571" s="517"/>
      <c r="N571" s="342">
        <v>0</v>
      </c>
      <c r="O571" s="518">
        <v>0</v>
      </c>
      <c r="P571" s="518">
        <v>0</v>
      </c>
      <c r="Q571" s="519"/>
      <c r="R571" s="516">
        <v>0</v>
      </c>
      <c r="S571" s="516">
        <v>0</v>
      </c>
      <c r="T571" s="516">
        <v>0</v>
      </c>
      <c r="U571" s="517"/>
      <c r="V571" s="342">
        <v>0</v>
      </c>
      <c r="W571" s="518">
        <v>0</v>
      </c>
    </row>
    <row r="572" spans="1:23" x14ac:dyDescent="0.25">
      <c r="A572" s="515">
        <v>567</v>
      </c>
      <c r="B572" t="s">
        <v>568</v>
      </c>
      <c r="C572" s="308" t="s">
        <v>18</v>
      </c>
      <c r="D572" s="308" t="s">
        <v>16</v>
      </c>
      <c r="F572" s="516">
        <v>0</v>
      </c>
      <c r="G572" s="516">
        <v>0</v>
      </c>
      <c r="H572" s="516">
        <v>0</v>
      </c>
      <c r="I572" s="517"/>
      <c r="J572" s="516">
        <v>0</v>
      </c>
      <c r="K572" s="516">
        <v>0</v>
      </c>
      <c r="L572" s="516">
        <v>0</v>
      </c>
      <c r="M572" s="517"/>
      <c r="N572" s="342">
        <v>0</v>
      </c>
      <c r="O572" s="518">
        <v>0</v>
      </c>
      <c r="P572" s="518">
        <v>0</v>
      </c>
      <c r="Q572" s="519"/>
      <c r="R572" s="516">
        <v>0</v>
      </c>
      <c r="S572" s="516">
        <v>0</v>
      </c>
      <c r="T572" s="516">
        <v>0</v>
      </c>
      <c r="U572" s="517"/>
      <c r="V572" s="342">
        <v>0</v>
      </c>
      <c r="W572" s="518">
        <v>0</v>
      </c>
    </row>
    <row r="573" spans="1:23" x14ac:dyDescent="0.25">
      <c r="A573" s="515">
        <v>568</v>
      </c>
      <c r="B573" t="s">
        <v>569</v>
      </c>
      <c r="C573" s="308" t="s">
        <v>18</v>
      </c>
      <c r="D573" s="308" t="s">
        <v>16</v>
      </c>
      <c r="F573" s="516">
        <v>0</v>
      </c>
      <c r="G573" s="516">
        <v>0</v>
      </c>
      <c r="H573" s="516">
        <v>0</v>
      </c>
      <c r="I573" s="517"/>
      <c r="J573" s="516">
        <v>0</v>
      </c>
      <c r="K573" s="516">
        <v>0</v>
      </c>
      <c r="L573" s="516">
        <v>0</v>
      </c>
      <c r="M573" s="517"/>
      <c r="N573" s="342">
        <v>0</v>
      </c>
      <c r="O573" s="518">
        <v>0</v>
      </c>
      <c r="P573" s="518">
        <v>0</v>
      </c>
      <c r="Q573" s="519"/>
      <c r="R573" s="516">
        <v>0</v>
      </c>
      <c r="S573" s="516">
        <v>0</v>
      </c>
      <c r="T573" s="516">
        <v>0</v>
      </c>
      <c r="U573" s="517"/>
      <c r="V573" s="342">
        <v>0</v>
      </c>
      <c r="W573" s="518">
        <v>0</v>
      </c>
    </row>
    <row r="574" spans="1:23" x14ac:dyDescent="0.25">
      <c r="A574" s="515">
        <v>569</v>
      </c>
      <c r="B574" t="s">
        <v>570</v>
      </c>
      <c r="C574" s="308" t="s">
        <v>18</v>
      </c>
      <c r="D574" s="308" t="s">
        <v>16</v>
      </c>
      <c r="F574" s="516">
        <v>0</v>
      </c>
      <c r="G574" s="516">
        <v>0</v>
      </c>
      <c r="H574" s="516">
        <v>0</v>
      </c>
      <c r="I574" s="517"/>
      <c r="J574" s="516">
        <v>0</v>
      </c>
      <c r="K574" s="516">
        <v>0</v>
      </c>
      <c r="L574" s="516">
        <v>0</v>
      </c>
      <c r="M574" s="517"/>
      <c r="N574" s="342">
        <v>0</v>
      </c>
      <c r="O574" s="518">
        <v>0</v>
      </c>
      <c r="P574" s="518">
        <v>0</v>
      </c>
      <c r="Q574" s="519"/>
      <c r="R574" s="516">
        <v>0</v>
      </c>
      <c r="S574" s="516">
        <v>0</v>
      </c>
      <c r="T574" s="516">
        <v>0</v>
      </c>
      <c r="U574" s="517"/>
      <c r="V574" s="342">
        <v>0</v>
      </c>
      <c r="W574" s="518">
        <v>0</v>
      </c>
    </row>
    <row r="575" spans="1:23" x14ac:dyDescent="0.25">
      <c r="A575" s="515">
        <v>570</v>
      </c>
      <c r="B575" t="s">
        <v>571</v>
      </c>
      <c r="C575" s="308" t="s">
        <v>18</v>
      </c>
      <c r="D575" s="308" t="s">
        <v>16</v>
      </c>
      <c r="F575" s="516">
        <v>0</v>
      </c>
      <c r="G575" s="516">
        <v>0</v>
      </c>
      <c r="H575" s="516">
        <v>0</v>
      </c>
      <c r="I575" s="517"/>
      <c r="J575" s="516">
        <v>0</v>
      </c>
      <c r="K575" s="516">
        <v>0</v>
      </c>
      <c r="L575" s="516">
        <v>0</v>
      </c>
      <c r="M575" s="517"/>
      <c r="N575" s="342">
        <v>0</v>
      </c>
      <c r="O575" s="518">
        <v>0</v>
      </c>
      <c r="P575" s="518">
        <v>0</v>
      </c>
      <c r="Q575" s="519"/>
      <c r="R575" s="516">
        <v>0</v>
      </c>
      <c r="S575" s="516">
        <v>0</v>
      </c>
      <c r="T575" s="516">
        <v>0</v>
      </c>
      <c r="U575" s="517"/>
      <c r="V575" s="342">
        <v>0</v>
      </c>
      <c r="W575" s="518">
        <v>0</v>
      </c>
    </row>
    <row r="576" spans="1:23" x14ac:dyDescent="0.25">
      <c r="A576" s="515">
        <v>571</v>
      </c>
      <c r="B576" t="s">
        <v>572</v>
      </c>
      <c r="C576" s="308" t="s">
        <v>18</v>
      </c>
      <c r="D576" s="308" t="s">
        <v>16</v>
      </c>
      <c r="F576" s="516">
        <v>0</v>
      </c>
      <c r="G576" s="516">
        <v>0</v>
      </c>
      <c r="H576" s="516">
        <v>0</v>
      </c>
      <c r="I576" s="517"/>
      <c r="J576" s="516">
        <v>0</v>
      </c>
      <c r="K576" s="516">
        <v>0</v>
      </c>
      <c r="L576" s="516">
        <v>0</v>
      </c>
      <c r="M576" s="517"/>
      <c r="N576" s="342">
        <v>0</v>
      </c>
      <c r="O576" s="518">
        <v>0</v>
      </c>
      <c r="P576" s="518">
        <v>0</v>
      </c>
      <c r="Q576" s="519"/>
      <c r="R576" s="516">
        <v>0</v>
      </c>
      <c r="S576" s="516">
        <v>0</v>
      </c>
      <c r="T576" s="516">
        <v>0</v>
      </c>
      <c r="U576" s="517"/>
      <c r="V576" s="342">
        <v>0</v>
      </c>
      <c r="W576" s="518">
        <v>0</v>
      </c>
    </row>
    <row r="577" spans="1:23" x14ac:dyDescent="0.25">
      <c r="A577" s="515">
        <v>572</v>
      </c>
      <c r="B577" t="s">
        <v>573</v>
      </c>
      <c r="C577" s="308" t="s">
        <v>24</v>
      </c>
      <c r="D577" s="308" t="s">
        <v>16</v>
      </c>
      <c r="F577" s="516">
        <v>88</v>
      </c>
      <c r="G577" s="516">
        <v>401139.5</v>
      </c>
      <c r="H577" s="516">
        <v>1320</v>
      </c>
      <c r="I577" s="517"/>
      <c r="J577" s="516">
        <v>0</v>
      </c>
      <c r="K577" s="516">
        <v>0</v>
      </c>
      <c r="L577" s="516">
        <v>0</v>
      </c>
      <c r="M577" s="517"/>
      <c r="N577" s="342">
        <v>88</v>
      </c>
      <c r="O577" s="518">
        <v>401139.5</v>
      </c>
      <c r="P577" s="518">
        <v>1320</v>
      </c>
      <c r="Q577" s="519"/>
      <c r="R577" s="516">
        <v>0</v>
      </c>
      <c r="S577" s="516">
        <v>0</v>
      </c>
      <c r="T577" s="516">
        <v>0</v>
      </c>
      <c r="U577" s="517"/>
      <c r="V577" s="342">
        <v>88</v>
      </c>
      <c r="W577" s="518">
        <v>401139.5</v>
      </c>
    </row>
    <row r="578" spans="1:23" x14ac:dyDescent="0.25">
      <c r="A578" s="515">
        <v>573</v>
      </c>
      <c r="B578" t="s">
        <v>574</v>
      </c>
      <c r="C578" s="308" t="s">
        <v>18</v>
      </c>
      <c r="D578" s="308" t="s">
        <v>16</v>
      </c>
      <c r="F578" s="516">
        <v>2</v>
      </c>
      <c r="G578" s="516">
        <v>6315</v>
      </c>
      <c r="H578" s="516">
        <v>100</v>
      </c>
      <c r="I578" s="517"/>
      <c r="J578" s="516">
        <v>0</v>
      </c>
      <c r="K578" s="516">
        <v>0</v>
      </c>
      <c r="L578" s="516">
        <v>0</v>
      </c>
      <c r="M578" s="517"/>
      <c r="N578" s="342">
        <v>2</v>
      </c>
      <c r="O578" s="518">
        <v>6315</v>
      </c>
      <c r="P578" s="518">
        <v>100</v>
      </c>
      <c r="Q578" s="519"/>
      <c r="R578" s="516">
        <v>0</v>
      </c>
      <c r="S578" s="516">
        <v>0</v>
      </c>
      <c r="T578" s="516">
        <v>0</v>
      </c>
      <c r="U578" s="517"/>
      <c r="V578" s="342">
        <v>2</v>
      </c>
      <c r="W578" s="518">
        <v>6315</v>
      </c>
    </row>
    <row r="579" spans="1:23" x14ac:dyDescent="0.25">
      <c r="A579" s="515">
        <v>574</v>
      </c>
      <c r="B579" t="s">
        <v>575</v>
      </c>
      <c r="C579" s="308" t="s">
        <v>18</v>
      </c>
      <c r="D579" s="308" t="s">
        <v>20</v>
      </c>
      <c r="F579" s="516">
        <v>1</v>
      </c>
      <c r="G579" s="516">
        <v>4739</v>
      </c>
      <c r="H579" s="516">
        <v>25</v>
      </c>
      <c r="I579" s="517"/>
      <c r="J579" s="516">
        <v>0</v>
      </c>
      <c r="K579" s="516">
        <v>0</v>
      </c>
      <c r="L579" s="516">
        <v>0</v>
      </c>
      <c r="M579" s="517"/>
      <c r="N579" s="342">
        <v>1</v>
      </c>
      <c r="O579" s="518">
        <v>4739</v>
      </c>
      <c r="P579" s="518">
        <v>25</v>
      </c>
      <c r="Q579" s="519"/>
      <c r="R579" s="516">
        <v>0</v>
      </c>
      <c r="S579" s="516">
        <v>0</v>
      </c>
      <c r="T579" s="516">
        <v>0</v>
      </c>
      <c r="U579" s="517"/>
      <c r="V579" s="342">
        <v>1</v>
      </c>
      <c r="W579" s="518">
        <v>4739</v>
      </c>
    </row>
    <row r="580" spans="1:23" x14ac:dyDescent="0.25">
      <c r="A580" s="515">
        <v>575</v>
      </c>
      <c r="B580" t="s">
        <v>3305</v>
      </c>
      <c r="C580" s="308" t="s">
        <v>355</v>
      </c>
      <c r="D580" s="308" t="s">
        <v>16</v>
      </c>
      <c r="F580" s="516">
        <v>0</v>
      </c>
      <c r="G580" s="516">
        <v>0</v>
      </c>
      <c r="H580" s="516">
        <v>0</v>
      </c>
      <c r="I580" s="517"/>
      <c r="J580" s="516">
        <v>0</v>
      </c>
      <c r="K580" s="516">
        <v>0</v>
      </c>
      <c r="L580" s="516">
        <v>0</v>
      </c>
      <c r="M580" s="517"/>
      <c r="N580" s="342">
        <v>0</v>
      </c>
      <c r="O580" s="518">
        <v>0</v>
      </c>
      <c r="P580" s="518">
        <v>0</v>
      </c>
      <c r="Q580" s="519"/>
      <c r="R580" s="516">
        <v>0</v>
      </c>
      <c r="S580" s="516">
        <v>0</v>
      </c>
      <c r="T580" s="516">
        <v>0</v>
      </c>
      <c r="U580" s="517"/>
      <c r="V580" s="342">
        <v>0</v>
      </c>
      <c r="W580" s="518">
        <v>0</v>
      </c>
    </row>
    <row r="581" spans="1:23" x14ac:dyDescent="0.25">
      <c r="A581" s="515">
        <v>576</v>
      </c>
      <c r="B581" t="s">
        <v>576</v>
      </c>
      <c r="C581" s="308" t="s">
        <v>90</v>
      </c>
      <c r="D581" s="308" t="s">
        <v>20</v>
      </c>
      <c r="F581" s="516">
        <v>0</v>
      </c>
      <c r="G581" s="516">
        <v>0</v>
      </c>
      <c r="H581" s="516">
        <v>0</v>
      </c>
      <c r="I581" s="517"/>
      <c r="J581" s="516">
        <v>0</v>
      </c>
      <c r="K581" s="516">
        <v>0</v>
      </c>
      <c r="L581" s="516">
        <v>0</v>
      </c>
      <c r="M581" s="517"/>
      <c r="N581" s="342">
        <v>0</v>
      </c>
      <c r="O581" s="518">
        <v>0</v>
      </c>
      <c r="P581" s="518">
        <v>0</v>
      </c>
      <c r="Q581" s="519"/>
      <c r="R581" s="516">
        <v>0</v>
      </c>
      <c r="S581" s="516">
        <v>0</v>
      </c>
      <c r="T581" s="516">
        <v>0</v>
      </c>
      <c r="U581" s="517"/>
      <c r="V581" s="342">
        <v>0</v>
      </c>
      <c r="W581" s="518">
        <v>0</v>
      </c>
    </row>
    <row r="582" spans="1:23" x14ac:dyDescent="0.25">
      <c r="A582" s="515">
        <v>577</v>
      </c>
      <c r="B582" t="s">
        <v>577</v>
      </c>
      <c r="C582" s="308" t="s">
        <v>25</v>
      </c>
      <c r="D582" s="308" t="s">
        <v>16</v>
      </c>
      <c r="F582" s="516">
        <v>43</v>
      </c>
      <c r="G582" s="516">
        <v>56218.369999999995</v>
      </c>
      <c r="H582" s="516">
        <v>344</v>
      </c>
      <c r="I582" s="517"/>
      <c r="J582" s="516">
        <v>0</v>
      </c>
      <c r="K582" s="516">
        <v>0</v>
      </c>
      <c r="L582" s="516">
        <v>0</v>
      </c>
      <c r="M582" s="517"/>
      <c r="N582" s="342">
        <v>43</v>
      </c>
      <c r="O582" s="518">
        <v>56218.369999999995</v>
      </c>
      <c r="P582" s="518">
        <v>344</v>
      </c>
      <c r="Q582" s="519"/>
      <c r="R582" s="516">
        <v>0</v>
      </c>
      <c r="S582" s="516">
        <v>0</v>
      </c>
      <c r="T582" s="516">
        <v>0</v>
      </c>
      <c r="U582" s="517"/>
      <c r="V582" s="342">
        <v>43</v>
      </c>
      <c r="W582" s="518">
        <v>56218.369999999995</v>
      </c>
    </row>
    <row r="583" spans="1:23" x14ac:dyDescent="0.25">
      <c r="A583" s="515">
        <v>578</v>
      </c>
      <c r="B583" t="s">
        <v>578</v>
      </c>
      <c r="C583" s="308" t="s">
        <v>18</v>
      </c>
      <c r="D583" s="308" t="s">
        <v>16</v>
      </c>
      <c r="F583" s="516">
        <v>1</v>
      </c>
      <c r="G583" s="516">
        <v>4507</v>
      </c>
      <c r="H583" s="516">
        <v>50</v>
      </c>
      <c r="I583" s="517"/>
      <c r="J583" s="516">
        <v>0</v>
      </c>
      <c r="K583" s="516">
        <v>0</v>
      </c>
      <c r="L583" s="516">
        <v>0</v>
      </c>
      <c r="M583" s="517"/>
      <c r="N583" s="342">
        <v>1</v>
      </c>
      <c r="O583" s="518">
        <v>4507</v>
      </c>
      <c r="P583" s="518">
        <v>50</v>
      </c>
      <c r="Q583" s="519"/>
      <c r="R583" s="516">
        <v>0</v>
      </c>
      <c r="S583" s="516">
        <v>0</v>
      </c>
      <c r="T583" s="516">
        <v>0</v>
      </c>
      <c r="U583" s="517"/>
      <c r="V583" s="342">
        <v>1</v>
      </c>
      <c r="W583" s="518">
        <v>4507</v>
      </c>
    </row>
    <row r="584" spans="1:23" x14ac:dyDescent="0.25">
      <c r="A584" s="515">
        <v>579</v>
      </c>
      <c r="B584" t="s">
        <v>579</v>
      </c>
      <c r="C584" s="308" t="s">
        <v>18</v>
      </c>
      <c r="D584" s="308" t="s">
        <v>16</v>
      </c>
      <c r="F584" s="516">
        <v>0</v>
      </c>
      <c r="G584" s="516">
        <v>0</v>
      </c>
      <c r="H584" s="516">
        <v>0</v>
      </c>
      <c r="I584" s="517"/>
      <c r="J584" s="516">
        <v>0</v>
      </c>
      <c r="K584" s="516">
        <v>0</v>
      </c>
      <c r="L584" s="516">
        <v>0</v>
      </c>
      <c r="M584" s="517"/>
      <c r="N584" s="342">
        <v>0</v>
      </c>
      <c r="O584" s="518">
        <v>0</v>
      </c>
      <c r="P584" s="518">
        <v>0</v>
      </c>
      <c r="Q584" s="519"/>
      <c r="R584" s="516">
        <v>0</v>
      </c>
      <c r="S584" s="516">
        <v>0</v>
      </c>
      <c r="T584" s="516">
        <v>0</v>
      </c>
      <c r="U584" s="517"/>
      <c r="V584" s="342">
        <v>0</v>
      </c>
      <c r="W584" s="518">
        <v>0</v>
      </c>
    </row>
    <row r="585" spans="1:23" x14ac:dyDescent="0.25">
      <c r="A585" s="515">
        <v>580</v>
      </c>
      <c r="B585" t="s">
        <v>580</v>
      </c>
      <c r="C585" s="308" t="s">
        <v>18</v>
      </c>
      <c r="D585" s="308" t="s">
        <v>16</v>
      </c>
      <c r="F585" s="516">
        <v>0</v>
      </c>
      <c r="G585" s="516">
        <v>0</v>
      </c>
      <c r="H585" s="516">
        <v>0</v>
      </c>
      <c r="I585" s="517"/>
      <c r="J585" s="516">
        <v>0</v>
      </c>
      <c r="K585" s="516">
        <v>0</v>
      </c>
      <c r="L585" s="516">
        <v>0</v>
      </c>
      <c r="M585" s="517"/>
      <c r="N585" s="342">
        <v>0</v>
      </c>
      <c r="O585" s="518">
        <v>0</v>
      </c>
      <c r="P585" s="518">
        <v>0</v>
      </c>
      <c r="Q585" s="519"/>
      <c r="R585" s="516">
        <v>0</v>
      </c>
      <c r="S585" s="516">
        <v>0</v>
      </c>
      <c r="T585" s="516">
        <v>0</v>
      </c>
      <c r="U585" s="517"/>
      <c r="V585" s="342">
        <v>0</v>
      </c>
      <c r="W585" s="518">
        <v>0</v>
      </c>
    </row>
    <row r="586" spans="1:23" x14ac:dyDescent="0.25">
      <c r="A586" s="515">
        <v>581</v>
      </c>
      <c r="B586" t="s">
        <v>581</v>
      </c>
      <c r="C586" s="308" t="s">
        <v>18</v>
      </c>
      <c r="D586" s="308" t="s">
        <v>16</v>
      </c>
      <c r="F586" s="516">
        <v>0</v>
      </c>
      <c r="G586" s="516">
        <v>0</v>
      </c>
      <c r="H586" s="516">
        <v>0</v>
      </c>
      <c r="I586" s="517"/>
      <c r="J586" s="516">
        <v>0</v>
      </c>
      <c r="K586" s="516">
        <v>0</v>
      </c>
      <c r="L586" s="516">
        <v>0</v>
      </c>
      <c r="M586" s="517"/>
      <c r="N586" s="342">
        <v>0</v>
      </c>
      <c r="O586" s="518">
        <v>0</v>
      </c>
      <c r="P586" s="518">
        <v>0</v>
      </c>
      <c r="Q586" s="519"/>
      <c r="R586" s="516">
        <v>0</v>
      </c>
      <c r="S586" s="516">
        <v>0</v>
      </c>
      <c r="T586" s="516">
        <v>0</v>
      </c>
      <c r="U586" s="517"/>
      <c r="V586" s="342">
        <v>0</v>
      </c>
      <c r="W586" s="518">
        <v>0</v>
      </c>
    </row>
    <row r="587" spans="1:23" x14ac:dyDescent="0.25">
      <c r="A587" s="515">
        <v>582</v>
      </c>
      <c r="B587" t="s">
        <v>582</v>
      </c>
      <c r="C587" s="308" t="s">
        <v>18</v>
      </c>
      <c r="D587" s="308" t="s">
        <v>16</v>
      </c>
      <c r="F587" s="516">
        <v>20</v>
      </c>
      <c r="G587" s="516">
        <v>1188378.5</v>
      </c>
      <c r="H587" s="516">
        <v>1600</v>
      </c>
      <c r="I587" s="517"/>
      <c r="J587" s="516">
        <v>0</v>
      </c>
      <c r="K587" s="516">
        <v>0</v>
      </c>
      <c r="L587" s="516">
        <v>0</v>
      </c>
      <c r="M587" s="517"/>
      <c r="N587" s="342">
        <v>20</v>
      </c>
      <c r="O587" s="518">
        <v>1188378.5</v>
      </c>
      <c r="P587" s="518">
        <v>1600</v>
      </c>
      <c r="Q587" s="519"/>
      <c r="R587" s="516">
        <v>0</v>
      </c>
      <c r="S587" s="516">
        <v>0</v>
      </c>
      <c r="T587" s="516">
        <v>0</v>
      </c>
      <c r="U587" s="517"/>
      <c r="V587" s="342">
        <v>20</v>
      </c>
      <c r="W587" s="518">
        <v>1188378.5</v>
      </c>
    </row>
    <row r="588" spans="1:23" x14ac:dyDescent="0.25">
      <c r="A588" s="515">
        <v>583</v>
      </c>
      <c r="B588" t="s">
        <v>583</v>
      </c>
      <c r="C588" s="308" t="s">
        <v>18</v>
      </c>
      <c r="D588" s="308" t="s">
        <v>16</v>
      </c>
      <c r="F588" s="516">
        <v>8</v>
      </c>
      <c r="G588" s="516">
        <v>1387361</v>
      </c>
      <c r="H588" s="516">
        <v>1450</v>
      </c>
      <c r="I588" s="517"/>
      <c r="J588" s="516">
        <v>0</v>
      </c>
      <c r="K588" s="516">
        <v>0</v>
      </c>
      <c r="L588" s="516">
        <v>0</v>
      </c>
      <c r="M588" s="517"/>
      <c r="N588" s="342">
        <v>8</v>
      </c>
      <c r="O588" s="518">
        <v>1387361</v>
      </c>
      <c r="P588" s="518">
        <v>1450</v>
      </c>
      <c r="Q588" s="519"/>
      <c r="R588" s="516">
        <v>0</v>
      </c>
      <c r="S588" s="516">
        <v>0</v>
      </c>
      <c r="T588" s="516">
        <v>0</v>
      </c>
      <c r="U588" s="517"/>
      <c r="V588" s="342">
        <v>8</v>
      </c>
      <c r="W588" s="518">
        <v>1387361</v>
      </c>
    </row>
    <row r="589" spans="1:23" x14ac:dyDescent="0.25">
      <c r="A589" s="515">
        <v>584</v>
      </c>
      <c r="B589" t="s">
        <v>584</v>
      </c>
      <c r="C589" s="308" t="s">
        <v>15</v>
      </c>
      <c r="D589" s="308" t="s">
        <v>16</v>
      </c>
      <c r="F589" s="516">
        <v>15</v>
      </c>
      <c r="G589" s="516">
        <v>19553.099999999999</v>
      </c>
      <c r="H589" s="516">
        <v>160</v>
      </c>
      <c r="I589" s="517"/>
      <c r="J589" s="516">
        <v>0</v>
      </c>
      <c r="K589" s="516">
        <v>0</v>
      </c>
      <c r="L589" s="516">
        <v>0</v>
      </c>
      <c r="M589" s="517"/>
      <c r="N589" s="342">
        <v>15</v>
      </c>
      <c r="O589" s="518">
        <v>19553.099999999999</v>
      </c>
      <c r="P589" s="518">
        <v>160</v>
      </c>
      <c r="Q589" s="519"/>
      <c r="R589" s="516">
        <v>0</v>
      </c>
      <c r="S589" s="516">
        <v>0</v>
      </c>
      <c r="T589" s="516">
        <v>0</v>
      </c>
      <c r="U589" s="517"/>
      <c r="V589" s="342">
        <v>15</v>
      </c>
      <c r="W589" s="518">
        <v>19553.099999999999</v>
      </c>
    </row>
    <row r="590" spans="1:23" x14ac:dyDescent="0.25">
      <c r="A590" s="515">
        <v>585</v>
      </c>
      <c r="B590" t="s">
        <v>585</v>
      </c>
      <c r="C590" s="308" t="s">
        <v>18</v>
      </c>
      <c r="D590" s="308" t="s">
        <v>20</v>
      </c>
      <c r="F590" s="516">
        <v>7</v>
      </c>
      <c r="G590" s="516">
        <v>261145</v>
      </c>
      <c r="H590" s="516">
        <v>245</v>
      </c>
      <c r="I590" s="517"/>
      <c r="J590" s="516">
        <v>0</v>
      </c>
      <c r="K590" s="516">
        <v>0</v>
      </c>
      <c r="L590" s="516">
        <v>0</v>
      </c>
      <c r="M590" s="517"/>
      <c r="N590" s="342">
        <v>7</v>
      </c>
      <c r="O590" s="518">
        <v>261145</v>
      </c>
      <c r="P590" s="518">
        <v>245</v>
      </c>
      <c r="Q590" s="519"/>
      <c r="R590" s="516">
        <v>0</v>
      </c>
      <c r="S590" s="516">
        <v>0</v>
      </c>
      <c r="T590" s="516">
        <v>0</v>
      </c>
      <c r="U590" s="517"/>
      <c r="V590" s="342">
        <v>7</v>
      </c>
      <c r="W590" s="518">
        <v>261145</v>
      </c>
    </row>
    <row r="591" spans="1:23" x14ac:dyDescent="0.25">
      <c r="A591" s="515">
        <v>586</v>
      </c>
      <c r="B591" t="s">
        <v>586</v>
      </c>
      <c r="C591" s="308" t="s">
        <v>51</v>
      </c>
      <c r="D591" s="308" t="s">
        <v>16</v>
      </c>
      <c r="F591" s="516">
        <v>252</v>
      </c>
      <c r="G591" s="516">
        <v>317141.6700000001</v>
      </c>
      <c r="H591" s="516">
        <v>2520</v>
      </c>
      <c r="I591" s="517"/>
      <c r="J591" s="516">
        <v>0</v>
      </c>
      <c r="K591" s="516">
        <v>0</v>
      </c>
      <c r="L591" s="516">
        <v>0</v>
      </c>
      <c r="M591" s="517"/>
      <c r="N591" s="342">
        <v>252</v>
      </c>
      <c r="O591" s="518">
        <v>317141.6700000001</v>
      </c>
      <c r="P591" s="518">
        <v>2520</v>
      </c>
      <c r="Q591" s="519"/>
      <c r="R591" s="516">
        <v>0</v>
      </c>
      <c r="S591" s="516">
        <v>0</v>
      </c>
      <c r="T591" s="516">
        <v>0</v>
      </c>
      <c r="U591" s="517"/>
      <c r="V591" s="342">
        <v>252</v>
      </c>
      <c r="W591" s="518">
        <v>317141.6700000001</v>
      </c>
    </row>
    <row r="592" spans="1:23" x14ac:dyDescent="0.25">
      <c r="A592" s="515">
        <v>587</v>
      </c>
      <c r="B592" t="s">
        <v>587</v>
      </c>
      <c r="C592" s="308" t="s">
        <v>39</v>
      </c>
      <c r="D592" s="308" t="s">
        <v>16</v>
      </c>
      <c r="F592" s="516">
        <v>108</v>
      </c>
      <c r="G592" s="516">
        <v>105224.51</v>
      </c>
      <c r="H592" s="516">
        <v>540</v>
      </c>
      <c r="I592" s="517"/>
      <c r="J592" s="516">
        <v>0</v>
      </c>
      <c r="K592" s="516">
        <v>0</v>
      </c>
      <c r="L592" s="516">
        <v>0</v>
      </c>
      <c r="M592" s="517"/>
      <c r="N592" s="342">
        <v>108</v>
      </c>
      <c r="O592" s="518">
        <v>105224.51</v>
      </c>
      <c r="P592" s="518">
        <v>540</v>
      </c>
      <c r="Q592" s="519"/>
      <c r="R592" s="516">
        <v>0</v>
      </c>
      <c r="S592" s="516">
        <v>0</v>
      </c>
      <c r="T592" s="516">
        <v>0</v>
      </c>
      <c r="U592" s="517"/>
      <c r="V592" s="342">
        <v>108</v>
      </c>
      <c r="W592" s="518">
        <v>105224.51</v>
      </c>
    </row>
    <row r="593" spans="1:23" x14ac:dyDescent="0.25">
      <c r="A593" s="515">
        <v>588</v>
      </c>
      <c r="B593" t="s">
        <v>588</v>
      </c>
      <c r="C593" s="308" t="s">
        <v>355</v>
      </c>
      <c r="D593" s="308" t="s">
        <v>16</v>
      </c>
      <c r="F593" s="516">
        <v>1</v>
      </c>
      <c r="G593" s="516">
        <v>1081.3900000000001</v>
      </c>
      <c r="H593" s="516">
        <v>10</v>
      </c>
      <c r="I593" s="517"/>
      <c r="J593" s="516">
        <v>0</v>
      </c>
      <c r="K593" s="516">
        <v>0</v>
      </c>
      <c r="L593" s="516">
        <v>0</v>
      </c>
      <c r="M593" s="517"/>
      <c r="N593" s="342">
        <v>1</v>
      </c>
      <c r="O593" s="518">
        <v>1081.3900000000001</v>
      </c>
      <c r="P593" s="518">
        <v>10</v>
      </c>
      <c r="Q593" s="519"/>
      <c r="R593" s="516">
        <v>0</v>
      </c>
      <c r="S593" s="516">
        <v>0</v>
      </c>
      <c r="T593" s="516">
        <v>0</v>
      </c>
      <c r="U593" s="517"/>
      <c r="V593" s="342">
        <v>1</v>
      </c>
      <c r="W593" s="518">
        <v>1081.3900000000001</v>
      </c>
    </row>
    <row r="594" spans="1:23" x14ac:dyDescent="0.25">
      <c r="A594" s="515">
        <v>589</v>
      </c>
      <c r="B594" t="s">
        <v>589</v>
      </c>
      <c r="C594" s="308" t="s">
        <v>136</v>
      </c>
      <c r="D594" s="308" t="s">
        <v>16</v>
      </c>
      <c r="F594" s="516">
        <v>0</v>
      </c>
      <c r="G594" s="516">
        <v>0</v>
      </c>
      <c r="H594" s="516">
        <v>0</v>
      </c>
      <c r="I594" s="517"/>
      <c r="J594" s="516">
        <v>0</v>
      </c>
      <c r="K594" s="516">
        <v>0</v>
      </c>
      <c r="L594" s="516">
        <v>0</v>
      </c>
      <c r="M594" s="517"/>
      <c r="N594" s="342">
        <v>0</v>
      </c>
      <c r="O594" s="518">
        <v>0</v>
      </c>
      <c r="P594" s="518">
        <v>0</v>
      </c>
      <c r="Q594" s="519"/>
      <c r="R594" s="516">
        <v>0</v>
      </c>
      <c r="S594" s="516">
        <v>0</v>
      </c>
      <c r="T594" s="516">
        <v>0</v>
      </c>
      <c r="U594" s="517"/>
      <c r="V594" s="342">
        <v>0</v>
      </c>
      <c r="W594" s="518">
        <v>0</v>
      </c>
    </row>
    <row r="595" spans="1:23" x14ac:dyDescent="0.25">
      <c r="A595" s="515">
        <v>590</v>
      </c>
      <c r="B595" t="s">
        <v>3306</v>
      </c>
      <c r="C595" s="308" t="s">
        <v>39</v>
      </c>
      <c r="D595" s="308" t="s">
        <v>16</v>
      </c>
      <c r="F595" s="516">
        <v>0</v>
      </c>
      <c r="G595" s="516">
        <v>0</v>
      </c>
      <c r="H595" s="516">
        <v>0</v>
      </c>
      <c r="I595" s="517"/>
      <c r="J595" s="516">
        <v>0</v>
      </c>
      <c r="K595" s="516">
        <v>0</v>
      </c>
      <c r="L595" s="516">
        <v>0</v>
      </c>
      <c r="M595" s="517"/>
      <c r="N595" s="342">
        <v>0</v>
      </c>
      <c r="O595" s="518">
        <v>0</v>
      </c>
      <c r="P595" s="518">
        <v>0</v>
      </c>
      <c r="Q595" s="519"/>
      <c r="R595" s="516">
        <v>0</v>
      </c>
      <c r="S595" s="516">
        <v>0</v>
      </c>
      <c r="T595" s="516">
        <v>0</v>
      </c>
      <c r="U595" s="517"/>
      <c r="V595" s="342">
        <v>0</v>
      </c>
      <c r="W595" s="518">
        <v>0</v>
      </c>
    </row>
    <row r="596" spans="1:23" x14ac:dyDescent="0.25">
      <c r="A596" s="515">
        <v>591</v>
      </c>
      <c r="B596" t="s">
        <v>604</v>
      </c>
      <c r="C596" s="308" t="s">
        <v>39</v>
      </c>
      <c r="D596" s="308" t="s">
        <v>16</v>
      </c>
      <c r="F596" s="516">
        <v>0</v>
      </c>
      <c r="G596" s="516">
        <v>0</v>
      </c>
      <c r="H596" s="516">
        <v>0</v>
      </c>
      <c r="I596" s="517"/>
      <c r="J596" s="516">
        <v>0</v>
      </c>
      <c r="K596" s="516">
        <v>0</v>
      </c>
      <c r="L596" s="516">
        <v>0</v>
      </c>
      <c r="M596" s="517"/>
      <c r="N596" s="342">
        <v>0</v>
      </c>
      <c r="O596" s="518">
        <v>0</v>
      </c>
      <c r="P596" s="518">
        <v>0</v>
      </c>
      <c r="Q596" s="519"/>
      <c r="R596" s="520">
        <v>0</v>
      </c>
      <c r="S596" s="521">
        <v>0</v>
      </c>
      <c r="T596" s="516">
        <v>0</v>
      </c>
      <c r="U596" s="517"/>
      <c r="V596" s="342">
        <v>0</v>
      </c>
      <c r="W596" s="518">
        <v>0</v>
      </c>
    </row>
    <row r="597" spans="1:23" x14ac:dyDescent="0.25">
      <c r="A597" s="515">
        <v>592</v>
      </c>
      <c r="B597" t="s">
        <v>590</v>
      </c>
      <c r="C597" s="308" t="s">
        <v>39</v>
      </c>
      <c r="D597" s="308" t="s">
        <v>16</v>
      </c>
      <c r="F597" s="516">
        <v>0</v>
      </c>
      <c r="G597" s="516">
        <v>0</v>
      </c>
      <c r="H597" s="516">
        <v>0</v>
      </c>
      <c r="I597" s="517"/>
      <c r="J597" s="516">
        <v>0</v>
      </c>
      <c r="K597" s="516">
        <v>0</v>
      </c>
      <c r="L597" s="516">
        <v>0</v>
      </c>
      <c r="M597" s="517"/>
      <c r="N597" s="342">
        <v>0</v>
      </c>
      <c r="O597" s="518">
        <v>0</v>
      </c>
      <c r="P597" s="518">
        <v>0</v>
      </c>
      <c r="Q597" s="519"/>
      <c r="R597" s="516">
        <v>0</v>
      </c>
      <c r="S597" s="516">
        <v>0</v>
      </c>
      <c r="T597" s="516">
        <v>0</v>
      </c>
      <c r="U597" s="517"/>
      <c r="V597" s="342">
        <v>0</v>
      </c>
      <c r="W597" s="518">
        <v>0</v>
      </c>
    </row>
    <row r="598" spans="1:23" x14ac:dyDescent="0.25">
      <c r="A598" s="515">
        <v>593</v>
      </c>
      <c r="B598" t="s">
        <v>591</v>
      </c>
      <c r="C598" s="308" t="s">
        <v>51</v>
      </c>
      <c r="D598" s="308" t="s">
        <v>16</v>
      </c>
      <c r="F598" s="516">
        <v>0</v>
      </c>
      <c r="G598" s="516">
        <v>0</v>
      </c>
      <c r="H598" s="516">
        <v>0</v>
      </c>
      <c r="I598" s="517"/>
      <c r="J598" s="516">
        <v>0</v>
      </c>
      <c r="K598" s="516">
        <v>0</v>
      </c>
      <c r="L598" s="516">
        <v>0</v>
      </c>
      <c r="M598" s="517"/>
      <c r="N598" s="342">
        <v>0</v>
      </c>
      <c r="O598" s="518">
        <v>0</v>
      </c>
      <c r="P598" s="518">
        <v>0</v>
      </c>
      <c r="Q598" s="519"/>
      <c r="R598" s="516">
        <v>0</v>
      </c>
      <c r="S598" s="516">
        <v>0</v>
      </c>
      <c r="T598" s="516">
        <v>0</v>
      </c>
      <c r="U598" s="517"/>
      <c r="V598" s="342">
        <v>0</v>
      </c>
      <c r="W598" s="518">
        <v>0</v>
      </c>
    </row>
    <row r="599" spans="1:23" x14ac:dyDescent="0.25">
      <c r="A599" s="515">
        <v>594</v>
      </c>
      <c r="B599" t="s">
        <v>592</v>
      </c>
      <c r="C599" s="308" t="s">
        <v>349</v>
      </c>
      <c r="D599" s="308" t="s">
        <v>16</v>
      </c>
      <c r="F599" s="516">
        <v>16</v>
      </c>
      <c r="G599" s="516">
        <v>272494</v>
      </c>
      <c r="H599" s="516">
        <v>480</v>
      </c>
      <c r="I599" s="517"/>
      <c r="J599" s="516">
        <v>0</v>
      </c>
      <c r="K599" s="516">
        <v>0</v>
      </c>
      <c r="L599" s="516">
        <v>0</v>
      </c>
      <c r="M599" s="517"/>
      <c r="N599" s="342">
        <v>16</v>
      </c>
      <c r="O599" s="518">
        <v>272494</v>
      </c>
      <c r="P599" s="518">
        <v>480</v>
      </c>
      <c r="Q599" s="519"/>
      <c r="R599" s="516">
        <v>0</v>
      </c>
      <c r="S599" s="516">
        <v>0</v>
      </c>
      <c r="T599" s="516">
        <v>0</v>
      </c>
      <c r="U599" s="517"/>
      <c r="V599" s="342">
        <v>16</v>
      </c>
      <c r="W599" s="518">
        <v>272494</v>
      </c>
    </row>
    <row r="600" spans="1:23" x14ac:dyDescent="0.25">
      <c r="A600" s="515">
        <v>595</v>
      </c>
      <c r="B600" t="s">
        <v>593</v>
      </c>
      <c r="C600" s="308" t="s">
        <v>41</v>
      </c>
      <c r="D600" s="308" t="s">
        <v>16</v>
      </c>
      <c r="F600" s="516">
        <v>0</v>
      </c>
      <c r="G600" s="516">
        <v>0</v>
      </c>
      <c r="H600" s="516">
        <v>0</v>
      </c>
      <c r="I600" s="517"/>
      <c r="J600" s="516">
        <v>0</v>
      </c>
      <c r="K600" s="516">
        <v>0</v>
      </c>
      <c r="L600" s="516">
        <v>0</v>
      </c>
      <c r="M600" s="517"/>
      <c r="N600" s="342">
        <v>0</v>
      </c>
      <c r="O600" s="518">
        <v>0</v>
      </c>
      <c r="P600" s="518">
        <v>0</v>
      </c>
      <c r="Q600" s="519"/>
      <c r="R600" s="516">
        <v>0</v>
      </c>
      <c r="S600" s="516">
        <v>0</v>
      </c>
      <c r="T600" s="516">
        <v>0</v>
      </c>
      <c r="U600" s="517"/>
      <c r="V600" s="342">
        <v>0</v>
      </c>
      <c r="W600" s="518">
        <v>0</v>
      </c>
    </row>
    <row r="601" spans="1:23" x14ac:dyDescent="0.25">
      <c r="A601" s="515">
        <v>596</v>
      </c>
      <c r="B601" t="s">
        <v>594</v>
      </c>
      <c r="C601" s="308" t="s">
        <v>18</v>
      </c>
      <c r="D601" s="308" t="s">
        <v>20</v>
      </c>
      <c r="F601" s="516">
        <v>2</v>
      </c>
      <c r="G601" s="516">
        <v>94755</v>
      </c>
      <c r="H601" s="516">
        <v>70</v>
      </c>
      <c r="I601" s="517"/>
      <c r="J601" s="516">
        <v>0</v>
      </c>
      <c r="K601" s="516">
        <v>0</v>
      </c>
      <c r="L601" s="516">
        <v>0</v>
      </c>
      <c r="M601" s="517"/>
      <c r="N601" s="342">
        <v>2</v>
      </c>
      <c r="O601" s="518">
        <v>94755</v>
      </c>
      <c r="P601" s="518">
        <v>70</v>
      </c>
      <c r="Q601" s="519"/>
      <c r="R601" s="516">
        <v>0</v>
      </c>
      <c r="S601" s="516">
        <v>0</v>
      </c>
      <c r="T601" s="516">
        <v>0</v>
      </c>
      <c r="U601" s="517"/>
      <c r="V601" s="342">
        <v>2</v>
      </c>
      <c r="W601" s="518">
        <v>94755</v>
      </c>
    </row>
    <row r="602" spans="1:23" x14ac:dyDescent="0.25">
      <c r="A602" s="515">
        <v>597</v>
      </c>
      <c r="B602" t="s">
        <v>595</v>
      </c>
      <c r="C602" s="308" t="s">
        <v>366</v>
      </c>
      <c r="D602" s="308" t="s">
        <v>16</v>
      </c>
      <c r="F602" s="516">
        <v>4</v>
      </c>
      <c r="G602" s="516">
        <v>17997</v>
      </c>
      <c r="H602" s="516">
        <v>100</v>
      </c>
      <c r="I602" s="517"/>
      <c r="J602" s="516">
        <v>0</v>
      </c>
      <c r="K602" s="516">
        <v>0</v>
      </c>
      <c r="L602" s="516">
        <v>0</v>
      </c>
      <c r="M602" s="517"/>
      <c r="N602" s="342">
        <v>4</v>
      </c>
      <c r="O602" s="518">
        <v>17997</v>
      </c>
      <c r="P602" s="518">
        <v>100</v>
      </c>
      <c r="Q602" s="519"/>
      <c r="R602" s="516">
        <v>0</v>
      </c>
      <c r="S602" s="516">
        <v>0</v>
      </c>
      <c r="T602" s="516">
        <v>0</v>
      </c>
      <c r="U602" s="517"/>
      <c r="V602" s="342">
        <v>4</v>
      </c>
      <c r="W602" s="518">
        <v>17997</v>
      </c>
    </row>
    <row r="603" spans="1:23" x14ac:dyDescent="0.25">
      <c r="A603" s="515">
        <v>598</v>
      </c>
      <c r="B603" t="s">
        <v>596</v>
      </c>
      <c r="C603" s="308" t="s">
        <v>18</v>
      </c>
      <c r="D603" s="308" t="s">
        <v>16</v>
      </c>
      <c r="F603" s="516">
        <v>2</v>
      </c>
      <c r="G603" s="516">
        <v>56015</v>
      </c>
      <c r="H603" s="516">
        <v>60</v>
      </c>
      <c r="I603" s="517"/>
      <c r="J603" s="516">
        <v>0</v>
      </c>
      <c r="K603" s="516">
        <v>0</v>
      </c>
      <c r="L603" s="516">
        <v>0</v>
      </c>
      <c r="M603" s="517"/>
      <c r="N603" s="342">
        <v>2</v>
      </c>
      <c r="O603" s="518">
        <v>56015</v>
      </c>
      <c r="P603" s="518">
        <v>60</v>
      </c>
      <c r="Q603" s="519"/>
      <c r="R603" s="516">
        <v>0</v>
      </c>
      <c r="S603" s="516">
        <v>0</v>
      </c>
      <c r="T603" s="516">
        <v>0</v>
      </c>
      <c r="U603" s="517"/>
      <c r="V603" s="342">
        <v>2</v>
      </c>
      <c r="W603" s="518">
        <v>56015</v>
      </c>
    </row>
    <row r="604" spans="1:23" x14ac:dyDescent="0.25">
      <c r="A604" s="515">
        <v>599</v>
      </c>
      <c r="B604" t="s">
        <v>597</v>
      </c>
      <c r="C604" s="308" t="s">
        <v>15</v>
      </c>
      <c r="D604" s="308" t="s">
        <v>16</v>
      </c>
      <c r="F604" s="516">
        <v>3</v>
      </c>
      <c r="G604" s="516">
        <v>109775</v>
      </c>
      <c r="H604" s="516">
        <v>90</v>
      </c>
      <c r="I604" s="517"/>
      <c r="J604" s="516">
        <v>0</v>
      </c>
      <c r="K604" s="516">
        <v>0</v>
      </c>
      <c r="L604" s="516">
        <v>0</v>
      </c>
      <c r="M604" s="517"/>
      <c r="N604" s="342">
        <v>3</v>
      </c>
      <c r="O604" s="518">
        <v>109775</v>
      </c>
      <c r="P604" s="518">
        <v>90</v>
      </c>
      <c r="Q604" s="519"/>
      <c r="R604" s="516">
        <v>0</v>
      </c>
      <c r="S604" s="516">
        <v>0</v>
      </c>
      <c r="T604" s="516">
        <v>0</v>
      </c>
      <c r="U604" s="517"/>
      <c r="V604" s="342">
        <v>3</v>
      </c>
      <c r="W604" s="518">
        <v>109775</v>
      </c>
    </row>
    <row r="605" spans="1:23" x14ac:dyDescent="0.25">
      <c r="A605" s="515">
        <v>600</v>
      </c>
      <c r="B605" t="s">
        <v>598</v>
      </c>
      <c r="C605" s="308" t="s">
        <v>18</v>
      </c>
      <c r="D605" s="308" t="s">
        <v>16</v>
      </c>
      <c r="F605" s="516">
        <v>11</v>
      </c>
      <c r="G605" s="516">
        <v>463254</v>
      </c>
      <c r="H605" s="516">
        <v>330</v>
      </c>
      <c r="I605" s="517"/>
      <c r="J605" s="516">
        <v>0</v>
      </c>
      <c r="K605" s="516">
        <v>0</v>
      </c>
      <c r="L605" s="516">
        <v>0</v>
      </c>
      <c r="M605" s="517"/>
      <c r="N605" s="342">
        <v>11</v>
      </c>
      <c r="O605" s="518">
        <v>463254</v>
      </c>
      <c r="P605" s="518">
        <v>330</v>
      </c>
      <c r="Q605" s="519"/>
      <c r="R605" s="516">
        <v>0</v>
      </c>
      <c r="S605" s="516">
        <v>0</v>
      </c>
      <c r="T605" s="516">
        <v>0</v>
      </c>
      <c r="U605" s="517"/>
      <c r="V605" s="342">
        <v>11</v>
      </c>
      <c r="W605" s="518">
        <v>463254</v>
      </c>
    </row>
    <row r="606" spans="1:23" x14ac:dyDescent="0.25">
      <c r="A606" s="515">
        <v>601</v>
      </c>
      <c r="B606" t="s">
        <v>599</v>
      </c>
      <c r="C606" s="308" t="s">
        <v>15</v>
      </c>
      <c r="D606" s="308" t="s">
        <v>16</v>
      </c>
      <c r="F606" s="516">
        <v>0</v>
      </c>
      <c r="G606" s="516">
        <v>0</v>
      </c>
      <c r="H606" s="516">
        <v>0</v>
      </c>
      <c r="I606" s="517"/>
      <c r="J606" s="516">
        <v>0</v>
      </c>
      <c r="K606" s="516">
        <v>0</v>
      </c>
      <c r="L606" s="516">
        <v>0</v>
      </c>
      <c r="M606" s="517"/>
      <c r="N606" s="342">
        <v>0</v>
      </c>
      <c r="O606" s="518">
        <v>0</v>
      </c>
      <c r="P606" s="518">
        <v>0</v>
      </c>
      <c r="Q606" s="519"/>
      <c r="R606" s="516">
        <v>0</v>
      </c>
      <c r="S606" s="516">
        <v>0</v>
      </c>
      <c r="T606" s="516">
        <v>0</v>
      </c>
      <c r="U606" s="517"/>
      <c r="V606" s="342">
        <v>0</v>
      </c>
      <c r="W606" s="518">
        <v>0</v>
      </c>
    </row>
    <row r="607" spans="1:23" x14ac:dyDescent="0.25">
      <c r="A607" s="515">
        <v>602</v>
      </c>
      <c r="B607" t="s">
        <v>600</v>
      </c>
      <c r="C607" s="308" t="s">
        <v>18</v>
      </c>
      <c r="D607" s="308" t="s">
        <v>16</v>
      </c>
      <c r="F607" s="516">
        <v>1</v>
      </c>
      <c r="G607" s="516">
        <v>5000</v>
      </c>
      <c r="H607" s="516">
        <v>30</v>
      </c>
      <c r="I607" s="517"/>
      <c r="J607" s="516">
        <v>0</v>
      </c>
      <c r="K607" s="516">
        <v>0</v>
      </c>
      <c r="L607" s="516">
        <v>0</v>
      </c>
      <c r="M607" s="517"/>
      <c r="N607" s="342">
        <v>1</v>
      </c>
      <c r="O607" s="518">
        <v>5000</v>
      </c>
      <c r="P607" s="518">
        <v>30</v>
      </c>
      <c r="Q607" s="519"/>
      <c r="R607" s="516">
        <v>0</v>
      </c>
      <c r="S607" s="516">
        <v>0</v>
      </c>
      <c r="T607" s="516">
        <v>0</v>
      </c>
      <c r="U607" s="517"/>
      <c r="V607" s="342">
        <v>1</v>
      </c>
      <c r="W607" s="518">
        <v>5000</v>
      </c>
    </row>
    <row r="608" spans="1:23" x14ac:dyDescent="0.25">
      <c r="A608" s="515">
        <v>603</v>
      </c>
      <c r="B608" t="s">
        <v>601</v>
      </c>
      <c r="C608" s="308" t="s">
        <v>15</v>
      </c>
      <c r="D608" s="308" t="s">
        <v>16</v>
      </c>
      <c r="F608" s="516">
        <v>17</v>
      </c>
      <c r="G608" s="516">
        <v>1033536</v>
      </c>
      <c r="H608" s="516">
        <v>510</v>
      </c>
      <c r="I608" s="517"/>
      <c r="J608" s="516">
        <v>0</v>
      </c>
      <c r="K608" s="516">
        <v>0</v>
      </c>
      <c r="L608" s="516">
        <v>0</v>
      </c>
      <c r="M608" s="517"/>
      <c r="N608" s="342">
        <v>17</v>
      </c>
      <c r="O608" s="518">
        <v>1033536</v>
      </c>
      <c r="P608" s="518">
        <v>510</v>
      </c>
      <c r="Q608" s="519"/>
      <c r="R608" s="516">
        <v>0</v>
      </c>
      <c r="S608" s="516">
        <v>0</v>
      </c>
      <c r="T608" s="516">
        <v>0</v>
      </c>
      <c r="U608" s="517"/>
      <c r="V608" s="342">
        <v>17</v>
      </c>
      <c r="W608" s="518">
        <v>1033536</v>
      </c>
    </row>
    <row r="609" spans="1:23" x14ac:dyDescent="0.25">
      <c r="A609" s="515">
        <v>604</v>
      </c>
      <c r="B609" t="s">
        <v>602</v>
      </c>
      <c r="C609" s="308" t="s">
        <v>18</v>
      </c>
      <c r="D609" s="308" t="s">
        <v>20</v>
      </c>
      <c r="F609" s="516">
        <v>4</v>
      </c>
      <c r="G609" s="516">
        <v>56480.6</v>
      </c>
      <c r="H609" s="516">
        <v>200</v>
      </c>
      <c r="I609" s="517"/>
      <c r="J609" s="516">
        <v>0</v>
      </c>
      <c r="K609" s="516">
        <v>0</v>
      </c>
      <c r="L609" s="516">
        <v>0</v>
      </c>
      <c r="M609" s="517"/>
      <c r="N609" s="342">
        <v>4</v>
      </c>
      <c r="O609" s="518">
        <v>56480.6</v>
      </c>
      <c r="P609" s="518">
        <v>200</v>
      </c>
      <c r="Q609" s="519"/>
      <c r="R609" s="516">
        <v>0</v>
      </c>
      <c r="S609" s="516">
        <v>0</v>
      </c>
      <c r="T609" s="516">
        <v>0</v>
      </c>
      <c r="U609" s="517"/>
      <c r="V609" s="342">
        <v>4</v>
      </c>
      <c r="W609" s="518">
        <v>56480.6</v>
      </c>
    </row>
    <row r="610" spans="1:23" x14ac:dyDescent="0.25">
      <c r="A610" s="515">
        <v>605</v>
      </c>
      <c r="B610" t="s">
        <v>603</v>
      </c>
      <c r="C610" s="308" t="s">
        <v>18</v>
      </c>
      <c r="D610" s="308" t="s">
        <v>20</v>
      </c>
      <c r="F610" s="516">
        <v>28</v>
      </c>
      <c r="G610" s="516">
        <v>401924.2</v>
      </c>
      <c r="H610" s="516">
        <v>1400</v>
      </c>
      <c r="I610" s="517"/>
      <c r="J610" s="516">
        <v>0</v>
      </c>
      <c r="K610" s="516">
        <v>0</v>
      </c>
      <c r="L610" s="516">
        <v>0</v>
      </c>
      <c r="M610" s="517"/>
      <c r="N610" s="342">
        <v>28</v>
      </c>
      <c r="O610" s="518">
        <v>401924.2</v>
      </c>
      <c r="P610" s="518">
        <v>1400</v>
      </c>
      <c r="Q610" s="519"/>
      <c r="R610" s="516">
        <v>0</v>
      </c>
      <c r="S610" s="516">
        <v>0</v>
      </c>
      <c r="T610" s="516">
        <v>0</v>
      </c>
      <c r="U610" s="517"/>
      <c r="V610" s="342">
        <v>28</v>
      </c>
      <c r="W610" s="518">
        <v>401924.2</v>
      </c>
    </row>
    <row r="611" spans="1:23" x14ac:dyDescent="0.25">
      <c r="A611" s="515">
        <v>606</v>
      </c>
      <c r="B611" t="s">
        <v>3307</v>
      </c>
      <c r="C611" s="308" t="s">
        <v>355</v>
      </c>
      <c r="D611" s="308" t="s">
        <v>3231</v>
      </c>
      <c r="F611" s="516">
        <v>0</v>
      </c>
      <c r="G611" s="516">
        <v>0</v>
      </c>
      <c r="H611" s="516">
        <v>0</v>
      </c>
      <c r="I611" s="517"/>
      <c r="J611" s="516">
        <v>0</v>
      </c>
      <c r="K611" s="516">
        <v>0</v>
      </c>
      <c r="L611" s="516">
        <v>0</v>
      </c>
      <c r="M611" s="517"/>
      <c r="N611" s="342">
        <v>0</v>
      </c>
      <c r="O611" s="518">
        <v>0</v>
      </c>
      <c r="P611" s="518">
        <v>0</v>
      </c>
      <c r="Q611" s="519"/>
      <c r="R611" s="516">
        <v>0</v>
      </c>
      <c r="S611" s="516">
        <v>0</v>
      </c>
      <c r="T611" s="516">
        <v>0</v>
      </c>
      <c r="U611" s="517"/>
      <c r="V611" s="342">
        <v>0</v>
      </c>
      <c r="W611" s="518">
        <v>0</v>
      </c>
    </row>
    <row r="612" spans="1:23" x14ac:dyDescent="0.25">
      <c r="A612" s="515">
        <v>607</v>
      </c>
      <c r="B612" t="s">
        <v>605</v>
      </c>
      <c r="C612" s="308" t="s">
        <v>92</v>
      </c>
      <c r="D612" s="308" t="s">
        <v>606</v>
      </c>
      <c r="F612" s="516">
        <v>0</v>
      </c>
      <c r="G612" s="516">
        <v>0</v>
      </c>
      <c r="H612" s="516">
        <v>0</v>
      </c>
      <c r="I612" s="517"/>
      <c r="J612" s="516">
        <v>0</v>
      </c>
      <c r="K612" s="516">
        <v>0</v>
      </c>
      <c r="L612" s="516">
        <v>0</v>
      </c>
      <c r="M612" s="517"/>
      <c r="N612" s="342">
        <v>0</v>
      </c>
      <c r="O612" s="518">
        <v>0</v>
      </c>
      <c r="P612" s="518">
        <v>0</v>
      </c>
      <c r="Q612" s="519"/>
      <c r="R612" s="516">
        <v>0</v>
      </c>
      <c r="S612" s="516">
        <v>0</v>
      </c>
      <c r="T612" s="516">
        <v>0</v>
      </c>
      <c r="U612" s="517"/>
      <c r="V612" s="342">
        <v>0</v>
      </c>
      <c r="W612" s="518">
        <v>0</v>
      </c>
    </row>
    <row r="613" spans="1:23" x14ac:dyDescent="0.25">
      <c r="A613" s="515">
        <v>608</v>
      </c>
      <c r="B613" t="s">
        <v>3308</v>
      </c>
      <c r="C613" s="308" t="s">
        <v>18</v>
      </c>
      <c r="D613" s="308" t="s">
        <v>16</v>
      </c>
      <c r="F613" s="516">
        <v>1</v>
      </c>
      <c r="G613" s="516">
        <v>22152</v>
      </c>
      <c r="H613" s="516">
        <v>50</v>
      </c>
      <c r="I613" s="517"/>
      <c r="J613" s="516">
        <v>0</v>
      </c>
      <c r="K613" s="516">
        <v>0</v>
      </c>
      <c r="L613" s="516">
        <v>0</v>
      </c>
      <c r="M613" s="517"/>
      <c r="N613" s="342">
        <v>1</v>
      </c>
      <c r="O613" s="518">
        <v>22152</v>
      </c>
      <c r="P613" s="518">
        <v>50</v>
      </c>
      <c r="Q613" s="519"/>
      <c r="R613" s="516">
        <v>0</v>
      </c>
      <c r="S613" s="516">
        <v>0</v>
      </c>
      <c r="T613" s="516">
        <v>0</v>
      </c>
      <c r="U613" s="517"/>
      <c r="V613" s="342">
        <v>1</v>
      </c>
      <c r="W613" s="518">
        <v>22152</v>
      </c>
    </row>
    <row r="614" spans="1:23" x14ac:dyDescent="0.25">
      <c r="A614" s="515">
        <v>609</v>
      </c>
      <c r="B614" t="s">
        <v>607</v>
      </c>
      <c r="C614" s="308"/>
      <c r="D614" s="308" t="s">
        <v>16</v>
      </c>
      <c r="F614" s="516">
        <v>0</v>
      </c>
      <c r="G614" s="516">
        <v>0</v>
      </c>
      <c r="H614" s="516">
        <v>0</v>
      </c>
      <c r="I614" s="517"/>
      <c r="J614" s="516">
        <v>0</v>
      </c>
      <c r="K614" s="516">
        <v>0</v>
      </c>
      <c r="L614" s="516">
        <v>0</v>
      </c>
      <c r="M614" s="517"/>
      <c r="N614" s="342">
        <v>0</v>
      </c>
      <c r="O614" s="518">
        <v>0</v>
      </c>
      <c r="P614" s="518">
        <v>0</v>
      </c>
      <c r="Q614" s="519"/>
      <c r="R614" s="516">
        <v>0</v>
      </c>
      <c r="S614" s="516">
        <v>0</v>
      </c>
      <c r="T614" s="516">
        <v>0</v>
      </c>
      <c r="U614" s="517"/>
      <c r="V614" s="342">
        <v>0</v>
      </c>
      <c r="W614" s="518">
        <v>0</v>
      </c>
    </row>
    <row r="615" spans="1:23" x14ac:dyDescent="0.25">
      <c r="A615" s="515">
        <v>610</v>
      </c>
      <c r="B615" t="s">
        <v>608</v>
      </c>
      <c r="C615" s="308" t="s">
        <v>18</v>
      </c>
      <c r="D615" s="308" t="s">
        <v>16</v>
      </c>
      <c r="F615" s="516">
        <v>2</v>
      </c>
      <c r="G615" s="516">
        <v>4710</v>
      </c>
      <c r="H615" s="516">
        <v>14</v>
      </c>
      <c r="I615" s="517"/>
      <c r="J615" s="516">
        <v>0</v>
      </c>
      <c r="K615" s="516">
        <v>0</v>
      </c>
      <c r="L615" s="516">
        <v>0</v>
      </c>
      <c r="M615" s="517"/>
      <c r="N615" s="342">
        <v>2</v>
      </c>
      <c r="O615" s="518">
        <v>4710</v>
      </c>
      <c r="P615" s="518">
        <v>14</v>
      </c>
      <c r="Q615" s="519"/>
      <c r="R615" s="516">
        <v>0</v>
      </c>
      <c r="S615" s="516">
        <v>0</v>
      </c>
      <c r="T615" s="516">
        <v>0</v>
      </c>
      <c r="U615" s="517"/>
      <c r="V615" s="342">
        <v>2</v>
      </c>
      <c r="W615" s="518">
        <v>4710</v>
      </c>
    </row>
    <row r="616" spans="1:23" x14ac:dyDescent="0.25">
      <c r="A616" s="515">
        <v>611</v>
      </c>
      <c r="B616" t="s">
        <v>609</v>
      </c>
      <c r="C616" s="308" t="s">
        <v>18</v>
      </c>
      <c r="D616" s="308" t="s">
        <v>16</v>
      </c>
      <c r="F616" s="516">
        <v>0</v>
      </c>
      <c r="G616" s="516">
        <v>0</v>
      </c>
      <c r="H616" s="516">
        <v>0</v>
      </c>
      <c r="I616" s="517"/>
      <c r="J616" s="516">
        <v>0</v>
      </c>
      <c r="K616" s="516">
        <v>0</v>
      </c>
      <c r="L616" s="516">
        <v>0</v>
      </c>
      <c r="M616" s="517"/>
      <c r="N616" s="342">
        <v>0</v>
      </c>
      <c r="O616" s="518">
        <v>0</v>
      </c>
      <c r="P616" s="518">
        <v>0</v>
      </c>
      <c r="Q616" s="519"/>
      <c r="R616" s="516">
        <v>0</v>
      </c>
      <c r="S616" s="516">
        <v>0</v>
      </c>
      <c r="T616" s="516">
        <v>0</v>
      </c>
      <c r="U616" s="517"/>
      <c r="V616" s="342">
        <v>0</v>
      </c>
      <c r="W616" s="518">
        <v>0</v>
      </c>
    </row>
    <row r="617" spans="1:23" x14ac:dyDescent="0.25">
      <c r="A617" s="515">
        <v>612</v>
      </c>
      <c r="B617" t="s">
        <v>610</v>
      </c>
      <c r="C617" s="308" t="s">
        <v>18</v>
      </c>
      <c r="D617" s="308" t="s">
        <v>16</v>
      </c>
      <c r="F617" s="516">
        <v>0</v>
      </c>
      <c r="G617" s="516">
        <v>0</v>
      </c>
      <c r="H617" s="516">
        <v>0</v>
      </c>
      <c r="I617" s="517"/>
      <c r="J617" s="516">
        <v>0</v>
      </c>
      <c r="K617" s="516">
        <v>0</v>
      </c>
      <c r="L617" s="516">
        <v>0</v>
      </c>
      <c r="M617" s="517"/>
      <c r="N617" s="342">
        <v>0</v>
      </c>
      <c r="O617" s="518">
        <v>0</v>
      </c>
      <c r="P617" s="518">
        <v>0</v>
      </c>
      <c r="Q617" s="519"/>
      <c r="R617" s="516">
        <v>0</v>
      </c>
      <c r="S617" s="516">
        <v>0</v>
      </c>
      <c r="T617" s="516">
        <v>0</v>
      </c>
      <c r="U617" s="517"/>
      <c r="V617" s="342">
        <v>0</v>
      </c>
      <c r="W617" s="518">
        <v>0</v>
      </c>
    </row>
    <row r="618" spans="1:23" x14ac:dyDescent="0.25">
      <c r="A618" s="515">
        <v>613</v>
      </c>
      <c r="B618" t="s">
        <v>611</v>
      </c>
      <c r="C618" s="308" t="s">
        <v>18</v>
      </c>
      <c r="D618" s="308" t="s">
        <v>16</v>
      </c>
      <c r="F618" s="516">
        <v>0</v>
      </c>
      <c r="G618" s="516">
        <v>0</v>
      </c>
      <c r="H618" s="516">
        <v>0</v>
      </c>
      <c r="I618" s="517"/>
      <c r="J618" s="516">
        <v>0</v>
      </c>
      <c r="K618" s="516">
        <v>0</v>
      </c>
      <c r="L618" s="516">
        <v>0</v>
      </c>
      <c r="M618" s="517"/>
      <c r="N618" s="342">
        <v>0</v>
      </c>
      <c r="O618" s="518">
        <v>0</v>
      </c>
      <c r="P618" s="518">
        <v>0</v>
      </c>
      <c r="Q618" s="519"/>
      <c r="R618" s="516">
        <v>0</v>
      </c>
      <c r="S618" s="516">
        <v>0</v>
      </c>
      <c r="T618" s="516">
        <v>0</v>
      </c>
      <c r="U618" s="517"/>
      <c r="V618" s="342">
        <v>0</v>
      </c>
      <c r="W618" s="518">
        <v>0</v>
      </c>
    </row>
    <row r="619" spans="1:23" x14ac:dyDescent="0.25">
      <c r="A619" s="515">
        <v>614</v>
      </c>
      <c r="B619" t="s">
        <v>612</v>
      </c>
      <c r="C619" s="308"/>
      <c r="D619" s="308" t="s">
        <v>16</v>
      </c>
      <c r="F619" s="516">
        <v>0</v>
      </c>
      <c r="G619" s="516">
        <v>0</v>
      </c>
      <c r="H619" s="516">
        <v>0</v>
      </c>
      <c r="I619" s="517"/>
      <c r="J619" s="516">
        <v>0</v>
      </c>
      <c r="K619" s="516">
        <v>0</v>
      </c>
      <c r="L619" s="516">
        <v>0</v>
      </c>
      <c r="M619" s="517"/>
      <c r="N619" s="342">
        <v>0</v>
      </c>
      <c r="O619" s="518">
        <v>0</v>
      </c>
      <c r="P619" s="518">
        <v>0</v>
      </c>
      <c r="Q619" s="519"/>
      <c r="R619" s="516">
        <v>0</v>
      </c>
      <c r="S619" s="516">
        <v>0</v>
      </c>
      <c r="T619" s="516">
        <v>0</v>
      </c>
      <c r="U619" s="517"/>
      <c r="V619" s="342">
        <v>0</v>
      </c>
      <c r="W619" s="518">
        <v>0</v>
      </c>
    </row>
    <row r="620" spans="1:23" x14ac:dyDescent="0.25">
      <c r="A620" s="515">
        <v>615</v>
      </c>
      <c r="B620" t="s">
        <v>613</v>
      </c>
      <c r="C620" s="308" t="s">
        <v>15</v>
      </c>
      <c r="D620" s="308" t="s">
        <v>45</v>
      </c>
      <c r="F620" s="516">
        <v>36</v>
      </c>
      <c r="G620" s="516">
        <v>556622.26</v>
      </c>
      <c r="H620" s="516">
        <v>1080</v>
      </c>
      <c r="I620" s="517"/>
      <c r="J620" s="516">
        <v>0</v>
      </c>
      <c r="K620" s="516">
        <v>0</v>
      </c>
      <c r="L620" s="516">
        <v>0</v>
      </c>
      <c r="M620" s="517"/>
      <c r="N620" s="342">
        <v>36</v>
      </c>
      <c r="O620" s="518">
        <v>556622.26</v>
      </c>
      <c r="P620" s="518">
        <v>1080</v>
      </c>
      <c r="Q620" s="519"/>
      <c r="R620" s="516">
        <v>0</v>
      </c>
      <c r="S620" s="516">
        <v>0</v>
      </c>
      <c r="T620" s="516">
        <v>0</v>
      </c>
      <c r="U620" s="517"/>
      <c r="V620" s="342">
        <v>36</v>
      </c>
      <c r="W620" s="518">
        <v>556622.26</v>
      </c>
    </row>
    <row r="621" spans="1:23" x14ac:dyDescent="0.25">
      <c r="A621" s="515">
        <v>616</v>
      </c>
      <c r="B621" t="s">
        <v>614</v>
      </c>
      <c r="C621" s="308" t="s">
        <v>15</v>
      </c>
      <c r="D621" s="308" t="s">
        <v>45</v>
      </c>
      <c r="F621" s="516">
        <v>1</v>
      </c>
      <c r="G621" s="516">
        <v>3155</v>
      </c>
      <c r="H621" s="516">
        <v>15</v>
      </c>
      <c r="I621" s="517"/>
      <c r="J621" s="516">
        <v>0</v>
      </c>
      <c r="K621" s="516">
        <v>0</v>
      </c>
      <c r="L621" s="516">
        <v>0</v>
      </c>
      <c r="M621" s="517"/>
      <c r="N621" s="342">
        <v>1</v>
      </c>
      <c r="O621" s="518">
        <v>3155</v>
      </c>
      <c r="P621" s="518">
        <v>15</v>
      </c>
      <c r="Q621" s="519"/>
      <c r="R621" s="516">
        <v>0</v>
      </c>
      <c r="S621" s="516">
        <v>0</v>
      </c>
      <c r="T621" s="516">
        <v>0</v>
      </c>
      <c r="U621" s="517"/>
      <c r="V621" s="342">
        <v>1</v>
      </c>
      <c r="W621" s="518">
        <v>3155</v>
      </c>
    </row>
    <row r="622" spans="1:23" x14ac:dyDescent="0.25">
      <c r="A622" s="515">
        <v>617</v>
      </c>
      <c r="B622" t="s">
        <v>615</v>
      </c>
      <c r="C622" s="308" t="s">
        <v>18</v>
      </c>
      <c r="D622" s="308" t="s">
        <v>16</v>
      </c>
      <c r="F622" s="516">
        <v>9</v>
      </c>
      <c r="G622" s="516">
        <v>49576</v>
      </c>
      <c r="H622" s="516">
        <v>90</v>
      </c>
      <c r="I622" s="517"/>
      <c r="J622" s="516">
        <v>0</v>
      </c>
      <c r="K622" s="516">
        <v>0</v>
      </c>
      <c r="L622" s="516">
        <v>0</v>
      </c>
      <c r="M622" s="517"/>
      <c r="N622" s="342">
        <v>9</v>
      </c>
      <c r="O622" s="518">
        <v>49576</v>
      </c>
      <c r="P622" s="518">
        <v>90</v>
      </c>
      <c r="Q622" s="519"/>
      <c r="R622" s="516">
        <v>0</v>
      </c>
      <c r="S622" s="516">
        <v>0</v>
      </c>
      <c r="T622" s="516">
        <v>0</v>
      </c>
      <c r="U622" s="517"/>
      <c r="V622" s="342">
        <v>9</v>
      </c>
      <c r="W622" s="518">
        <v>49576</v>
      </c>
    </row>
    <row r="623" spans="1:23" x14ac:dyDescent="0.25">
      <c r="A623" s="515">
        <v>618</v>
      </c>
      <c r="B623" t="s">
        <v>616</v>
      </c>
      <c r="C623" s="308" t="s">
        <v>18</v>
      </c>
      <c r="D623" s="308" t="s">
        <v>16</v>
      </c>
      <c r="F623" s="516">
        <v>0</v>
      </c>
      <c r="G623" s="516">
        <v>0</v>
      </c>
      <c r="H623" s="516">
        <v>0</v>
      </c>
      <c r="I623" s="517"/>
      <c r="J623" s="516">
        <v>0</v>
      </c>
      <c r="K623" s="516">
        <v>0</v>
      </c>
      <c r="L623" s="516">
        <v>0</v>
      </c>
      <c r="M623" s="517"/>
      <c r="N623" s="342">
        <v>0</v>
      </c>
      <c r="O623" s="518">
        <v>0</v>
      </c>
      <c r="P623" s="518">
        <v>0</v>
      </c>
      <c r="Q623" s="519"/>
      <c r="R623" s="516">
        <v>0</v>
      </c>
      <c r="S623" s="516">
        <v>0</v>
      </c>
      <c r="T623" s="516">
        <v>0</v>
      </c>
      <c r="U623" s="517"/>
      <c r="V623" s="342">
        <v>0</v>
      </c>
      <c r="W623" s="518">
        <v>0</v>
      </c>
    </row>
    <row r="624" spans="1:23" x14ac:dyDescent="0.25">
      <c r="A624" s="515">
        <v>619</v>
      </c>
      <c r="B624" t="s">
        <v>617</v>
      </c>
      <c r="C624" s="308" t="s">
        <v>92</v>
      </c>
      <c r="D624" s="308" t="s">
        <v>16</v>
      </c>
      <c r="F624" s="516">
        <v>0</v>
      </c>
      <c r="G624" s="516">
        <v>0</v>
      </c>
      <c r="H624" s="516">
        <v>0</v>
      </c>
      <c r="I624" s="517"/>
      <c r="J624" s="516">
        <v>0</v>
      </c>
      <c r="K624" s="516">
        <v>0</v>
      </c>
      <c r="L624" s="516">
        <v>0</v>
      </c>
      <c r="M624" s="517"/>
      <c r="N624" s="342">
        <v>0</v>
      </c>
      <c r="O624" s="518">
        <v>0</v>
      </c>
      <c r="P624" s="518">
        <v>0</v>
      </c>
      <c r="Q624" s="519"/>
      <c r="R624" s="516">
        <v>0</v>
      </c>
      <c r="S624" s="516">
        <v>0</v>
      </c>
      <c r="T624" s="516">
        <v>0</v>
      </c>
      <c r="U624" s="517"/>
      <c r="V624" s="342">
        <v>0</v>
      </c>
      <c r="W624" s="518">
        <v>0</v>
      </c>
    </row>
    <row r="625" spans="1:23" x14ac:dyDescent="0.25">
      <c r="A625" s="515">
        <v>620</v>
      </c>
      <c r="B625" t="s">
        <v>618</v>
      </c>
      <c r="C625" s="308" t="s">
        <v>18</v>
      </c>
      <c r="D625" s="308" t="s">
        <v>16</v>
      </c>
      <c r="F625" s="516">
        <v>8</v>
      </c>
      <c r="G625" s="516">
        <v>102052</v>
      </c>
      <c r="H625" s="516">
        <v>200</v>
      </c>
      <c r="I625" s="517"/>
      <c r="J625" s="516">
        <v>0</v>
      </c>
      <c r="K625" s="516">
        <v>0</v>
      </c>
      <c r="L625" s="516">
        <v>0</v>
      </c>
      <c r="M625" s="517"/>
      <c r="N625" s="342">
        <v>8</v>
      </c>
      <c r="O625" s="518">
        <v>102052</v>
      </c>
      <c r="P625" s="518">
        <v>200</v>
      </c>
      <c r="Q625" s="519"/>
      <c r="R625" s="516">
        <v>0</v>
      </c>
      <c r="S625" s="516">
        <v>0</v>
      </c>
      <c r="T625" s="516">
        <v>0</v>
      </c>
      <c r="U625" s="517"/>
      <c r="V625" s="342">
        <v>8</v>
      </c>
      <c r="W625" s="518">
        <v>102052</v>
      </c>
    </row>
    <row r="626" spans="1:23" x14ac:dyDescent="0.25">
      <c r="A626" s="515">
        <v>621</v>
      </c>
      <c r="B626" t="s">
        <v>619</v>
      </c>
      <c r="C626" s="308" t="s">
        <v>25</v>
      </c>
      <c r="D626" s="308" t="s">
        <v>16</v>
      </c>
      <c r="F626" s="516">
        <v>1</v>
      </c>
      <c r="G626" s="516">
        <v>3000</v>
      </c>
      <c r="H626" s="516">
        <v>25</v>
      </c>
      <c r="I626" s="517"/>
      <c r="J626" s="516">
        <v>0</v>
      </c>
      <c r="K626" s="516">
        <v>0</v>
      </c>
      <c r="L626" s="516">
        <v>0</v>
      </c>
      <c r="M626" s="517"/>
      <c r="N626" s="342">
        <v>1</v>
      </c>
      <c r="O626" s="518">
        <v>3000</v>
      </c>
      <c r="P626" s="518">
        <v>25</v>
      </c>
      <c r="Q626" s="519"/>
      <c r="R626" s="516">
        <v>0</v>
      </c>
      <c r="S626" s="516">
        <v>0</v>
      </c>
      <c r="T626" s="516">
        <v>0</v>
      </c>
      <c r="U626" s="517"/>
      <c r="V626" s="342">
        <v>1</v>
      </c>
      <c r="W626" s="518">
        <v>3000</v>
      </c>
    </row>
    <row r="627" spans="1:23" x14ac:dyDescent="0.25">
      <c r="A627" s="515">
        <v>622</v>
      </c>
      <c r="B627" t="s">
        <v>620</v>
      </c>
      <c r="C627" s="308" t="s">
        <v>25</v>
      </c>
      <c r="D627" s="308" t="s">
        <v>16</v>
      </c>
      <c r="F627" s="516">
        <v>0</v>
      </c>
      <c r="G627" s="516">
        <v>0</v>
      </c>
      <c r="H627" s="516">
        <v>0</v>
      </c>
      <c r="I627" s="517"/>
      <c r="J627" s="516">
        <v>0</v>
      </c>
      <c r="K627" s="516">
        <v>0</v>
      </c>
      <c r="L627" s="516">
        <v>0</v>
      </c>
      <c r="M627" s="517"/>
      <c r="N627" s="342">
        <v>0</v>
      </c>
      <c r="O627" s="518">
        <v>0</v>
      </c>
      <c r="P627" s="518">
        <v>0</v>
      </c>
      <c r="Q627" s="519"/>
      <c r="R627" s="516">
        <v>0</v>
      </c>
      <c r="S627" s="516">
        <v>0</v>
      </c>
      <c r="T627" s="516">
        <v>0</v>
      </c>
      <c r="U627" s="517"/>
      <c r="V627" s="342">
        <v>0</v>
      </c>
      <c r="W627" s="518">
        <v>0</v>
      </c>
    </row>
    <row r="628" spans="1:23" x14ac:dyDescent="0.25">
      <c r="A628" s="515">
        <v>623</v>
      </c>
      <c r="B628" t="s">
        <v>621</v>
      </c>
      <c r="C628" s="308" t="s">
        <v>15</v>
      </c>
      <c r="D628" s="308" t="s">
        <v>16</v>
      </c>
      <c r="F628" s="516">
        <v>1</v>
      </c>
      <c r="G628" s="516">
        <v>15000</v>
      </c>
      <c r="H628" s="516">
        <v>25</v>
      </c>
      <c r="I628" s="517"/>
      <c r="J628" s="516">
        <v>0</v>
      </c>
      <c r="K628" s="516">
        <v>0</v>
      </c>
      <c r="L628" s="516">
        <v>0</v>
      </c>
      <c r="M628" s="517"/>
      <c r="N628" s="342">
        <v>1</v>
      </c>
      <c r="O628" s="518">
        <v>15000</v>
      </c>
      <c r="P628" s="518">
        <v>25</v>
      </c>
      <c r="Q628" s="519"/>
      <c r="R628" s="516">
        <v>0</v>
      </c>
      <c r="S628" s="516">
        <v>0</v>
      </c>
      <c r="T628" s="516">
        <v>0</v>
      </c>
      <c r="U628" s="517"/>
      <c r="V628" s="342">
        <v>1</v>
      </c>
      <c r="W628" s="518">
        <v>15000</v>
      </c>
    </row>
    <row r="629" spans="1:23" x14ac:dyDescent="0.25">
      <c r="A629" s="515">
        <v>624</v>
      </c>
      <c r="B629" t="s">
        <v>622</v>
      </c>
      <c r="C629" s="308" t="s">
        <v>15</v>
      </c>
      <c r="D629" s="308" t="s">
        <v>16</v>
      </c>
      <c r="F629" s="516">
        <v>0</v>
      </c>
      <c r="G629" s="516">
        <v>0</v>
      </c>
      <c r="H629" s="516">
        <v>0</v>
      </c>
      <c r="I629" s="517"/>
      <c r="J629" s="516">
        <v>0</v>
      </c>
      <c r="K629" s="516">
        <v>0</v>
      </c>
      <c r="L629" s="516">
        <v>0</v>
      </c>
      <c r="M629" s="517"/>
      <c r="N629" s="342">
        <v>0</v>
      </c>
      <c r="O629" s="518">
        <v>0</v>
      </c>
      <c r="P629" s="518">
        <v>0</v>
      </c>
      <c r="Q629" s="519"/>
      <c r="R629" s="516">
        <v>0</v>
      </c>
      <c r="S629" s="516">
        <v>0</v>
      </c>
      <c r="T629" s="516">
        <v>0</v>
      </c>
      <c r="U629" s="517"/>
      <c r="V629" s="342">
        <v>0</v>
      </c>
      <c r="W629" s="518">
        <v>0</v>
      </c>
    </row>
    <row r="630" spans="1:23" x14ac:dyDescent="0.25">
      <c r="A630" s="515">
        <v>625</v>
      </c>
      <c r="B630" t="s">
        <v>623</v>
      </c>
      <c r="C630" s="308" t="s">
        <v>15</v>
      </c>
      <c r="D630" s="308" t="s">
        <v>16</v>
      </c>
      <c r="F630" s="516">
        <v>1</v>
      </c>
      <c r="G630" s="516">
        <v>4036</v>
      </c>
      <c r="H630" s="516">
        <v>25</v>
      </c>
      <c r="I630" s="517"/>
      <c r="J630" s="516">
        <v>0</v>
      </c>
      <c r="K630" s="516">
        <v>0</v>
      </c>
      <c r="L630" s="516">
        <v>0</v>
      </c>
      <c r="M630" s="517"/>
      <c r="N630" s="342">
        <v>1</v>
      </c>
      <c r="O630" s="518">
        <v>4036</v>
      </c>
      <c r="P630" s="518">
        <v>25</v>
      </c>
      <c r="Q630" s="519"/>
      <c r="R630" s="516">
        <v>0</v>
      </c>
      <c r="S630" s="516">
        <v>0</v>
      </c>
      <c r="T630" s="516">
        <v>0</v>
      </c>
      <c r="U630" s="517"/>
      <c r="V630" s="342">
        <v>1</v>
      </c>
      <c r="W630" s="518">
        <v>4036</v>
      </c>
    </row>
    <row r="631" spans="1:23" x14ac:dyDescent="0.25">
      <c r="A631" s="515">
        <v>626</v>
      </c>
      <c r="B631" t="s">
        <v>624</v>
      </c>
      <c r="C631" s="308" t="s">
        <v>18</v>
      </c>
      <c r="D631" s="308" t="s">
        <v>16</v>
      </c>
      <c r="F631" s="516">
        <v>6</v>
      </c>
      <c r="G631" s="516">
        <v>60020</v>
      </c>
      <c r="H631" s="516">
        <v>150</v>
      </c>
      <c r="I631" s="517"/>
      <c r="J631" s="516">
        <v>0</v>
      </c>
      <c r="K631" s="516">
        <v>0</v>
      </c>
      <c r="L631" s="516">
        <v>0</v>
      </c>
      <c r="M631" s="517"/>
      <c r="N631" s="342">
        <v>6</v>
      </c>
      <c r="O631" s="518">
        <v>60020</v>
      </c>
      <c r="P631" s="518">
        <v>150</v>
      </c>
      <c r="Q631" s="519"/>
      <c r="R631" s="516">
        <v>0</v>
      </c>
      <c r="S631" s="516">
        <v>0</v>
      </c>
      <c r="T631" s="516">
        <v>0</v>
      </c>
      <c r="U631" s="517"/>
      <c r="V631" s="342">
        <v>6</v>
      </c>
      <c r="W631" s="518">
        <v>60020</v>
      </c>
    </row>
    <row r="632" spans="1:23" x14ac:dyDescent="0.25">
      <c r="A632" s="515">
        <v>627</v>
      </c>
      <c r="B632" t="s">
        <v>625</v>
      </c>
      <c r="C632" s="308" t="s">
        <v>525</v>
      </c>
      <c r="D632" s="308" t="s">
        <v>16</v>
      </c>
      <c r="F632" s="516">
        <v>6</v>
      </c>
      <c r="G632" s="516">
        <v>75897</v>
      </c>
      <c r="H632" s="516">
        <v>180</v>
      </c>
      <c r="I632" s="517"/>
      <c r="J632" s="516">
        <v>0</v>
      </c>
      <c r="K632" s="516">
        <v>0</v>
      </c>
      <c r="L632" s="516">
        <v>0</v>
      </c>
      <c r="M632" s="517"/>
      <c r="N632" s="342">
        <v>6</v>
      </c>
      <c r="O632" s="518">
        <v>75897</v>
      </c>
      <c r="P632" s="518">
        <v>180</v>
      </c>
      <c r="Q632" s="519"/>
      <c r="R632" s="516">
        <v>0</v>
      </c>
      <c r="S632" s="516">
        <v>0</v>
      </c>
      <c r="T632" s="516">
        <v>0</v>
      </c>
      <c r="U632" s="517"/>
      <c r="V632" s="342">
        <v>6</v>
      </c>
      <c r="W632" s="518">
        <v>75897</v>
      </c>
    </row>
    <row r="633" spans="1:23" x14ac:dyDescent="0.25">
      <c r="A633" s="515">
        <v>628</v>
      </c>
      <c r="B633" t="s">
        <v>626</v>
      </c>
      <c r="C633" s="308" t="s">
        <v>25</v>
      </c>
      <c r="D633" s="308" t="s">
        <v>20</v>
      </c>
      <c r="F633" s="516">
        <v>1</v>
      </c>
      <c r="G633" s="516">
        <v>12000</v>
      </c>
      <c r="H633" s="516">
        <v>30</v>
      </c>
      <c r="I633" s="517"/>
      <c r="J633" s="516">
        <v>0</v>
      </c>
      <c r="K633" s="516">
        <v>0</v>
      </c>
      <c r="L633" s="516">
        <v>0</v>
      </c>
      <c r="M633" s="517"/>
      <c r="N633" s="342">
        <v>1</v>
      </c>
      <c r="O633" s="518">
        <v>12000</v>
      </c>
      <c r="P633" s="518">
        <v>30</v>
      </c>
      <c r="Q633" s="519"/>
      <c r="R633" s="516">
        <v>0</v>
      </c>
      <c r="S633" s="516">
        <v>0</v>
      </c>
      <c r="T633" s="516">
        <v>0</v>
      </c>
      <c r="U633" s="517"/>
      <c r="V633" s="342">
        <v>1</v>
      </c>
      <c r="W633" s="518">
        <v>12000</v>
      </c>
    </row>
    <row r="634" spans="1:23" x14ac:dyDescent="0.25">
      <c r="A634" s="515">
        <v>629</v>
      </c>
      <c r="B634" t="s">
        <v>627</v>
      </c>
      <c r="C634" s="308" t="s">
        <v>24</v>
      </c>
      <c r="D634" s="308" t="s">
        <v>16</v>
      </c>
      <c r="F634" s="516">
        <v>11</v>
      </c>
      <c r="G634" s="516">
        <v>23230</v>
      </c>
      <c r="H634" s="516">
        <v>165</v>
      </c>
      <c r="I634" s="517"/>
      <c r="J634" s="516">
        <v>0</v>
      </c>
      <c r="K634" s="516">
        <v>0</v>
      </c>
      <c r="L634" s="516">
        <v>0</v>
      </c>
      <c r="M634" s="517"/>
      <c r="N634" s="342">
        <v>11</v>
      </c>
      <c r="O634" s="518">
        <v>23230</v>
      </c>
      <c r="P634" s="518">
        <v>165</v>
      </c>
      <c r="Q634" s="519"/>
      <c r="R634" s="516">
        <v>0</v>
      </c>
      <c r="S634" s="516">
        <v>0</v>
      </c>
      <c r="T634" s="516">
        <v>0</v>
      </c>
      <c r="U634" s="517"/>
      <c r="V634" s="342">
        <v>11</v>
      </c>
      <c r="W634" s="518">
        <v>23230</v>
      </c>
    </row>
    <row r="635" spans="1:23" x14ac:dyDescent="0.25">
      <c r="A635" s="515">
        <v>630</v>
      </c>
      <c r="B635" t="s">
        <v>628</v>
      </c>
      <c r="C635" s="308" t="s">
        <v>25</v>
      </c>
      <c r="D635" s="308" t="s">
        <v>16</v>
      </c>
      <c r="F635" s="516">
        <v>95</v>
      </c>
      <c r="G635" s="516">
        <v>1008652</v>
      </c>
      <c r="H635" s="516">
        <v>950</v>
      </c>
      <c r="I635" s="517"/>
      <c r="J635" s="516">
        <v>0</v>
      </c>
      <c r="K635" s="516">
        <v>0</v>
      </c>
      <c r="L635" s="516">
        <v>0</v>
      </c>
      <c r="M635" s="517"/>
      <c r="N635" s="342">
        <v>95</v>
      </c>
      <c r="O635" s="518">
        <v>1008652</v>
      </c>
      <c r="P635" s="518">
        <v>950</v>
      </c>
      <c r="Q635" s="519"/>
      <c r="R635" s="516">
        <v>0</v>
      </c>
      <c r="S635" s="516">
        <v>0</v>
      </c>
      <c r="T635" s="516">
        <v>0</v>
      </c>
      <c r="U635" s="517"/>
      <c r="V635" s="342">
        <v>95</v>
      </c>
      <c r="W635" s="518">
        <v>1008652</v>
      </c>
    </row>
    <row r="636" spans="1:23" x14ac:dyDescent="0.25">
      <c r="A636" s="515">
        <v>631</v>
      </c>
      <c r="B636" t="s">
        <v>629</v>
      </c>
      <c r="C636" s="308"/>
      <c r="D636" s="308" t="s">
        <v>16</v>
      </c>
      <c r="F636" s="516">
        <v>0</v>
      </c>
      <c r="G636" s="516">
        <v>0</v>
      </c>
      <c r="H636" s="516">
        <v>0</v>
      </c>
      <c r="I636" s="517"/>
      <c r="J636" s="516">
        <v>0</v>
      </c>
      <c r="K636" s="516">
        <v>0</v>
      </c>
      <c r="L636" s="516">
        <v>0</v>
      </c>
      <c r="M636" s="517"/>
      <c r="N636" s="342">
        <v>0</v>
      </c>
      <c r="O636" s="518">
        <v>0</v>
      </c>
      <c r="P636" s="518">
        <v>0</v>
      </c>
      <c r="Q636" s="519"/>
      <c r="R636" s="516">
        <v>0</v>
      </c>
      <c r="S636" s="516">
        <v>0</v>
      </c>
      <c r="T636" s="516">
        <v>0</v>
      </c>
      <c r="U636" s="517"/>
      <c r="V636" s="342">
        <v>0</v>
      </c>
      <c r="W636" s="518">
        <v>0</v>
      </c>
    </row>
    <row r="637" spans="1:23" x14ac:dyDescent="0.25">
      <c r="A637" s="515">
        <v>632</v>
      </c>
      <c r="B637" t="s">
        <v>630</v>
      </c>
      <c r="C637" s="308" t="s">
        <v>25</v>
      </c>
      <c r="D637" s="308" t="s">
        <v>16</v>
      </c>
      <c r="F637" s="516">
        <v>0</v>
      </c>
      <c r="G637" s="516">
        <v>0</v>
      </c>
      <c r="H637" s="516">
        <v>0</v>
      </c>
      <c r="I637" s="517"/>
      <c r="J637" s="516">
        <v>0</v>
      </c>
      <c r="K637" s="516">
        <v>0</v>
      </c>
      <c r="L637" s="516">
        <v>0</v>
      </c>
      <c r="M637" s="517"/>
      <c r="N637" s="342">
        <v>0</v>
      </c>
      <c r="O637" s="518">
        <v>0</v>
      </c>
      <c r="P637" s="518">
        <v>0</v>
      </c>
      <c r="Q637" s="519"/>
      <c r="R637" s="516">
        <v>0</v>
      </c>
      <c r="S637" s="516">
        <v>0</v>
      </c>
      <c r="T637" s="516">
        <v>0</v>
      </c>
      <c r="U637" s="517"/>
      <c r="V637" s="342">
        <v>0</v>
      </c>
      <c r="W637" s="518">
        <v>0</v>
      </c>
    </row>
    <row r="638" spans="1:23" x14ac:dyDescent="0.25">
      <c r="A638" s="515">
        <v>633</v>
      </c>
      <c r="B638" t="s">
        <v>636</v>
      </c>
      <c r="C638" s="308"/>
      <c r="D638" s="308"/>
      <c r="F638" s="516">
        <v>0</v>
      </c>
      <c r="G638" s="516">
        <v>0</v>
      </c>
      <c r="H638" s="516">
        <v>0</v>
      </c>
      <c r="I638" s="517"/>
      <c r="J638" s="516">
        <v>0</v>
      </c>
      <c r="K638" s="516">
        <v>0</v>
      </c>
      <c r="L638" s="516">
        <v>0</v>
      </c>
      <c r="M638" s="517"/>
      <c r="N638" s="342">
        <v>0</v>
      </c>
      <c r="O638" s="518">
        <v>0</v>
      </c>
      <c r="P638" s="518">
        <v>0</v>
      </c>
      <c r="Q638" s="519"/>
      <c r="R638" s="516">
        <v>0</v>
      </c>
      <c r="S638" s="516">
        <v>0</v>
      </c>
      <c r="T638" s="516">
        <v>0</v>
      </c>
      <c r="U638" s="517"/>
      <c r="V638" s="342">
        <v>0</v>
      </c>
      <c r="W638" s="518">
        <v>0</v>
      </c>
    </row>
    <row r="639" spans="1:23" x14ac:dyDescent="0.25">
      <c r="A639" s="515">
        <v>634</v>
      </c>
      <c r="B639" t="s">
        <v>631</v>
      </c>
      <c r="C639" s="308" t="s">
        <v>18</v>
      </c>
      <c r="D639" s="308" t="s">
        <v>16</v>
      </c>
      <c r="F639" s="516">
        <v>0</v>
      </c>
      <c r="G639" s="516">
        <v>0</v>
      </c>
      <c r="H639" s="516">
        <v>0</v>
      </c>
      <c r="I639" s="517"/>
      <c r="J639" s="516">
        <v>0</v>
      </c>
      <c r="K639" s="516">
        <v>0</v>
      </c>
      <c r="L639" s="516">
        <v>0</v>
      </c>
      <c r="M639" s="517"/>
      <c r="N639" s="342">
        <v>0</v>
      </c>
      <c r="O639" s="518">
        <v>0</v>
      </c>
      <c r="P639" s="518">
        <v>0</v>
      </c>
      <c r="Q639" s="519"/>
      <c r="R639" s="516">
        <v>0</v>
      </c>
      <c r="S639" s="516">
        <v>0</v>
      </c>
      <c r="T639" s="516">
        <v>0</v>
      </c>
      <c r="U639" s="517"/>
      <c r="V639" s="342">
        <v>0</v>
      </c>
      <c r="W639" s="518">
        <v>0</v>
      </c>
    </row>
    <row r="640" spans="1:23" x14ac:dyDescent="0.25">
      <c r="A640" s="515">
        <v>635</v>
      </c>
      <c r="B640" t="s">
        <v>642</v>
      </c>
      <c r="C640" s="308" t="s">
        <v>15</v>
      </c>
      <c r="D640" s="308" t="s">
        <v>16</v>
      </c>
      <c r="F640" s="516">
        <v>0</v>
      </c>
      <c r="G640" s="516">
        <v>0</v>
      </c>
      <c r="H640" s="516">
        <v>0</v>
      </c>
      <c r="I640" s="517"/>
      <c r="J640" s="516">
        <v>0</v>
      </c>
      <c r="K640" s="516">
        <v>0</v>
      </c>
      <c r="L640" s="516">
        <v>0</v>
      </c>
      <c r="M640" s="517"/>
      <c r="N640" s="342">
        <v>0</v>
      </c>
      <c r="O640" s="518">
        <v>0</v>
      </c>
      <c r="P640" s="518">
        <v>0</v>
      </c>
      <c r="Q640" s="519"/>
      <c r="R640" s="516">
        <v>0</v>
      </c>
      <c r="S640" s="516">
        <v>0</v>
      </c>
      <c r="T640" s="516">
        <v>0</v>
      </c>
      <c r="U640" s="517"/>
      <c r="V640" s="342">
        <v>0</v>
      </c>
      <c r="W640" s="518">
        <v>0</v>
      </c>
    </row>
    <row r="641" spans="1:23" x14ac:dyDescent="0.25">
      <c r="A641" s="515">
        <v>636</v>
      </c>
      <c r="B641" t="s">
        <v>632</v>
      </c>
      <c r="C641" s="308" t="s">
        <v>15</v>
      </c>
      <c r="D641" s="308" t="s">
        <v>16</v>
      </c>
      <c r="F641" s="516">
        <v>0</v>
      </c>
      <c r="G641" s="516">
        <v>0</v>
      </c>
      <c r="H641" s="516">
        <v>0</v>
      </c>
      <c r="I641" s="517"/>
      <c r="J641" s="516">
        <v>0</v>
      </c>
      <c r="K641" s="516">
        <v>0</v>
      </c>
      <c r="L641" s="516">
        <v>0</v>
      </c>
      <c r="M641" s="517"/>
      <c r="N641" s="342">
        <v>0</v>
      </c>
      <c r="O641" s="518">
        <v>0</v>
      </c>
      <c r="P641" s="518">
        <v>0</v>
      </c>
      <c r="Q641" s="519"/>
      <c r="R641" s="516">
        <v>0</v>
      </c>
      <c r="S641" s="516">
        <v>0</v>
      </c>
      <c r="T641" s="516">
        <v>0</v>
      </c>
      <c r="U641" s="517"/>
      <c r="V641" s="342">
        <v>0</v>
      </c>
      <c r="W641" s="518">
        <v>0</v>
      </c>
    </row>
    <row r="642" spans="1:23" x14ac:dyDescent="0.25">
      <c r="A642" s="515">
        <v>637</v>
      </c>
      <c r="B642" t="s">
        <v>633</v>
      </c>
      <c r="C642" s="308" t="s">
        <v>15</v>
      </c>
      <c r="D642" s="308" t="s">
        <v>16</v>
      </c>
      <c r="F642" s="516">
        <v>2</v>
      </c>
      <c r="G642" s="516">
        <v>26500</v>
      </c>
      <c r="H642" s="516">
        <v>50</v>
      </c>
      <c r="I642" s="517"/>
      <c r="J642" s="516">
        <v>0</v>
      </c>
      <c r="K642" s="516">
        <v>0</v>
      </c>
      <c r="L642" s="516">
        <v>0</v>
      </c>
      <c r="M642" s="517"/>
      <c r="N642" s="342">
        <v>2</v>
      </c>
      <c r="O642" s="518">
        <v>26500</v>
      </c>
      <c r="P642" s="518">
        <v>50</v>
      </c>
      <c r="Q642" s="519"/>
      <c r="R642" s="516">
        <v>0</v>
      </c>
      <c r="S642" s="516">
        <v>0</v>
      </c>
      <c r="T642" s="516">
        <v>0</v>
      </c>
      <c r="U642" s="517"/>
      <c r="V642" s="342">
        <v>2</v>
      </c>
      <c r="W642" s="518">
        <v>26500</v>
      </c>
    </row>
    <row r="643" spans="1:23" x14ac:dyDescent="0.25">
      <c r="A643" s="515">
        <v>638</v>
      </c>
      <c r="B643" t="s">
        <v>634</v>
      </c>
      <c r="C643" s="308" t="s">
        <v>39</v>
      </c>
      <c r="D643" s="308" t="s">
        <v>16</v>
      </c>
      <c r="F643" s="516">
        <v>3</v>
      </c>
      <c r="G643" s="516">
        <v>1309.9000000000001</v>
      </c>
      <c r="H643" s="516">
        <v>30</v>
      </c>
      <c r="I643" s="517"/>
      <c r="J643" s="516">
        <v>0</v>
      </c>
      <c r="K643" s="516">
        <v>0</v>
      </c>
      <c r="L643" s="516">
        <v>0</v>
      </c>
      <c r="M643" s="517"/>
      <c r="N643" s="342">
        <v>3</v>
      </c>
      <c r="O643" s="518">
        <v>1309.9000000000001</v>
      </c>
      <c r="P643" s="518">
        <v>30</v>
      </c>
      <c r="Q643" s="519"/>
      <c r="R643" s="516">
        <v>0</v>
      </c>
      <c r="S643" s="516">
        <v>0</v>
      </c>
      <c r="T643" s="516">
        <v>0</v>
      </c>
      <c r="U643" s="517"/>
      <c r="V643" s="342">
        <v>3</v>
      </c>
      <c r="W643" s="518">
        <v>1309.9000000000001</v>
      </c>
    </row>
    <row r="644" spans="1:23" x14ac:dyDescent="0.25">
      <c r="A644" s="515">
        <v>639</v>
      </c>
      <c r="B644" t="s">
        <v>635</v>
      </c>
      <c r="C644" s="308"/>
      <c r="D644" s="308" t="s">
        <v>20</v>
      </c>
      <c r="F644" s="516">
        <v>0</v>
      </c>
      <c r="G644" s="516">
        <v>0</v>
      </c>
      <c r="H644" s="516">
        <v>0</v>
      </c>
      <c r="I644" s="517"/>
      <c r="J644" s="516">
        <v>0</v>
      </c>
      <c r="K644" s="516">
        <v>0</v>
      </c>
      <c r="L644" s="516">
        <v>0</v>
      </c>
      <c r="M644" s="517"/>
      <c r="N644" s="342">
        <v>0</v>
      </c>
      <c r="O644" s="518">
        <v>0</v>
      </c>
      <c r="P644" s="518">
        <v>0</v>
      </c>
      <c r="Q644" s="519"/>
      <c r="R644" s="516">
        <v>0</v>
      </c>
      <c r="S644" s="516">
        <v>0</v>
      </c>
      <c r="T644" s="516">
        <v>0</v>
      </c>
      <c r="U644" s="517"/>
      <c r="V644" s="342">
        <v>0</v>
      </c>
      <c r="W644" s="518">
        <v>0</v>
      </c>
    </row>
    <row r="645" spans="1:23" x14ac:dyDescent="0.25">
      <c r="A645" s="515">
        <v>640</v>
      </c>
      <c r="B645" t="s">
        <v>637</v>
      </c>
      <c r="C645" s="308" t="s">
        <v>25</v>
      </c>
      <c r="D645" s="308" t="s">
        <v>369</v>
      </c>
      <c r="F645" s="516">
        <v>2085</v>
      </c>
      <c r="G645" s="516">
        <v>5899242.29</v>
      </c>
      <c r="H645" s="516">
        <v>18765</v>
      </c>
      <c r="I645" s="517"/>
      <c r="J645" s="516">
        <v>0</v>
      </c>
      <c r="K645" s="516">
        <v>0</v>
      </c>
      <c r="L645" s="516">
        <v>0</v>
      </c>
      <c r="M645" s="517"/>
      <c r="N645" s="342">
        <v>2085</v>
      </c>
      <c r="O645" s="518">
        <v>5899242.29</v>
      </c>
      <c r="P645" s="518">
        <v>18765</v>
      </c>
      <c r="Q645" s="519"/>
      <c r="R645" s="516">
        <v>0</v>
      </c>
      <c r="S645" s="516">
        <v>0</v>
      </c>
      <c r="T645" s="516">
        <v>0</v>
      </c>
      <c r="U645" s="517"/>
      <c r="V645" s="342">
        <v>2085</v>
      </c>
      <c r="W645" s="518">
        <v>5899242.29</v>
      </c>
    </row>
    <row r="646" spans="1:23" x14ac:dyDescent="0.25">
      <c r="A646" s="515">
        <v>641</v>
      </c>
      <c r="B646" t="s">
        <v>2431</v>
      </c>
      <c r="C646" s="308" t="s">
        <v>41</v>
      </c>
      <c r="D646" s="308" t="s">
        <v>20</v>
      </c>
      <c r="F646" s="516">
        <v>7</v>
      </c>
      <c r="G646" s="516">
        <v>600000</v>
      </c>
      <c r="H646" s="516">
        <v>600</v>
      </c>
      <c r="I646" s="517"/>
      <c r="J646" s="516">
        <v>0</v>
      </c>
      <c r="K646" s="516">
        <v>0</v>
      </c>
      <c r="L646" s="516">
        <v>0</v>
      </c>
      <c r="M646" s="517"/>
      <c r="N646" s="342">
        <v>7</v>
      </c>
      <c r="O646" s="518">
        <v>600000</v>
      </c>
      <c r="P646" s="518">
        <v>600</v>
      </c>
      <c r="Q646" s="519"/>
      <c r="R646" s="516">
        <v>0</v>
      </c>
      <c r="S646" s="516">
        <v>0</v>
      </c>
      <c r="T646" s="516">
        <v>0</v>
      </c>
      <c r="U646" s="517"/>
      <c r="V646" s="342">
        <v>7</v>
      </c>
      <c r="W646" s="518">
        <v>600000</v>
      </c>
    </row>
    <row r="647" spans="1:23" x14ac:dyDescent="0.25">
      <c r="A647" s="515">
        <v>642</v>
      </c>
      <c r="B647" t="s">
        <v>638</v>
      </c>
      <c r="C647" s="308" t="s">
        <v>15</v>
      </c>
      <c r="D647" s="308" t="s">
        <v>16</v>
      </c>
      <c r="F647" s="516">
        <v>0</v>
      </c>
      <c r="G647" s="516">
        <v>0</v>
      </c>
      <c r="H647" s="516">
        <v>0</v>
      </c>
      <c r="I647" s="517"/>
      <c r="J647" s="516">
        <v>0</v>
      </c>
      <c r="K647" s="516">
        <v>0</v>
      </c>
      <c r="L647" s="516">
        <v>0</v>
      </c>
      <c r="M647" s="517"/>
      <c r="N647" s="342">
        <v>0</v>
      </c>
      <c r="O647" s="518">
        <v>0</v>
      </c>
      <c r="P647" s="518">
        <v>0</v>
      </c>
      <c r="Q647" s="519"/>
      <c r="R647" s="516">
        <v>0</v>
      </c>
      <c r="S647" s="516">
        <v>0</v>
      </c>
      <c r="T647" s="516">
        <v>0</v>
      </c>
      <c r="U647" s="517"/>
      <c r="V647" s="342">
        <v>0</v>
      </c>
      <c r="W647" s="518">
        <v>0</v>
      </c>
    </row>
    <row r="648" spans="1:23" x14ac:dyDescent="0.25">
      <c r="A648" s="515">
        <v>643</v>
      </c>
      <c r="B648" t="s">
        <v>639</v>
      </c>
      <c r="C648" s="308" t="s">
        <v>154</v>
      </c>
      <c r="D648" s="308" t="s">
        <v>45</v>
      </c>
      <c r="F648" s="516">
        <v>2</v>
      </c>
      <c r="G648" s="516">
        <v>2550</v>
      </c>
      <c r="H648" s="516">
        <v>30</v>
      </c>
      <c r="I648" s="517"/>
      <c r="J648" s="516">
        <v>0</v>
      </c>
      <c r="K648" s="516">
        <v>0</v>
      </c>
      <c r="L648" s="516">
        <v>0</v>
      </c>
      <c r="M648" s="517"/>
      <c r="N648" s="342">
        <v>2</v>
      </c>
      <c r="O648" s="518">
        <v>2550</v>
      </c>
      <c r="P648" s="518">
        <v>30</v>
      </c>
      <c r="Q648" s="519"/>
      <c r="R648" s="516">
        <v>0</v>
      </c>
      <c r="S648" s="516">
        <v>0</v>
      </c>
      <c r="T648" s="516">
        <v>0</v>
      </c>
      <c r="U648" s="517"/>
      <c r="V648" s="342">
        <v>2</v>
      </c>
      <c r="W648" s="518">
        <v>2550</v>
      </c>
    </row>
    <row r="649" spans="1:23" x14ac:dyDescent="0.25">
      <c r="A649" s="515">
        <v>644</v>
      </c>
      <c r="B649" t="s">
        <v>640</v>
      </c>
      <c r="C649" s="308" t="s">
        <v>136</v>
      </c>
      <c r="D649" s="308" t="s">
        <v>16</v>
      </c>
      <c r="F649" s="516">
        <v>0</v>
      </c>
      <c r="G649" s="516">
        <v>0</v>
      </c>
      <c r="H649" s="516">
        <v>0</v>
      </c>
      <c r="I649" s="517"/>
      <c r="J649" s="516">
        <v>0</v>
      </c>
      <c r="K649" s="516">
        <v>0</v>
      </c>
      <c r="L649" s="516">
        <v>0</v>
      </c>
      <c r="M649" s="517"/>
      <c r="N649" s="342">
        <v>0</v>
      </c>
      <c r="O649" s="518">
        <v>0</v>
      </c>
      <c r="P649" s="518">
        <v>0</v>
      </c>
      <c r="Q649" s="519"/>
      <c r="R649" s="516">
        <v>0</v>
      </c>
      <c r="S649" s="516">
        <v>0</v>
      </c>
      <c r="T649" s="516">
        <v>0</v>
      </c>
      <c r="U649" s="517"/>
      <c r="V649" s="342">
        <v>0</v>
      </c>
      <c r="W649" s="518">
        <v>0</v>
      </c>
    </row>
    <row r="650" spans="1:23" x14ac:dyDescent="0.25">
      <c r="A650" s="515">
        <v>645</v>
      </c>
      <c r="B650" t="s">
        <v>641</v>
      </c>
      <c r="C650" s="308" t="s">
        <v>18</v>
      </c>
      <c r="D650" s="308" t="s">
        <v>16</v>
      </c>
      <c r="F650" s="516">
        <v>9</v>
      </c>
      <c r="G650" s="516">
        <v>160396.9</v>
      </c>
      <c r="H650" s="516">
        <v>500</v>
      </c>
      <c r="I650" s="517"/>
      <c r="J650" s="516">
        <v>0</v>
      </c>
      <c r="K650" s="516">
        <v>0</v>
      </c>
      <c r="L650" s="516">
        <v>0</v>
      </c>
      <c r="M650" s="517"/>
      <c r="N650" s="342">
        <v>9</v>
      </c>
      <c r="O650" s="518">
        <v>160396.9</v>
      </c>
      <c r="P650" s="518">
        <v>500</v>
      </c>
      <c r="Q650" s="519"/>
      <c r="R650" s="516">
        <v>0</v>
      </c>
      <c r="S650" s="516">
        <v>0</v>
      </c>
      <c r="T650" s="516">
        <v>0</v>
      </c>
      <c r="U650" s="517"/>
      <c r="V650" s="342">
        <v>9</v>
      </c>
      <c r="W650" s="518">
        <v>160396.9</v>
      </c>
    </row>
    <row r="651" spans="1:23" x14ac:dyDescent="0.25">
      <c r="A651" s="515">
        <v>646</v>
      </c>
      <c r="B651" t="s">
        <v>643</v>
      </c>
      <c r="C651" s="308" t="s">
        <v>15</v>
      </c>
      <c r="D651" s="308" t="s">
        <v>16</v>
      </c>
      <c r="F651" s="516">
        <v>1</v>
      </c>
      <c r="G651" s="516">
        <v>31933.5</v>
      </c>
      <c r="H651" s="516">
        <v>50</v>
      </c>
      <c r="I651" s="517"/>
      <c r="J651" s="516">
        <v>0</v>
      </c>
      <c r="K651" s="516">
        <v>0</v>
      </c>
      <c r="L651" s="516">
        <v>0</v>
      </c>
      <c r="M651" s="517"/>
      <c r="N651" s="342">
        <v>1</v>
      </c>
      <c r="O651" s="518">
        <v>31933.5</v>
      </c>
      <c r="P651" s="518">
        <v>50</v>
      </c>
      <c r="Q651" s="519"/>
      <c r="R651" s="516">
        <v>0</v>
      </c>
      <c r="S651" s="516">
        <v>0</v>
      </c>
      <c r="T651" s="516">
        <v>0</v>
      </c>
      <c r="U651" s="517"/>
      <c r="V651" s="342">
        <v>1</v>
      </c>
      <c r="W651" s="518">
        <v>31933.5</v>
      </c>
    </row>
    <row r="652" spans="1:23" x14ac:dyDescent="0.25">
      <c r="A652" s="515">
        <v>647</v>
      </c>
      <c r="B652" t="s">
        <v>644</v>
      </c>
      <c r="C652" s="308" t="s">
        <v>15</v>
      </c>
      <c r="D652" s="308" t="s">
        <v>16</v>
      </c>
      <c r="F652" s="516">
        <v>0</v>
      </c>
      <c r="G652" s="516">
        <v>0</v>
      </c>
      <c r="H652" s="516">
        <v>0</v>
      </c>
      <c r="I652" s="517"/>
      <c r="J652" s="516">
        <v>0</v>
      </c>
      <c r="K652" s="516">
        <v>0</v>
      </c>
      <c r="L652" s="516">
        <v>0</v>
      </c>
      <c r="M652" s="517"/>
      <c r="N652" s="342">
        <v>0</v>
      </c>
      <c r="O652" s="518">
        <v>0</v>
      </c>
      <c r="P652" s="518">
        <v>0</v>
      </c>
      <c r="Q652" s="519"/>
      <c r="R652" s="516">
        <v>0</v>
      </c>
      <c r="S652" s="516">
        <v>0</v>
      </c>
      <c r="T652" s="516">
        <v>0</v>
      </c>
      <c r="U652" s="517"/>
      <c r="V652" s="342">
        <v>0</v>
      </c>
      <c r="W652" s="518">
        <v>0</v>
      </c>
    </row>
    <row r="653" spans="1:23" x14ac:dyDescent="0.25">
      <c r="A653" s="515">
        <v>648</v>
      </c>
      <c r="B653" t="s">
        <v>645</v>
      </c>
      <c r="C653" s="308"/>
      <c r="D653" s="308" t="s">
        <v>20</v>
      </c>
      <c r="F653" s="516">
        <v>0</v>
      </c>
      <c r="G653" s="516">
        <v>0</v>
      </c>
      <c r="H653" s="516">
        <v>0</v>
      </c>
      <c r="I653" s="517"/>
      <c r="J653" s="516">
        <v>0</v>
      </c>
      <c r="K653" s="516">
        <v>0</v>
      </c>
      <c r="L653" s="516">
        <v>0</v>
      </c>
      <c r="M653" s="517"/>
      <c r="N653" s="342">
        <v>0</v>
      </c>
      <c r="O653" s="518">
        <v>0</v>
      </c>
      <c r="P653" s="518">
        <v>0</v>
      </c>
      <c r="Q653" s="519"/>
      <c r="R653" s="516">
        <v>0</v>
      </c>
      <c r="S653" s="516">
        <v>0</v>
      </c>
      <c r="T653" s="516">
        <v>0</v>
      </c>
      <c r="U653" s="517"/>
      <c r="V653" s="342">
        <v>0</v>
      </c>
      <c r="W653" s="518">
        <v>0</v>
      </c>
    </row>
    <row r="654" spans="1:23" x14ac:dyDescent="0.25">
      <c r="A654" s="515">
        <v>649</v>
      </c>
      <c r="B654" t="s">
        <v>646</v>
      </c>
      <c r="C654" s="308" t="s">
        <v>18</v>
      </c>
      <c r="D654" s="308" t="s">
        <v>20</v>
      </c>
      <c r="F654" s="516">
        <v>11</v>
      </c>
      <c r="G654" s="516">
        <v>272221.46999999997</v>
      </c>
      <c r="H654" s="516">
        <v>550</v>
      </c>
      <c r="I654" s="517"/>
      <c r="J654" s="516">
        <v>0</v>
      </c>
      <c r="K654" s="516">
        <v>0</v>
      </c>
      <c r="L654" s="516">
        <v>0</v>
      </c>
      <c r="M654" s="517"/>
      <c r="N654" s="342">
        <v>11</v>
      </c>
      <c r="O654" s="518">
        <v>272221.46999999997</v>
      </c>
      <c r="P654" s="518">
        <v>550</v>
      </c>
      <c r="Q654" s="519"/>
      <c r="R654" s="516">
        <v>0</v>
      </c>
      <c r="S654" s="516">
        <v>0</v>
      </c>
      <c r="T654" s="516">
        <v>0</v>
      </c>
      <c r="U654" s="517"/>
      <c r="V654" s="342">
        <v>11</v>
      </c>
      <c r="W654" s="518">
        <v>272221.46999999997</v>
      </c>
    </row>
    <row r="655" spans="1:23" x14ac:dyDescent="0.25">
      <c r="A655" s="515">
        <v>650</v>
      </c>
      <c r="B655" t="s">
        <v>647</v>
      </c>
      <c r="C655" s="308" t="s">
        <v>18</v>
      </c>
      <c r="D655" s="308" t="s">
        <v>20</v>
      </c>
      <c r="F655" s="516">
        <v>11</v>
      </c>
      <c r="G655" s="516">
        <v>159006.6</v>
      </c>
      <c r="H655" s="516">
        <v>550</v>
      </c>
      <c r="I655" s="517"/>
      <c r="J655" s="516">
        <v>0</v>
      </c>
      <c r="K655" s="516">
        <v>0</v>
      </c>
      <c r="L655" s="516">
        <v>0</v>
      </c>
      <c r="M655" s="517"/>
      <c r="N655" s="342">
        <v>11</v>
      </c>
      <c r="O655" s="518">
        <v>159006.6</v>
      </c>
      <c r="P655" s="518">
        <v>550</v>
      </c>
      <c r="Q655" s="519"/>
      <c r="R655" s="516">
        <v>0</v>
      </c>
      <c r="S655" s="516">
        <v>0</v>
      </c>
      <c r="T655" s="516">
        <v>0</v>
      </c>
      <c r="U655" s="517"/>
      <c r="V655" s="342">
        <v>11</v>
      </c>
      <c r="W655" s="518">
        <v>159006.6</v>
      </c>
    </row>
    <row r="656" spans="1:23" x14ac:dyDescent="0.25">
      <c r="A656" s="515">
        <v>651</v>
      </c>
      <c r="B656" t="s">
        <v>2432</v>
      </c>
      <c r="C656" s="308" t="s">
        <v>18</v>
      </c>
      <c r="D656" s="308" t="s">
        <v>16</v>
      </c>
      <c r="F656" s="516">
        <v>0</v>
      </c>
      <c r="G656" s="516">
        <v>0</v>
      </c>
      <c r="H656" s="516">
        <v>0</v>
      </c>
      <c r="I656" s="517"/>
      <c r="J656" s="516">
        <v>0</v>
      </c>
      <c r="K656" s="516">
        <v>0</v>
      </c>
      <c r="L656" s="516">
        <v>0</v>
      </c>
      <c r="M656" s="517"/>
      <c r="N656" s="342">
        <v>0</v>
      </c>
      <c r="O656" s="518">
        <v>0</v>
      </c>
      <c r="P656" s="518">
        <v>0</v>
      </c>
      <c r="Q656" s="519"/>
      <c r="R656" s="516">
        <v>0</v>
      </c>
      <c r="S656" s="516">
        <v>0</v>
      </c>
      <c r="T656" s="516">
        <v>0</v>
      </c>
      <c r="U656" s="517"/>
      <c r="V656" s="342">
        <v>0</v>
      </c>
      <c r="W656" s="518">
        <v>0</v>
      </c>
    </row>
    <row r="657" spans="1:23" x14ac:dyDescent="0.25">
      <c r="A657" s="515">
        <v>652</v>
      </c>
      <c r="B657" t="s">
        <v>648</v>
      </c>
      <c r="C657" s="308" t="s">
        <v>355</v>
      </c>
      <c r="D657" s="308" t="s">
        <v>16</v>
      </c>
      <c r="F657" s="516">
        <v>15</v>
      </c>
      <c r="G657" s="516">
        <v>10233.75</v>
      </c>
      <c r="H657" s="516">
        <v>120</v>
      </c>
      <c r="I657" s="517"/>
      <c r="J657" s="516">
        <v>0</v>
      </c>
      <c r="K657" s="516">
        <v>0</v>
      </c>
      <c r="L657" s="516">
        <v>0</v>
      </c>
      <c r="M657" s="517"/>
      <c r="N657" s="342">
        <v>15</v>
      </c>
      <c r="O657" s="518">
        <v>10233.75</v>
      </c>
      <c r="P657" s="518">
        <v>120</v>
      </c>
      <c r="Q657" s="519"/>
      <c r="R657" s="516">
        <v>0</v>
      </c>
      <c r="S657" s="516">
        <v>0</v>
      </c>
      <c r="T657" s="516">
        <v>0</v>
      </c>
      <c r="U657" s="517"/>
      <c r="V657" s="342">
        <v>15</v>
      </c>
      <c r="W657" s="518">
        <v>10233.75</v>
      </c>
    </row>
    <row r="658" spans="1:23" x14ac:dyDescent="0.25">
      <c r="A658" s="515">
        <v>653</v>
      </c>
      <c r="B658" t="s">
        <v>649</v>
      </c>
      <c r="C658" s="308" t="s">
        <v>24</v>
      </c>
      <c r="D658" s="308" t="s">
        <v>16</v>
      </c>
      <c r="F658" s="516">
        <v>237</v>
      </c>
      <c r="G658" s="516">
        <v>340838.92999999993</v>
      </c>
      <c r="H658" s="516">
        <v>2370</v>
      </c>
      <c r="I658" s="517"/>
      <c r="J658" s="516">
        <v>0</v>
      </c>
      <c r="K658" s="516">
        <v>0</v>
      </c>
      <c r="L658" s="516">
        <v>0</v>
      </c>
      <c r="M658" s="517"/>
      <c r="N658" s="342">
        <v>237</v>
      </c>
      <c r="O658" s="518">
        <v>340838.92999999993</v>
      </c>
      <c r="P658" s="518">
        <v>2370</v>
      </c>
      <c r="Q658" s="519"/>
      <c r="R658" s="516">
        <v>0</v>
      </c>
      <c r="S658" s="516">
        <v>0</v>
      </c>
      <c r="T658" s="516">
        <v>0</v>
      </c>
      <c r="U658" s="517"/>
      <c r="V658" s="342">
        <v>237</v>
      </c>
      <c r="W658" s="518">
        <v>340838.92999999993</v>
      </c>
    </row>
    <row r="659" spans="1:23" x14ac:dyDescent="0.25">
      <c r="A659" s="515">
        <v>654</v>
      </c>
      <c r="B659" t="s">
        <v>650</v>
      </c>
      <c r="C659" s="308" t="s">
        <v>366</v>
      </c>
      <c r="D659" s="308" t="s">
        <v>20</v>
      </c>
      <c r="F659" s="516">
        <v>7</v>
      </c>
      <c r="G659" s="516">
        <v>72135.94</v>
      </c>
      <c r="H659" s="516">
        <v>350</v>
      </c>
      <c r="I659" s="517"/>
      <c r="J659" s="516">
        <v>0</v>
      </c>
      <c r="K659" s="516">
        <v>0</v>
      </c>
      <c r="L659" s="516">
        <v>0</v>
      </c>
      <c r="M659" s="517"/>
      <c r="N659" s="342">
        <v>7</v>
      </c>
      <c r="O659" s="518">
        <v>72135.94</v>
      </c>
      <c r="P659" s="518">
        <v>350</v>
      </c>
      <c r="Q659" s="519"/>
      <c r="R659" s="516">
        <v>0</v>
      </c>
      <c r="S659" s="516">
        <v>0</v>
      </c>
      <c r="T659" s="516">
        <v>0</v>
      </c>
      <c r="U659" s="517"/>
      <c r="V659" s="342">
        <v>7</v>
      </c>
      <c r="W659" s="518">
        <v>72135.94</v>
      </c>
    </row>
    <row r="660" spans="1:23" x14ac:dyDescent="0.25">
      <c r="A660" s="515">
        <v>655</v>
      </c>
      <c r="B660" t="s">
        <v>651</v>
      </c>
      <c r="C660" s="308" t="s">
        <v>15</v>
      </c>
      <c r="D660" s="308" t="s">
        <v>16</v>
      </c>
      <c r="F660" s="516">
        <v>2</v>
      </c>
      <c r="G660" s="516">
        <v>56920</v>
      </c>
      <c r="H660" s="516">
        <v>300</v>
      </c>
      <c r="I660" s="517"/>
      <c r="J660" s="516">
        <v>0</v>
      </c>
      <c r="K660" s="516">
        <v>0</v>
      </c>
      <c r="L660" s="516">
        <v>0</v>
      </c>
      <c r="M660" s="517"/>
      <c r="N660" s="342">
        <v>2</v>
      </c>
      <c r="O660" s="518">
        <v>56920</v>
      </c>
      <c r="P660" s="518">
        <v>300</v>
      </c>
      <c r="Q660" s="519"/>
      <c r="R660" s="516">
        <v>0</v>
      </c>
      <c r="S660" s="516">
        <v>0</v>
      </c>
      <c r="T660" s="516">
        <v>0</v>
      </c>
      <c r="U660" s="517"/>
      <c r="V660" s="342">
        <v>2</v>
      </c>
      <c r="W660" s="518">
        <v>56920</v>
      </c>
    </row>
    <row r="661" spans="1:23" x14ac:dyDescent="0.25">
      <c r="A661" s="515">
        <v>656</v>
      </c>
      <c r="B661" t="s">
        <v>652</v>
      </c>
      <c r="C661" s="308" t="s">
        <v>154</v>
      </c>
      <c r="D661" s="308" t="s">
        <v>16</v>
      </c>
      <c r="F661" s="516">
        <v>0</v>
      </c>
      <c r="G661" s="516">
        <v>0</v>
      </c>
      <c r="H661" s="516">
        <v>0</v>
      </c>
      <c r="I661" s="517"/>
      <c r="J661" s="516">
        <v>0</v>
      </c>
      <c r="K661" s="516">
        <v>0</v>
      </c>
      <c r="L661" s="516">
        <v>0</v>
      </c>
      <c r="M661" s="517"/>
      <c r="N661" s="342">
        <v>0</v>
      </c>
      <c r="O661" s="518">
        <v>0</v>
      </c>
      <c r="P661" s="518">
        <v>0</v>
      </c>
      <c r="Q661" s="519"/>
      <c r="R661" s="516">
        <v>0</v>
      </c>
      <c r="S661" s="516">
        <v>0</v>
      </c>
      <c r="T661" s="516">
        <v>0</v>
      </c>
      <c r="U661" s="517"/>
      <c r="V661" s="342">
        <v>0</v>
      </c>
      <c r="W661" s="518">
        <v>0</v>
      </c>
    </row>
    <row r="662" spans="1:23" x14ac:dyDescent="0.25">
      <c r="A662" s="515">
        <v>657</v>
      </c>
      <c r="B662" t="s">
        <v>653</v>
      </c>
      <c r="C662" s="308" t="s">
        <v>18</v>
      </c>
      <c r="D662" s="308" t="s">
        <v>16</v>
      </c>
      <c r="F662" s="516">
        <v>0</v>
      </c>
      <c r="G662" s="516">
        <v>0</v>
      </c>
      <c r="H662" s="516">
        <v>0</v>
      </c>
      <c r="I662" s="517"/>
      <c r="J662" s="516">
        <v>0</v>
      </c>
      <c r="K662" s="516">
        <v>0</v>
      </c>
      <c r="L662" s="516">
        <v>0</v>
      </c>
      <c r="M662" s="517"/>
      <c r="N662" s="342">
        <v>0</v>
      </c>
      <c r="O662" s="518">
        <v>0</v>
      </c>
      <c r="P662" s="518">
        <v>0</v>
      </c>
      <c r="Q662" s="519"/>
      <c r="R662" s="516">
        <v>0</v>
      </c>
      <c r="S662" s="516">
        <v>0</v>
      </c>
      <c r="T662" s="516">
        <v>0</v>
      </c>
      <c r="U662" s="517"/>
      <c r="V662" s="342">
        <v>0</v>
      </c>
      <c r="W662" s="518">
        <v>0</v>
      </c>
    </row>
    <row r="663" spans="1:23" x14ac:dyDescent="0.25">
      <c r="A663" s="515">
        <v>658</v>
      </c>
      <c r="B663" t="s">
        <v>654</v>
      </c>
      <c r="C663" s="308" t="s">
        <v>25</v>
      </c>
      <c r="D663" s="308" t="s">
        <v>40</v>
      </c>
      <c r="F663" s="516">
        <v>55</v>
      </c>
      <c r="G663" s="516">
        <v>73800</v>
      </c>
      <c r="H663" s="516">
        <v>0</v>
      </c>
      <c r="I663" s="517"/>
      <c r="J663" s="516">
        <v>0</v>
      </c>
      <c r="K663" s="516">
        <v>0</v>
      </c>
      <c r="L663" s="516">
        <v>0</v>
      </c>
      <c r="M663" s="517"/>
      <c r="N663" s="342">
        <v>55</v>
      </c>
      <c r="O663" s="518">
        <v>73800</v>
      </c>
      <c r="P663" s="518">
        <v>0</v>
      </c>
      <c r="Q663" s="519"/>
      <c r="R663" s="516">
        <v>0</v>
      </c>
      <c r="S663" s="516">
        <v>0</v>
      </c>
      <c r="T663" s="516">
        <v>0</v>
      </c>
      <c r="U663" s="517"/>
      <c r="V663" s="342">
        <v>55</v>
      </c>
      <c r="W663" s="518">
        <v>73800</v>
      </c>
    </row>
    <row r="664" spans="1:23" x14ac:dyDescent="0.25">
      <c r="A664" s="515">
        <v>659</v>
      </c>
      <c r="B664" t="s">
        <v>655</v>
      </c>
      <c r="C664" s="308" t="s">
        <v>24</v>
      </c>
      <c r="D664" s="308" t="s">
        <v>20</v>
      </c>
      <c r="F664" s="516">
        <v>3</v>
      </c>
      <c r="G664" s="516">
        <v>1923</v>
      </c>
      <c r="H664" s="516">
        <v>80</v>
      </c>
      <c r="I664" s="517"/>
      <c r="J664" s="516">
        <v>0</v>
      </c>
      <c r="K664" s="516">
        <v>0</v>
      </c>
      <c r="L664" s="516">
        <v>0</v>
      </c>
      <c r="M664" s="517"/>
      <c r="N664" s="342">
        <v>3</v>
      </c>
      <c r="O664" s="518">
        <v>1923</v>
      </c>
      <c r="P664" s="518">
        <v>80</v>
      </c>
      <c r="Q664" s="519"/>
      <c r="R664" s="516">
        <v>0</v>
      </c>
      <c r="S664" s="516">
        <v>0</v>
      </c>
      <c r="T664" s="516">
        <v>0</v>
      </c>
      <c r="U664" s="517"/>
      <c r="V664" s="342">
        <v>3</v>
      </c>
      <c r="W664" s="518">
        <v>1923</v>
      </c>
    </row>
    <row r="665" spans="1:23" x14ac:dyDescent="0.25">
      <c r="A665" s="515">
        <v>660</v>
      </c>
      <c r="B665" t="s">
        <v>656</v>
      </c>
      <c r="C665" s="308" t="s">
        <v>24</v>
      </c>
      <c r="D665" s="308" t="s">
        <v>20</v>
      </c>
      <c r="F665" s="516">
        <v>10</v>
      </c>
      <c r="G665" s="516">
        <v>1100</v>
      </c>
      <c r="H665" s="516">
        <v>50</v>
      </c>
      <c r="I665" s="517"/>
      <c r="J665" s="516">
        <v>0</v>
      </c>
      <c r="K665" s="516">
        <v>0</v>
      </c>
      <c r="L665" s="516">
        <v>0</v>
      </c>
      <c r="M665" s="517"/>
      <c r="N665" s="342">
        <v>10</v>
      </c>
      <c r="O665" s="518">
        <v>1100</v>
      </c>
      <c r="P665" s="518">
        <v>50</v>
      </c>
      <c r="Q665" s="519"/>
      <c r="R665" s="516">
        <v>0</v>
      </c>
      <c r="S665" s="516">
        <v>0</v>
      </c>
      <c r="T665" s="516">
        <v>0</v>
      </c>
      <c r="U665" s="517"/>
      <c r="V665" s="342">
        <v>10</v>
      </c>
      <c r="W665" s="518">
        <v>1100</v>
      </c>
    </row>
    <row r="666" spans="1:23" x14ac:dyDescent="0.25">
      <c r="A666" s="515">
        <v>661</v>
      </c>
      <c r="B666" t="s">
        <v>657</v>
      </c>
      <c r="C666" s="308" t="s">
        <v>15</v>
      </c>
      <c r="D666" s="308" t="s">
        <v>20</v>
      </c>
      <c r="F666" s="516">
        <v>14</v>
      </c>
      <c r="G666" s="516">
        <v>109706</v>
      </c>
      <c r="H666" s="516">
        <v>860</v>
      </c>
      <c r="I666" s="517"/>
      <c r="J666" s="516">
        <v>0</v>
      </c>
      <c r="K666" s="516">
        <v>0</v>
      </c>
      <c r="L666" s="516">
        <v>0</v>
      </c>
      <c r="M666" s="517"/>
      <c r="N666" s="342">
        <v>14</v>
      </c>
      <c r="O666" s="518">
        <v>109706</v>
      </c>
      <c r="P666" s="518">
        <v>860</v>
      </c>
      <c r="Q666" s="519"/>
      <c r="R666" s="516">
        <v>0</v>
      </c>
      <c r="S666" s="516">
        <v>0</v>
      </c>
      <c r="T666" s="516">
        <v>0</v>
      </c>
      <c r="U666" s="517"/>
      <c r="V666" s="342">
        <v>14</v>
      </c>
      <c r="W666" s="518">
        <v>109706</v>
      </c>
    </row>
    <row r="667" spans="1:23" x14ac:dyDescent="0.25">
      <c r="A667" s="515">
        <v>662</v>
      </c>
      <c r="B667" t="s">
        <v>658</v>
      </c>
      <c r="C667" s="308" t="s">
        <v>24</v>
      </c>
      <c r="D667" s="308" t="s">
        <v>659</v>
      </c>
      <c r="F667" s="516">
        <v>1</v>
      </c>
      <c r="G667" s="516">
        <v>100</v>
      </c>
      <c r="H667" s="516">
        <v>5</v>
      </c>
      <c r="I667" s="517"/>
      <c r="J667" s="516">
        <v>0</v>
      </c>
      <c r="K667" s="516">
        <v>0</v>
      </c>
      <c r="L667" s="516">
        <v>0</v>
      </c>
      <c r="M667" s="517"/>
      <c r="N667" s="342">
        <v>1</v>
      </c>
      <c r="O667" s="518">
        <v>100</v>
      </c>
      <c r="P667" s="518">
        <v>5</v>
      </c>
      <c r="Q667" s="519"/>
      <c r="R667" s="516">
        <v>0</v>
      </c>
      <c r="S667" s="516">
        <v>0</v>
      </c>
      <c r="T667" s="516">
        <v>0</v>
      </c>
      <c r="U667" s="517"/>
      <c r="V667" s="342">
        <v>1</v>
      </c>
      <c r="W667" s="518">
        <v>100</v>
      </c>
    </row>
    <row r="668" spans="1:23" x14ac:dyDescent="0.25">
      <c r="A668" s="515">
        <v>663</v>
      </c>
      <c r="B668" t="s">
        <v>660</v>
      </c>
      <c r="C668" s="308" t="s">
        <v>24</v>
      </c>
      <c r="D668" s="308" t="s">
        <v>659</v>
      </c>
      <c r="F668" s="516">
        <v>0</v>
      </c>
      <c r="G668" s="516">
        <v>0</v>
      </c>
      <c r="H668" s="516">
        <v>0</v>
      </c>
      <c r="I668" s="517"/>
      <c r="J668" s="516">
        <v>0</v>
      </c>
      <c r="K668" s="516">
        <v>0</v>
      </c>
      <c r="L668" s="516">
        <v>0</v>
      </c>
      <c r="M668" s="517"/>
      <c r="N668" s="342">
        <v>0</v>
      </c>
      <c r="O668" s="518">
        <v>0</v>
      </c>
      <c r="P668" s="518">
        <v>0</v>
      </c>
      <c r="Q668" s="519"/>
      <c r="R668" s="516">
        <v>0</v>
      </c>
      <c r="S668" s="516">
        <v>0</v>
      </c>
      <c r="T668" s="516">
        <v>0</v>
      </c>
      <c r="U668" s="517"/>
      <c r="V668" s="342">
        <v>0</v>
      </c>
      <c r="W668" s="518">
        <v>0</v>
      </c>
    </row>
    <row r="669" spans="1:23" x14ac:dyDescent="0.25">
      <c r="A669" s="515">
        <v>664</v>
      </c>
      <c r="B669" t="s">
        <v>661</v>
      </c>
      <c r="C669" s="308"/>
      <c r="D669" s="308" t="s">
        <v>40</v>
      </c>
      <c r="F669" s="516">
        <v>3</v>
      </c>
      <c r="G669" s="516">
        <v>9220</v>
      </c>
      <c r="H669" s="516">
        <v>0</v>
      </c>
      <c r="I669" s="517"/>
      <c r="J669" s="516">
        <v>0</v>
      </c>
      <c r="K669" s="516">
        <v>0</v>
      </c>
      <c r="L669" s="516">
        <v>0</v>
      </c>
      <c r="M669" s="517"/>
      <c r="N669" s="342">
        <v>3</v>
      </c>
      <c r="O669" s="518">
        <v>9220</v>
      </c>
      <c r="P669" s="518">
        <v>0</v>
      </c>
      <c r="Q669" s="519"/>
      <c r="R669" s="516">
        <v>0</v>
      </c>
      <c r="S669" s="516">
        <v>0</v>
      </c>
      <c r="T669" s="516">
        <v>0</v>
      </c>
      <c r="U669" s="517"/>
      <c r="V669" s="342">
        <v>3</v>
      </c>
      <c r="W669" s="518">
        <v>9220</v>
      </c>
    </row>
    <row r="670" spans="1:23" x14ac:dyDescent="0.25">
      <c r="A670" s="515">
        <v>665</v>
      </c>
      <c r="B670" t="s">
        <v>662</v>
      </c>
      <c r="C670" s="308"/>
      <c r="D670" s="308" t="s">
        <v>16</v>
      </c>
      <c r="F670" s="516">
        <v>0</v>
      </c>
      <c r="G670" s="516">
        <v>0</v>
      </c>
      <c r="H670" s="516">
        <v>0</v>
      </c>
      <c r="I670" s="517"/>
      <c r="J670" s="516">
        <v>0</v>
      </c>
      <c r="K670" s="516">
        <v>0</v>
      </c>
      <c r="L670" s="516">
        <v>0</v>
      </c>
      <c r="M670" s="517"/>
      <c r="N670" s="342">
        <v>0</v>
      </c>
      <c r="O670" s="518">
        <v>0</v>
      </c>
      <c r="P670" s="518">
        <v>0</v>
      </c>
      <c r="Q670" s="519"/>
      <c r="R670" s="516">
        <v>0</v>
      </c>
      <c r="S670" s="516">
        <v>0</v>
      </c>
      <c r="T670" s="516">
        <v>0</v>
      </c>
      <c r="U670" s="517"/>
      <c r="V670" s="342">
        <v>0</v>
      </c>
      <c r="W670" s="518">
        <v>0</v>
      </c>
    </row>
    <row r="671" spans="1:23" x14ac:dyDescent="0.25">
      <c r="A671" s="515">
        <v>666</v>
      </c>
      <c r="B671" t="s">
        <v>663</v>
      </c>
      <c r="C671" s="308"/>
      <c r="D671" s="308" t="s">
        <v>16</v>
      </c>
      <c r="F671" s="516">
        <v>0</v>
      </c>
      <c r="G671" s="516">
        <v>0</v>
      </c>
      <c r="H671" s="516">
        <v>0</v>
      </c>
      <c r="I671" s="517"/>
      <c r="J671" s="516">
        <v>0</v>
      </c>
      <c r="K671" s="516">
        <v>0</v>
      </c>
      <c r="L671" s="516">
        <v>0</v>
      </c>
      <c r="M671" s="517"/>
      <c r="N671" s="342">
        <v>0</v>
      </c>
      <c r="O671" s="518">
        <v>0</v>
      </c>
      <c r="P671" s="518">
        <v>0</v>
      </c>
      <c r="Q671" s="519"/>
      <c r="R671" s="516">
        <v>0</v>
      </c>
      <c r="S671" s="516">
        <v>0</v>
      </c>
      <c r="T671" s="516">
        <v>0</v>
      </c>
      <c r="U671" s="517"/>
      <c r="V671" s="342">
        <v>0</v>
      </c>
      <c r="W671" s="518">
        <v>0</v>
      </c>
    </row>
    <row r="672" spans="1:23" x14ac:dyDescent="0.25">
      <c r="A672" s="515">
        <v>667</v>
      </c>
      <c r="B672" t="s">
        <v>664</v>
      </c>
      <c r="C672" s="308"/>
      <c r="D672" s="308" t="s">
        <v>16</v>
      </c>
      <c r="F672" s="516">
        <v>0</v>
      </c>
      <c r="G672" s="516">
        <v>0</v>
      </c>
      <c r="H672" s="516">
        <v>0</v>
      </c>
      <c r="I672" s="517"/>
      <c r="J672" s="516">
        <v>0</v>
      </c>
      <c r="K672" s="516">
        <v>0</v>
      </c>
      <c r="L672" s="516">
        <v>0</v>
      </c>
      <c r="M672" s="517"/>
      <c r="N672" s="342">
        <v>0</v>
      </c>
      <c r="O672" s="518">
        <v>0</v>
      </c>
      <c r="P672" s="518">
        <v>0</v>
      </c>
      <c r="Q672" s="519"/>
      <c r="R672" s="516">
        <v>0</v>
      </c>
      <c r="S672" s="516">
        <v>0</v>
      </c>
      <c r="T672" s="516">
        <v>0</v>
      </c>
      <c r="U672" s="517"/>
      <c r="V672" s="342">
        <v>0</v>
      </c>
      <c r="W672" s="518">
        <v>0</v>
      </c>
    </row>
    <row r="673" spans="1:23" x14ac:dyDescent="0.25">
      <c r="A673" s="515">
        <v>668</v>
      </c>
      <c r="B673" t="s">
        <v>665</v>
      </c>
      <c r="C673" s="308"/>
      <c r="D673" s="308" t="s">
        <v>327</v>
      </c>
      <c r="F673" s="516">
        <v>214</v>
      </c>
      <c r="G673" s="516">
        <v>7622892.54</v>
      </c>
      <c r="H673" s="516">
        <v>32100</v>
      </c>
      <c r="I673" s="517"/>
      <c r="J673" s="516">
        <v>0</v>
      </c>
      <c r="K673" s="516">
        <v>0</v>
      </c>
      <c r="L673" s="516">
        <v>0</v>
      </c>
      <c r="M673" s="517"/>
      <c r="N673" s="342">
        <v>214</v>
      </c>
      <c r="O673" s="518">
        <v>7622892.54</v>
      </c>
      <c r="P673" s="518">
        <v>32100</v>
      </c>
      <c r="Q673" s="519"/>
      <c r="R673" s="516">
        <v>0</v>
      </c>
      <c r="S673" s="516">
        <v>0</v>
      </c>
      <c r="T673" s="516">
        <v>0</v>
      </c>
      <c r="U673" s="517"/>
      <c r="V673" s="342">
        <v>214</v>
      </c>
      <c r="W673" s="518">
        <v>7622892.54</v>
      </c>
    </row>
    <row r="674" spans="1:23" x14ac:dyDescent="0.25">
      <c r="A674" s="515">
        <v>669</v>
      </c>
      <c r="B674" t="s">
        <v>666</v>
      </c>
      <c r="C674" s="308"/>
      <c r="D674" s="308" t="s">
        <v>16</v>
      </c>
      <c r="F674" s="516">
        <v>0</v>
      </c>
      <c r="G674" s="516">
        <v>0</v>
      </c>
      <c r="H674" s="516">
        <v>0</v>
      </c>
      <c r="I674" s="517"/>
      <c r="J674" s="516">
        <v>0</v>
      </c>
      <c r="K674" s="516">
        <v>0</v>
      </c>
      <c r="L674" s="516">
        <v>0</v>
      </c>
      <c r="M674" s="517"/>
      <c r="N674" s="342">
        <v>0</v>
      </c>
      <c r="O674" s="518">
        <v>0</v>
      </c>
      <c r="P674" s="518">
        <v>0</v>
      </c>
      <c r="Q674" s="519"/>
      <c r="R674" s="516">
        <v>0</v>
      </c>
      <c r="S674" s="516">
        <v>0</v>
      </c>
      <c r="T674" s="516">
        <v>0</v>
      </c>
      <c r="U674" s="517"/>
      <c r="V674" s="342">
        <v>0</v>
      </c>
      <c r="W674" s="518">
        <v>0</v>
      </c>
    </row>
    <row r="675" spans="1:23" x14ac:dyDescent="0.25">
      <c r="A675" s="515">
        <v>670</v>
      </c>
      <c r="B675" t="s">
        <v>667</v>
      </c>
      <c r="C675" s="308"/>
      <c r="D675" s="308" t="s">
        <v>16</v>
      </c>
      <c r="F675" s="516">
        <v>0</v>
      </c>
      <c r="G675" s="516">
        <v>0</v>
      </c>
      <c r="H675" s="516">
        <v>0</v>
      </c>
      <c r="I675" s="517"/>
      <c r="J675" s="516">
        <v>0</v>
      </c>
      <c r="K675" s="516">
        <v>0</v>
      </c>
      <c r="L675" s="516">
        <v>0</v>
      </c>
      <c r="M675" s="517"/>
      <c r="N675" s="342">
        <v>0</v>
      </c>
      <c r="O675" s="518">
        <v>0</v>
      </c>
      <c r="P675" s="518">
        <v>0</v>
      </c>
      <c r="Q675" s="519"/>
      <c r="R675" s="516">
        <v>0</v>
      </c>
      <c r="S675" s="516">
        <v>0</v>
      </c>
      <c r="T675" s="516">
        <v>0</v>
      </c>
      <c r="U675" s="517"/>
      <c r="V675" s="342">
        <v>0</v>
      </c>
      <c r="W675" s="518">
        <v>0</v>
      </c>
    </row>
    <row r="676" spans="1:23" x14ac:dyDescent="0.25">
      <c r="A676" s="515">
        <v>671</v>
      </c>
      <c r="B676" t="s">
        <v>668</v>
      </c>
      <c r="C676" s="308"/>
      <c r="D676" s="308" t="s">
        <v>16</v>
      </c>
      <c r="F676" s="516">
        <v>2</v>
      </c>
      <c r="G676" s="516">
        <v>140</v>
      </c>
      <c r="H676" s="516">
        <v>14</v>
      </c>
      <c r="I676" s="517"/>
      <c r="J676" s="516">
        <v>0</v>
      </c>
      <c r="K676" s="516">
        <v>0</v>
      </c>
      <c r="L676" s="516">
        <v>0</v>
      </c>
      <c r="M676" s="517"/>
      <c r="N676" s="342">
        <v>2</v>
      </c>
      <c r="O676" s="518">
        <v>140</v>
      </c>
      <c r="P676" s="518">
        <v>14</v>
      </c>
      <c r="Q676" s="519"/>
      <c r="R676" s="516">
        <v>0</v>
      </c>
      <c r="S676" s="516">
        <v>0</v>
      </c>
      <c r="T676" s="516">
        <v>0</v>
      </c>
      <c r="U676" s="517"/>
      <c r="V676" s="342">
        <v>2</v>
      </c>
      <c r="W676" s="518">
        <v>140</v>
      </c>
    </row>
    <row r="677" spans="1:23" x14ac:dyDescent="0.25">
      <c r="A677" s="515">
        <v>672</v>
      </c>
      <c r="B677" t="s">
        <v>669</v>
      </c>
      <c r="C677" s="308"/>
      <c r="D677" s="308" t="s">
        <v>16</v>
      </c>
      <c r="F677" s="516">
        <v>0</v>
      </c>
      <c r="G677" s="516">
        <v>0</v>
      </c>
      <c r="H677" s="516">
        <v>0</v>
      </c>
      <c r="I677" s="517"/>
      <c r="J677" s="516">
        <v>0</v>
      </c>
      <c r="K677" s="516">
        <v>0</v>
      </c>
      <c r="L677" s="516">
        <v>0</v>
      </c>
      <c r="M677" s="517"/>
      <c r="N677" s="342">
        <v>0</v>
      </c>
      <c r="O677" s="518">
        <v>0</v>
      </c>
      <c r="P677" s="518">
        <v>0</v>
      </c>
      <c r="Q677" s="519"/>
      <c r="R677" s="516">
        <v>0</v>
      </c>
      <c r="S677" s="516">
        <v>0</v>
      </c>
      <c r="T677" s="516">
        <v>0</v>
      </c>
      <c r="U677" s="517"/>
      <c r="V677" s="342">
        <v>0</v>
      </c>
      <c r="W677" s="518">
        <v>0</v>
      </c>
    </row>
    <row r="678" spans="1:23" x14ac:dyDescent="0.25">
      <c r="A678" s="515">
        <v>673</v>
      </c>
      <c r="B678" t="s">
        <v>670</v>
      </c>
      <c r="C678" s="308"/>
      <c r="D678" s="308" t="s">
        <v>16</v>
      </c>
      <c r="F678" s="516">
        <v>0</v>
      </c>
      <c r="G678" s="516">
        <v>0</v>
      </c>
      <c r="H678" s="516">
        <v>0</v>
      </c>
      <c r="I678" s="517"/>
      <c r="J678" s="516">
        <v>0</v>
      </c>
      <c r="K678" s="516">
        <v>0</v>
      </c>
      <c r="L678" s="516">
        <v>0</v>
      </c>
      <c r="M678" s="517"/>
      <c r="N678" s="342">
        <v>0</v>
      </c>
      <c r="O678" s="518">
        <v>0</v>
      </c>
      <c r="P678" s="518">
        <v>0</v>
      </c>
      <c r="Q678" s="519"/>
      <c r="R678" s="516">
        <v>0</v>
      </c>
      <c r="S678" s="516">
        <v>0</v>
      </c>
      <c r="T678" s="516">
        <v>0</v>
      </c>
      <c r="U678" s="517"/>
      <c r="V678" s="342">
        <v>0</v>
      </c>
      <c r="W678" s="518">
        <v>0</v>
      </c>
    </row>
    <row r="679" spans="1:23" x14ac:dyDescent="0.25">
      <c r="A679" s="515">
        <v>674</v>
      </c>
      <c r="B679" t="s">
        <v>671</v>
      </c>
      <c r="C679" s="308"/>
      <c r="D679" s="308" t="s">
        <v>16</v>
      </c>
      <c r="F679" s="516">
        <v>0</v>
      </c>
      <c r="G679" s="516">
        <v>0</v>
      </c>
      <c r="H679" s="516">
        <v>0</v>
      </c>
      <c r="I679" s="517"/>
      <c r="J679" s="516">
        <v>0</v>
      </c>
      <c r="K679" s="516">
        <v>0</v>
      </c>
      <c r="L679" s="516">
        <v>0</v>
      </c>
      <c r="M679" s="517"/>
      <c r="N679" s="342">
        <v>0</v>
      </c>
      <c r="O679" s="518">
        <v>0</v>
      </c>
      <c r="P679" s="518">
        <v>0</v>
      </c>
      <c r="Q679" s="519"/>
      <c r="R679" s="516">
        <v>0</v>
      </c>
      <c r="S679" s="516">
        <v>0</v>
      </c>
      <c r="T679" s="516">
        <v>0</v>
      </c>
      <c r="U679" s="517"/>
      <c r="V679" s="342">
        <v>0</v>
      </c>
      <c r="W679" s="518">
        <v>0</v>
      </c>
    </row>
    <row r="680" spans="1:23" x14ac:dyDescent="0.25">
      <c r="A680" s="515">
        <v>675</v>
      </c>
      <c r="B680" t="s">
        <v>672</v>
      </c>
      <c r="C680" s="308"/>
      <c r="D680" s="308" t="s">
        <v>16</v>
      </c>
      <c r="F680" s="516">
        <v>0</v>
      </c>
      <c r="G680" s="516">
        <v>0</v>
      </c>
      <c r="H680" s="516">
        <v>0</v>
      </c>
      <c r="I680" s="517"/>
      <c r="J680" s="516">
        <v>0</v>
      </c>
      <c r="K680" s="516">
        <v>0</v>
      </c>
      <c r="L680" s="516">
        <v>0</v>
      </c>
      <c r="M680" s="517"/>
      <c r="N680" s="342">
        <v>0</v>
      </c>
      <c r="O680" s="518">
        <v>0</v>
      </c>
      <c r="P680" s="518">
        <v>0</v>
      </c>
      <c r="Q680" s="519"/>
      <c r="R680" s="516">
        <v>0</v>
      </c>
      <c r="S680" s="516">
        <v>0</v>
      </c>
      <c r="T680" s="516">
        <v>0</v>
      </c>
      <c r="U680" s="517"/>
      <c r="V680" s="342">
        <v>0</v>
      </c>
      <c r="W680" s="518">
        <v>0</v>
      </c>
    </row>
    <row r="681" spans="1:23" x14ac:dyDescent="0.25">
      <c r="A681" s="515">
        <v>676</v>
      </c>
      <c r="B681" t="s">
        <v>673</v>
      </c>
      <c r="C681" s="308"/>
      <c r="D681" s="308" t="s">
        <v>16</v>
      </c>
      <c r="F681" s="516">
        <v>0</v>
      </c>
      <c r="G681" s="516">
        <v>0</v>
      </c>
      <c r="H681" s="516">
        <v>0</v>
      </c>
      <c r="I681" s="517"/>
      <c r="J681" s="516">
        <v>0</v>
      </c>
      <c r="K681" s="516">
        <v>0</v>
      </c>
      <c r="L681" s="516">
        <v>0</v>
      </c>
      <c r="M681" s="517"/>
      <c r="N681" s="342">
        <v>0</v>
      </c>
      <c r="O681" s="518">
        <v>0</v>
      </c>
      <c r="P681" s="518">
        <v>0</v>
      </c>
      <c r="Q681" s="519"/>
      <c r="R681" s="516">
        <v>0</v>
      </c>
      <c r="S681" s="516">
        <v>0</v>
      </c>
      <c r="T681" s="516">
        <v>0</v>
      </c>
      <c r="U681" s="517"/>
      <c r="V681" s="342">
        <v>0</v>
      </c>
      <c r="W681" s="518">
        <v>0</v>
      </c>
    </row>
    <row r="682" spans="1:23" x14ac:dyDescent="0.25">
      <c r="A682" s="515">
        <v>677</v>
      </c>
      <c r="B682" t="s">
        <v>674</v>
      </c>
      <c r="C682" s="308"/>
      <c r="D682" s="308" t="s">
        <v>16</v>
      </c>
      <c r="F682" s="516">
        <v>0</v>
      </c>
      <c r="G682" s="516">
        <v>0</v>
      </c>
      <c r="H682" s="516">
        <v>0</v>
      </c>
      <c r="I682" s="517"/>
      <c r="J682" s="516">
        <v>0</v>
      </c>
      <c r="K682" s="516">
        <v>0</v>
      </c>
      <c r="L682" s="516">
        <v>0</v>
      </c>
      <c r="M682" s="517"/>
      <c r="N682" s="342">
        <v>0</v>
      </c>
      <c r="O682" s="518">
        <v>0</v>
      </c>
      <c r="P682" s="518">
        <v>0</v>
      </c>
      <c r="Q682" s="519"/>
      <c r="R682" s="516">
        <v>0</v>
      </c>
      <c r="S682" s="516">
        <v>0</v>
      </c>
      <c r="T682" s="516">
        <v>0</v>
      </c>
      <c r="U682" s="517"/>
      <c r="V682" s="342">
        <v>0</v>
      </c>
      <c r="W682" s="518">
        <v>0</v>
      </c>
    </row>
    <row r="683" spans="1:23" x14ac:dyDescent="0.25">
      <c r="A683" s="515">
        <v>678</v>
      </c>
      <c r="B683" t="s">
        <v>675</v>
      </c>
      <c r="C683" s="308"/>
      <c r="D683" s="308" t="s">
        <v>16</v>
      </c>
      <c r="F683" s="516">
        <v>835</v>
      </c>
      <c r="G683" s="516">
        <v>105214814.20999998</v>
      </c>
      <c r="H683" s="516">
        <v>22390</v>
      </c>
      <c r="I683" s="517"/>
      <c r="J683" s="516">
        <v>0</v>
      </c>
      <c r="K683" s="516">
        <v>0</v>
      </c>
      <c r="L683" s="516">
        <v>0</v>
      </c>
      <c r="M683" s="517"/>
      <c r="N683" s="342">
        <v>835</v>
      </c>
      <c r="O683" s="518">
        <v>105214814.20999998</v>
      </c>
      <c r="P683" s="518">
        <v>22390</v>
      </c>
      <c r="Q683" s="519"/>
      <c r="R683" s="516">
        <v>0</v>
      </c>
      <c r="S683" s="516">
        <v>0</v>
      </c>
      <c r="T683" s="516">
        <v>0</v>
      </c>
      <c r="U683" s="517"/>
      <c r="V683" s="342">
        <v>835</v>
      </c>
      <c r="W683" s="518">
        <v>105214814.20999998</v>
      </c>
    </row>
    <row r="684" spans="1:23" x14ac:dyDescent="0.25">
      <c r="A684" s="515">
        <v>679</v>
      </c>
      <c r="B684" t="s">
        <v>676</v>
      </c>
      <c r="D684" s="308" t="s">
        <v>16</v>
      </c>
      <c r="F684" s="516">
        <v>0</v>
      </c>
      <c r="G684" s="516">
        <v>0</v>
      </c>
      <c r="H684" s="516">
        <v>0</v>
      </c>
      <c r="I684" s="517"/>
      <c r="J684" s="516">
        <v>0</v>
      </c>
      <c r="K684" s="516">
        <v>0</v>
      </c>
      <c r="L684" s="516">
        <v>0</v>
      </c>
      <c r="M684" s="517"/>
      <c r="N684" s="342">
        <v>0</v>
      </c>
      <c r="O684" s="518">
        <v>0</v>
      </c>
      <c r="P684" s="518">
        <v>0</v>
      </c>
      <c r="Q684" s="519"/>
      <c r="R684" s="516">
        <v>0</v>
      </c>
      <c r="S684" s="516">
        <v>0</v>
      </c>
      <c r="T684" s="516">
        <v>0</v>
      </c>
      <c r="U684" s="517"/>
      <c r="V684" s="342">
        <v>0</v>
      </c>
      <c r="W684" s="518">
        <v>0</v>
      </c>
    </row>
    <row r="685" spans="1:23" x14ac:dyDescent="0.25">
      <c r="A685" s="515">
        <v>680</v>
      </c>
      <c r="B685" t="s">
        <v>677</v>
      </c>
      <c r="C685" s="308"/>
      <c r="D685" s="308" t="s">
        <v>16</v>
      </c>
      <c r="F685" s="516">
        <v>0</v>
      </c>
      <c r="G685" s="516">
        <v>0</v>
      </c>
      <c r="H685" s="516">
        <v>0</v>
      </c>
      <c r="I685" s="517"/>
      <c r="J685" s="516">
        <v>0</v>
      </c>
      <c r="K685" s="516">
        <v>0</v>
      </c>
      <c r="L685" s="516">
        <v>0</v>
      </c>
      <c r="M685" s="517"/>
      <c r="N685" s="342">
        <v>0</v>
      </c>
      <c r="O685" s="518">
        <v>0</v>
      </c>
      <c r="P685" s="518">
        <v>0</v>
      </c>
      <c r="Q685" s="519"/>
      <c r="R685" s="516">
        <v>0</v>
      </c>
      <c r="S685" s="516">
        <v>0</v>
      </c>
      <c r="T685" s="516">
        <v>0</v>
      </c>
      <c r="U685" s="517"/>
      <c r="V685" s="342">
        <v>0</v>
      </c>
      <c r="W685" s="518">
        <v>0</v>
      </c>
    </row>
    <row r="686" spans="1:23" x14ac:dyDescent="0.25">
      <c r="A686" s="515">
        <v>681</v>
      </c>
      <c r="B686" t="s">
        <v>678</v>
      </c>
      <c r="C686" s="308"/>
      <c r="D686" s="308" t="s">
        <v>16</v>
      </c>
      <c r="F686" s="516">
        <v>0</v>
      </c>
      <c r="G686" s="516">
        <v>0</v>
      </c>
      <c r="H686" s="516">
        <v>0</v>
      </c>
      <c r="I686" s="517"/>
      <c r="J686" s="516">
        <v>0</v>
      </c>
      <c r="K686" s="516">
        <v>0</v>
      </c>
      <c r="L686" s="516">
        <v>0</v>
      </c>
      <c r="M686" s="517"/>
      <c r="N686" s="342">
        <v>0</v>
      </c>
      <c r="O686" s="518">
        <v>0</v>
      </c>
      <c r="P686" s="518">
        <v>0</v>
      </c>
      <c r="Q686" s="519"/>
      <c r="R686" s="516">
        <v>0</v>
      </c>
      <c r="S686" s="516">
        <v>0</v>
      </c>
      <c r="T686" s="516">
        <v>0</v>
      </c>
      <c r="U686" s="517"/>
      <c r="V686" s="342">
        <v>0</v>
      </c>
      <c r="W686" s="518">
        <v>0</v>
      </c>
    </row>
    <row r="687" spans="1:23" x14ac:dyDescent="0.25">
      <c r="A687" s="515">
        <v>682</v>
      </c>
      <c r="B687" t="s">
        <v>679</v>
      </c>
      <c r="C687" s="308"/>
      <c r="D687" s="308" t="s">
        <v>16</v>
      </c>
      <c r="F687" s="516">
        <v>0</v>
      </c>
      <c r="G687" s="516">
        <v>0</v>
      </c>
      <c r="H687" s="516">
        <v>0</v>
      </c>
      <c r="I687" s="517"/>
      <c r="J687" s="516">
        <v>0</v>
      </c>
      <c r="K687" s="516">
        <v>0</v>
      </c>
      <c r="L687" s="516">
        <v>0</v>
      </c>
      <c r="M687" s="517"/>
      <c r="N687" s="342">
        <v>0</v>
      </c>
      <c r="O687" s="518">
        <v>0</v>
      </c>
      <c r="P687" s="518">
        <v>0</v>
      </c>
      <c r="Q687" s="519"/>
      <c r="R687" s="516">
        <v>0</v>
      </c>
      <c r="S687" s="516">
        <v>0</v>
      </c>
      <c r="T687" s="516">
        <v>0</v>
      </c>
      <c r="U687" s="517"/>
      <c r="V687" s="342">
        <v>0</v>
      </c>
      <c r="W687" s="518">
        <v>0</v>
      </c>
    </row>
    <row r="688" spans="1:23" x14ac:dyDescent="0.25">
      <c r="A688" s="515">
        <v>683</v>
      </c>
      <c r="B688" t="s">
        <v>680</v>
      </c>
      <c r="C688" s="308"/>
      <c r="D688" s="308" t="s">
        <v>16</v>
      </c>
      <c r="F688" s="516">
        <v>0</v>
      </c>
      <c r="G688" s="516">
        <v>0</v>
      </c>
      <c r="H688" s="516">
        <v>0</v>
      </c>
      <c r="I688" s="517"/>
      <c r="J688" s="516">
        <v>0</v>
      </c>
      <c r="K688" s="516">
        <v>0</v>
      </c>
      <c r="L688" s="516">
        <v>0</v>
      </c>
      <c r="M688" s="517"/>
      <c r="N688" s="342">
        <v>0</v>
      </c>
      <c r="O688" s="518">
        <v>0</v>
      </c>
      <c r="P688" s="518">
        <v>0</v>
      </c>
      <c r="Q688" s="519"/>
      <c r="R688" s="516">
        <v>0</v>
      </c>
      <c r="S688" s="516">
        <v>0</v>
      </c>
      <c r="T688" s="516">
        <v>0</v>
      </c>
      <c r="U688" s="517"/>
      <c r="V688" s="342">
        <v>0</v>
      </c>
      <c r="W688" s="518">
        <v>0</v>
      </c>
    </row>
    <row r="689" spans="1:23" x14ac:dyDescent="0.25">
      <c r="A689" s="515">
        <v>684</v>
      </c>
      <c r="B689" t="s">
        <v>681</v>
      </c>
      <c r="C689" s="308"/>
      <c r="D689" s="308" t="s">
        <v>16</v>
      </c>
      <c r="F689" s="516">
        <v>0</v>
      </c>
      <c r="G689" s="516">
        <v>0</v>
      </c>
      <c r="H689" s="516">
        <v>0</v>
      </c>
      <c r="I689" s="517"/>
      <c r="J689" s="516">
        <v>0</v>
      </c>
      <c r="K689" s="516">
        <v>0</v>
      </c>
      <c r="L689" s="516">
        <v>0</v>
      </c>
      <c r="M689" s="517"/>
      <c r="N689" s="342">
        <v>0</v>
      </c>
      <c r="O689" s="518">
        <v>0</v>
      </c>
      <c r="P689" s="518">
        <v>0</v>
      </c>
      <c r="Q689" s="519"/>
      <c r="R689" s="516">
        <v>0</v>
      </c>
      <c r="S689" s="516">
        <v>0</v>
      </c>
      <c r="T689" s="516">
        <v>0</v>
      </c>
      <c r="U689" s="517"/>
      <c r="V689" s="342">
        <v>0</v>
      </c>
      <c r="W689" s="518">
        <v>0</v>
      </c>
    </row>
    <row r="690" spans="1:23" x14ac:dyDescent="0.25">
      <c r="A690" s="515">
        <v>685</v>
      </c>
      <c r="B690" t="s">
        <v>682</v>
      </c>
      <c r="C690" s="308"/>
      <c r="D690" s="308" t="s">
        <v>16</v>
      </c>
      <c r="F690" s="516">
        <v>63</v>
      </c>
      <c r="G690" s="516">
        <v>1869406.02</v>
      </c>
      <c r="H690" s="516">
        <v>6300</v>
      </c>
      <c r="I690" s="517"/>
      <c r="J690" s="516">
        <v>0</v>
      </c>
      <c r="K690" s="516">
        <v>0</v>
      </c>
      <c r="L690" s="516">
        <v>0</v>
      </c>
      <c r="M690" s="517"/>
      <c r="N690" s="342">
        <v>63</v>
      </c>
      <c r="O690" s="518">
        <v>1869406.02</v>
      </c>
      <c r="P690" s="518">
        <v>6300</v>
      </c>
      <c r="Q690" s="519"/>
      <c r="R690" s="516">
        <v>0</v>
      </c>
      <c r="S690" s="516">
        <v>0</v>
      </c>
      <c r="T690" s="516">
        <v>0</v>
      </c>
      <c r="U690" s="517"/>
      <c r="V690" s="342">
        <v>63</v>
      </c>
      <c r="W690" s="518">
        <v>1869406.02</v>
      </c>
    </row>
    <row r="691" spans="1:23" x14ac:dyDescent="0.25">
      <c r="A691" s="515">
        <v>686</v>
      </c>
      <c r="B691" t="s">
        <v>683</v>
      </c>
      <c r="C691" s="308"/>
      <c r="D691" s="308" t="s">
        <v>16</v>
      </c>
      <c r="F691" s="516">
        <v>0</v>
      </c>
      <c r="G691" s="516">
        <v>0</v>
      </c>
      <c r="H691" s="516">
        <v>0</v>
      </c>
      <c r="I691" s="517"/>
      <c r="J691" s="516">
        <v>0</v>
      </c>
      <c r="K691" s="516">
        <v>0</v>
      </c>
      <c r="L691" s="516">
        <v>0</v>
      </c>
      <c r="M691" s="517"/>
      <c r="N691" s="342">
        <v>0</v>
      </c>
      <c r="O691" s="518">
        <v>0</v>
      </c>
      <c r="P691" s="518">
        <v>0</v>
      </c>
      <c r="Q691" s="519"/>
      <c r="R691" s="516">
        <v>0</v>
      </c>
      <c r="S691" s="516">
        <v>0</v>
      </c>
      <c r="T691" s="516">
        <v>0</v>
      </c>
      <c r="U691" s="517"/>
      <c r="V691" s="342">
        <v>0</v>
      </c>
      <c r="W691" s="518">
        <v>0</v>
      </c>
    </row>
    <row r="692" spans="1:23" x14ac:dyDescent="0.25">
      <c r="A692" s="515">
        <v>687</v>
      </c>
      <c r="B692" t="s">
        <v>684</v>
      </c>
      <c r="C692" s="308"/>
      <c r="D692" s="308" t="s">
        <v>16</v>
      </c>
      <c r="F692" s="516">
        <v>1</v>
      </c>
      <c r="G692" s="516">
        <v>189474.8</v>
      </c>
      <c r="H692" s="516">
        <v>50</v>
      </c>
      <c r="I692" s="517"/>
      <c r="J692" s="516">
        <v>0</v>
      </c>
      <c r="K692" s="516">
        <v>0</v>
      </c>
      <c r="L692" s="516">
        <v>0</v>
      </c>
      <c r="M692" s="517"/>
      <c r="N692" s="342">
        <v>1</v>
      </c>
      <c r="O692" s="518">
        <v>189474.8</v>
      </c>
      <c r="P692" s="518">
        <v>50</v>
      </c>
      <c r="Q692" s="519"/>
      <c r="R692" s="516">
        <v>0</v>
      </c>
      <c r="S692" s="516">
        <v>0</v>
      </c>
      <c r="T692" s="516">
        <v>0</v>
      </c>
      <c r="U692" s="517"/>
      <c r="V692" s="342">
        <v>1</v>
      </c>
      <c r="W692" s="518">
        <v>189474.8</v>
      </c>
    </row>
    <row r="693" spans="1:23" x14ac:dyDescent="0.25">
      <c r="A693" s="515">
        <v>688</v>
      </c>
      <c r="B693" t="s">
        <v>685</v>
      </c>
      <c r="C693" s="308"/>
      <c r="D693" s="308" t="s">
        <v>16</v>
      </c>
      <c r="F693" s="516">
        <v>6</v>
      </c>
      <c r="G693" s="516">
        <v>76887</v>
      </c>
      <c r="H693" s="516">
        <v>0</v>
      </c>
      <c r="I693" s="517"/>
      <c r="J693" s="516">
        <v>0</v>
      </c>
      <c r="K693" s="516">
        <v>0</v>
      </c>
      <c r="L693" s="516">
        <v>0</v>
      </c>
      <c r="M693" s="517"/>
      <c r="N693" s="342">
        <v>6</v>
      </c>
      <c r="O693" s="518">
        <v>76887</v>
      </c>
      <c r="P693" s="518">
        <v>0</v>
      </c>
      <c r="Q693" s="519"/>
      <c r="R693" s="516">
        <v>0</v>
      </c>
      <c r="S693" s="516">
        <v>0</v>
      </c>
      <c r="T693" s="516">
        <v>0</v>
      </c>
      <c r="U693" s="517"/>
      <c r="V693" s="342">
        <v>6</v>
      </c>
      <c r="W693" s="518">
        <v>76887</v>
      </c>
    </row>
    <row r="694" spans="1:23" x14ac:dyDescent="0.25">
      <c r="A694" s="515">
        <v>689</v>
      </c>
      <c r="B694" t="s">
        <v>686</v>
      </c>
      <c r="C694" s="308"/>
      <c r="D694" s="308" t="s">
        <v>16</v>
      </c>
      <c r="F694" s="516">
        <v>0</v>
      </c>
      <c r="G694" s="516">
        <v>0</v>
      </c>
      <c r="H694" s="516">
        <v>0</v>
      </c>
      <c r="I694" s="517"/>
      <c r="J694" s="516">
        <v>0</v>
      </c>
      <c r="K694" s="516">
        <v>0</v>
      </c>
      <c r="L694" s="516">
        <v>0</v>
      </c>
      <c r="M694" s="517"/>
      <c r="N694" s="342">
        <v>0</v>
      </c>
      <c r="O694" s="518">
        <v>0</v>
      </c>
      <c r="P694" s="518">
        <v>0</v>
      </c>
      <c r="Q694" s="519"/>
      <c r="R694" s="516">
        <v>0</v>
      </c>
      <c r="S694" s="516">
        <v>0</v>
      </c>
      <c r="T694" s="516">
        <v>0</v>
      </c>
      <c r="U694" s="517"/>
      <c r="V694" s="342">
        <v>0</v>
      </c>
      <c r="W694" s="518">
        <v>0</v>
      </c>
    </row>
    <row r="695" spans="1:23" x14ac:dyDescent="0.25">
      <c r="A695" s="515">
        <v>690</v>
      </c>
      <c r="B695" t="s">
        <v>687</v>
      </c>
      <c r="C695" s="308"/>
      <c r="D695" s="308" t="s">
        <v>16</v>
      </c>
      <c r="F695" s="516">
        <v>0</v>
      </c>
      <c r="G695" s="516">
        <v>0</v>
      </c>
      <c r="H695" s="516">
        <v>0</v>
      </c>
      <c r="I695" s="517"/>
      <c r="J695" s="516">
        <v>0</v>
      </c>
      <c r="K695" s="516">
        <v>0</v>
      </c>
      <c r="L695" s="516">
        <v>0</v>
      </c>
      <c r="M695" s="517"/>
      <c r="N695" s="342">
        <v>0</v>
      </c>
      <c r="O695" s="518">
        <v>0</v>
      </c>
      <c r="P695" s="518">
        <v>0</v>
      </c>
      <c r="Q695" s="519"/>
      <c r="R695" s="516">
        <v>0</v>
      </c>
      <c r="S695" s="516">
        <v>0</v>
      </c>
      <c r="T695" s="516">
        <v>0</v>
      </c>
      <c r="U695" s="517"/>
      <c r="V695" s="342">
        <v>0</v>
      </c>
      <c r="W695" s="518">
        <v>0</v>
      </c>
    </row>
    <row r="696" spans="1:23" x14ac:dyDescent="0.25">
      <c r="A696" s="515">
        <v>691</v>
      </c>
      <c r="B696" t="s">
        <v>688</v>
      </c>
      <c r="C696" s="308"/>
      <c r="D696" s="308" t="s">
        <v>16</v>
      </c>
      <c r="F696" s="516">
        <v>951</v>
      </c>
      <c r="G696" s="516">
        <v>15758422.419999994</v>
      </c>
      <c r="H696" s="516">
        <v>38040</v>
      </c>
      <c r="I696" s="517"/>
      <c r="J696" s="516">
        <v>0</v>
      </c>
      <c r="K696" s="516">
        <v>0</v>
      </c>
      <c r="L696" s="516">
        <v>0</v>
      </c>
      <c r="M696" s="517"/>
      <c r="N696" s="342">
        <v>951</v>
      </c>
      <c r="O696" s="518">
        <v>15758422.419999994</v>
      </c>
      <c r="P696" s="518">
        <v>38040</v>
      </c>
      <c r="Q696" s="519"/>
      <c r="R696" s="516">
        <v>0</v>
      </c>
      <c r="S696" s="516">
        <v>0</v>
      </c>
      <c r="T696" s="516">
        <v>0</v>
      </c>
      <c r="U696" s="517"/>
      <c r="V696" s="342">
        <v>951</v>
      </c>
      <c r="W696" s="518">
        <v>15758422.419999994</v>
      </c>
    </row>
    <row r="697" spans="1:23" x14ac:dyDescent="0.25">
      <c r="A697" s="515">
        <v>692</v>
      </c>
      <c r="B697" t="s">
        <v>689</v>
      </c>
      <c r="C697" s="308"/>
      <c r="D697" s="308" t="s">
        <v>16</v>
      </c>
      <c r="F697" s="516">
        <v>0</v>
      </c>
      <c r="G697" s="516">
        <v>0</v>
      </c>
      <c r="H697" s="516">
        <v>0</v>
      </c>
      <c r="I697" s="517"/>
      <c r="J697" s="516">
        <v>0</v>
      </c>
      <c r="K697" s="516">
        <v>0</v>
      </c>
      <c r="L697" s="516">
        <v>0</v>
      </c>
      <c r="M697" s="517"/>
      <c r="N697" s="342">
        <v>0</v>
      </c>
      <c r="O697" s="518">
        <v>0</v>
      </c>
      <c r="P697" s="518">
        <v>0</v>
      </c>
      <c r="Q697" s="519"/>
      <c r="R697" s="516">
        <v>0</v>
      </c>
      <c r="S697" s="516">
        <v>0</v>
      </c>
      <c r="T697" s="516">
        <v>0</v>
      </c>
      <c r="U697" s="517"/>
      <c r="V697" s="342">
        <v>0</v>
      </c>
      <c r="W697" s="518">
        <v>0</v>
      </c>
    </row>
    <row r="698" spans="1:23" x14ac:dyDescent="0.25">
      <c r="A698" s="515">
        <v>693</v>
      </c>
      <c r="B698" t="s">
        <v>690</v>
      </c>
      <c r="C698" s="308"/>
      <c r="D698" s="308" t="s">
        <v>40</v>
      </c>
      <c r="F698" s="516">
        <v>1</v>
      </c>
      <c r="G698" s="516">
        <v>13637.97</v>
      </c>
      <c r="H698" s="516">
        <v>0</v>
      </c>
      <c r="I698" s="517"/>
      <c r="J698" s="516">
        <v>0</v>
      </c>
      <c r="K698" s="516">
        <v>0</v>
      </c>
      <c r="L698" s="516">
        <v>0</v>
      </c>
      <c r="M698" s="517"/>
      <c r="N698" s="342">
        <v>1</v>
      </c>
      <c r="O698" s="518">
        <v>13637.97</v>
      </c>
      <c r="P698" s="518">
        <v>0</v>
      </c>
      <c r="Q698" s="519"/>
      <c r="R698" s="516">
        <v>0</v>
      </c>
      <c r="S698" s="516">
        <v>0</v>
      </c>
      <c r="T698" s="516">
        <v>0</v>
      </c>
      <c r="U698" s="517"/>
      <c r="V698" s="342">
        <v>1</v>
      </c>
      <c r="W698" s="518">
        <v>13637.97</v>
      </c>
    </row>
    <row r="699" spans="1:23" x14ac:dyDescent="0.25">
      <c r="A699" s="515">
        <v>694</v>
      </c>
      <c r="B699" t="s">
        <v>3309</v>
      </c>
      <c r="C699" s="308"/>
      <c r="D699" s="308" t="s">
        <v>16</v>
      </c>
      <c r="F699" s="516">
        <v>0</v>
      </c>
      <c r="G699" s="516">
        <v>0</v>
      </c>
      <c r="H699" s="516">
        <v>0</v>
      </c>
      <c r="I699" s="517"/>
      <c r="J699" s="516">
        <v>0</v>
      </c>
      <c r="K699" s="516">
        <v>0</v>
      </c>
      <c r="L699" s="516">
        <v>0</v>
      </c>
      <c r="M699" s="517"/>
      <c r="N699" s="342">
        <v>0</v>
      </c>
      <c r="O699" s="518">
        <v>0</v>
      </c>
      <c r="P699" s="518">
        <v>0</v>
      </c>
      <c r="Q699" s="519"/>
      <c r="R699" s="516">
        <v>0</v>
      </c>
      <c r="S699" s="516">
        <v>0</v>
      </c>
      <c r="T699" s="516">
        <v>0</v>
      </c>
      <c r="U699" s="517"/>
      <c r="V699" s="342">
        <v>0</v>
      </c>
      <c r="W699" s="518">
        <v>0</v>
      </c>
    </row>
    <row r="700" spans="1:23" x14ac:dyDescent="0.25">
      <c r="A700" s="515"/>
      <c r="B700" t="s">
        <v>691</v>
      </c>
      <c r="C700" s="308"/>
      <c r="D700" s="308"/>
      <c r="F700">
        <f>SUM(F6:F699)</f>
        <v>35858</v>
      </c>
      <c r="G700">
        <f>SUM(G6:G699)</f>
        <v>601331450.16999996</v>
      </c>
      <c r="H700">
        <f>SUM(H6:H699)</f>
        <v>637253.5</v>
      </c>
      <c r="I700"/>
      <c r="J700">
        <f>SUM(J6:J699)</f>
        <v>-2</v>
      </c>
      <c r="K700">
        <f>SUM(K6:K699)</f>
        <v>-7037.27</v>
      </c>
      <c r="L700">
        <f>SUM(L6:L699)</f>
        <v>-20</v>
      </c>
      <c r="M700"/>
      <c r="N700">
        <f>SUM(N6:N699)</f>
        <v>35856</v>
      </c>
      <c r="O700">
        <f>SUM(O6:O699)</f>
        <v>601324412.89999998</v>
      </c>
      <c r="P700">
        <f>SUM(P6:P699)</f>
        <v>637233.5</v>
      </c>
      <c r="Q700"/>
      <c r="R700">
        <f>SUM(R6:R699)</f>
        <v>0</v>
      </c>
      <c r="S700">
        <f>SUM(S6:S699)</f>
        <v>0</v>
      </c>
      <c r="T700">
        <f>SUM(T6:T699)</f>
        <v>0</v>
      </c>
      <c r="U700" s="517"/>
      <c r="V700" s="342">
        <f t="shared" ref="V700:W700" si="0">SUM(V6:V699)</f>
        <v>35856</v>
      </c>
      <c r="W700" s="518">
        <f t="shared" si="0"/>
        <v>601324412.89999998</v>
      </c>
    </row>
    <row r="701" spans="1:23" x14ac:dyDescent="0.25">
      <c r="A701" s="515"/>
      <c r="C701" s="308"/>
      <c r="D701" s="308"/>
      <c r="F701" s="516"/>
      <c r="G701" s="516"/>
      <c r="H701" s="516"/>
      <c r="I701" s="517"/>
      <c r="J701" s="516"/>
      <c r="K701" s="516"/>
      <c r="L701" s="516"/>
      <c r="M701" s="517"/>
      <c r="N701" s="342"/>
      <c r="O701" s="518"/>
      <c r="P701" s="518"/>
      <c r="Q701" s="519"/>
      <c r="R701" s="516"/>
      <c r="S701" s="516"/>
      <c r="T701" s="516"/>
      <c r="U701" s="517"/>
      <c r="V701" s="342"/>
      <c r="W701" s="518"/>
    </row>
    <row r="702" spans="1:23" x14ac:dyDescent="0.25">
      <c r="A702" s="515"/>
      <c r="B702" t="s">
        <v>3310</v>
      </c>
      <c r="C702" s="308"/>
      <c r="D702" s="308"/>
      <c r="F702" s="516"/>
      <c r="G702" s="516"/>
      <c r="H702" s="516"/>
      <c r="I702" s="517"/>
      <c r="J702" s="516"/>
      <c r="K702" s="516"/>
      <c r="L702" s="516"/>
      <c r="M702" s="517"/>
      <c r="N702" s="342"/>
      <c r="O702" s="518"/>
      <c r="P702" s="518"/>
      <c r="Q702" s="519"/>
      <c r="R702" s="516"/>
      <c r="S702" s="516"/>
      <c r="T702" s="516"/>
      <c r="U702" s="517"/>
      <c r="V702" s="342"/>
      <c r="W702" s="518"/>
    </row>
    <row r="703" spans="1:23" x14ac:dyDescent="0.25">
      <c r="A703" s="515"/>
      <c r="B703" t="s">
        <v>3311</v>
      </c>
      <c r="C703" s="308"/>
      <c r="D703" s="308"/>
      <c r="F703" s="516"/>
      <c r="G703" s="516"/>
      <c r="H703" s="516"/>
      <c r="I703" s="517"/>
      <c r="J703" s="516"/>
      <c r="K703" s="516"/>
      <c r="L703" s="516"/>
      <c r="M703" s="517"/>
      <c r="N703" s="342"/>
      <c r="O703" s="518"/>
      <c r="P703" s="518"/>
      <c r="Q703" s="519"/>
      <c r="R703" s="516"/>
      <c r="S703" s="516"/>
      <c r="T703" s="516"/>
      <c r="U703" s="517"/>
      <c r="V703" s="342"/>
      <c r="W703" s="518"/>
    </row>
    <row r="704" spans="1:23" x14ac:dyDescent="0.25">
      <c r="A704" s="515"/>
      <c r="B704" t="s">
        <v>3312</v>
      </c>
      <c r="C704" s="308"/>
      <c r="D704" s="308"/>
      <c r="F704" s="516"/>
      <c r="G704" s="516"/>
      <c r="H704" s="516"/>
      <c r="I704" s="517"/>
      <c r="J704" s="516"/>
      <c r="K704" s="516"/>
      <c r="L704" s="516"/>
      <c r="M704" s="517"/>
      <c r="N704" s="342"/>
      <c r="O704" s="518"/>
      <c r="P704" s="518"/>
      <c r="Q704" s="519"/>
      <c r="R704" s="516"/>
      <c r="S704" s="516"/>
      <c r="T704" s="516"/>
      <c r="U704" s="517"/>
      <c r="V704" s="342"/>
      <c r="W704" s="518"/>
    </row>
    <row r="705" spans="1:23" x14ac:dyDescent="0.25">
      <c r="A705" s="515"/>
      <c r="B705" t="s">
        <v>3313</v>
      </c>
      <c r="C705" s="308"/>
      <c r="D705" s="308"/>
      <c r="F705" s="516"/>
      <c r="G705" s="516"/>
      <c r="H705" s="516"/>
      <c r="I705" s="517"/>
      <c r="J705" s="516"/>
      <c r="K705" s="516"/>
      <c r="L705" s="516"/>
      <c r="M705" s="517"/>
      <c r="N705" s="342"/>
      <c r="O705" s="518"/>
      <c r="P705" s="518"/>
      <c r="Q705" s="519"/>
      <c r="R705" s="516"/>
      <c r="S705" s="516"/>
      <c r="T705" s="516"/>
      <c r="U705" s="517"/>
      <c r="V705" s="342"/>
      <c r="W705" s="518"/>
    </row>
    <row r="706" spans="1:23" x14ac:dyDescent="0.25">
      <c r="A706" s="515"/>
      <c r="C706" s="308"/>
      <c r="D706" s="308"/>
      <c r="F706" s="516"/>
      <c r="G706" s="516"/>
      <c r="H706" s="516"/>
      <c r="I706" s="517"/>
      <c r="J706" s="516"/>
      <c r="K706" s="516"/>
      <c r="L706" s="516"/>
      <c r="M706" s="517"/>
      <c r="N706" s="342"/>
      <c r="O706" s="518"/>
      <c r="P706" s="518"/>
      <c r="Q706" s="519"/>
      <c r="R706" s="516"/>
      <c r="S706" s="516"/>
      <c r="T706" s="516"/>
      <c r="U706" s="517"/>
      <c r="V706" s="342"/>
      <c r="W706" s="518"/>
    </row>
    <row r="707" spans="1:23" x14ac:dyDescent="0.25">
      <c r="A707" s="515"/>
      <c r="C707" s="308"/>
      <c r="D707" s="308"/>
      <c r="F707" s="516"/>
      <c r="G707" s="516"/>
      <c r="H707" s="516"/>
      <c r="I707" s="517"/>
      <c r="J707" s="516"/>
      <c r="K707" s="516"/>
      <c r="L707" s="516"/>
      <c r="M707" s="517"/>
      <c r="N707" s="342"/>
      <c r="O707" s="518"/>
      <c r="P707" s="518"/>
      <c r="Q707" s="519"/>
      <c r="R707" s="516"/>
      <c r="S707" s="516"/>
      <c r="T707" s="516"/>
      <c r="U707" s="517"/>
      <c r="V707" s="342"/>
      <c r="W707" s="518"/>
    </row>
    <row r="708" spans="1:23" x14ac:dyDescent="0.25">
      <c r="A708" s="515"/>
      <c r="C708" s="308"/>
      <c r="D708" s="308"/>
      <c r="F708" s="516"/>
      <c r="G708" s="516"/>
      <c r="H708" s="516"/>
      <c r="I708" s="517"/>
      <c r="J708" s="516"/>
      <c r="K708" s="516"/>
      <c r="L708" s="516"/>
      <c r="M708" s="517"/>
      <c r="N708" s="342"/>
      <c r="O708" s="518"/>
      <c r="P708" s="518"/>
      <c r="Q708" s="519"/>
      <c r="R708" s="516"/>
      <c r="S708" s="516"/>
      <c r="T708" s="516"/>
      <c r="U708" s="517"/>
      <c r="V708" s="342"/>
      <c r="W708" s="518"/>
    </row>
    <row r="709" spans="1:23" x14ac:dyDescent="0.25">
      <c r="A709" s="515"/>
      <c r="C709" s="308"/>
      <c r="D709" s="308"/>
      <c r="F709" s="516"/>
      <c r="G709" s="516"/>
      <c r="H709" s="516"/>
      <c r="I709" s="517"/>
      <c r="J709" s="516"/>
      <c r="K709" s="516"/>
      <c r="L709" s="516"/>
      <c r="M709" s="517"/>
      <c r="N709" s="342"/>
      <c r="O709" s="518"/>
      <c r="P709" s="518"/>
      <c r="Q709" s="519"/>
      <c r="R709" s="516"/>
      <c r="S709" s="516"/>
      <c r="T709" s="516"/>
      <c r="U709" s="517"/>
      <c r="V709" s="342"/>
      <c r="W709" s="518"/>
    </row>
    <row r="710" spans="1:23" x14ac:dyDescent="0.25">
      <c r="A710" s="515"/>
      <c r="C710" s="308"/>
      <c r="D710" s="308"/>
      <c r="F710" s="516"/>
      <c r="G710" s="516"/>
      <c r="H710" s="516"/>
      <c r="I710" s="517"/>
      <c r="J710" s="516"/>
      <c r="K710" s="516"/>
      <c r="L710" s="516"/>
      <c r="M710" s="517"/>
      <c r="N710" s="342"/>
      <c r="O710" s="518"/>
      <c r="P710" s="518"/>
      <c r="Q710" s="519"/>
      <c r="R710" s="516"/>
      <c r="S710" s="516"/>
      <c r="T710" s="516"/>
      <c r="U710" s="517"/>
      <c r="V710" s="342"/>
      <c r="W710" s="518"/>
    </row>
    <row r="711" spans="1:23" x14ac:dyDescent="0.25">
      <c r="A711" s="515"/>
      <c r="C711" s="308"/>
      <c r="D711" s="308"/>
      <c r="F711" s="516"/>
      <c r="G711" s="516"/>
      <c r="H711" s="516"/>
      <c r="I711" s="517"/>
      <c r="J711" s="516"/>
      <c r="K711" s="516"/>
      <c r="L711" s="516"/>
      <c r="M711" s="517"/>
      <c r="N711" s="342"/>
      <c r="O711" s="518"/>
      <c r="P711" s="518"/>
      <c r="Q711" s="519"/>
      <c r="R711" s="516"/>
      <c r="S711" s="516"/>
      <c r="T711" s="516"/>
      <c r="U711" s="517"/>
      <c r="V711" s="342"/>
      <c r="W711" s="518"/>
    </row>
    <row r="712" spans="1:23" x14ac:dyDescent="0.25">
      <c r="A712" s="515"/>
      <c r="C712" s="308"/>
      <c r="D712" s="308"/>
      <c r="F712" s="516"/>
      <c r="G712" s="516"/>
      <c r="H712" s="516"/>
      <c r="I712" s="517"/>
      <c r="J712" s="516"/>
      <c r="K712" s="516"/>
      <c r="L712" s="516"/>
      <c r="M712" s="517"/>
      <c r="N712" s="342"/>
      <c r="O712" s="518"/>
      <c r="P712" s="518"/>
      <c r="Q712" s="519"/>
      <c r="R712" s="516"/>
      <c r="S712" s="516"/>
      <c r="T712" s="516"/>
      <c r="U712" s="517"/>
      <c r="V712" s="342"/>
      <c r="W712" s="518"/>
    </row>
    <row r="713" spans="1:23" x14ac:dyDescent="0.25">
      <c r="A713" s="515"/>
      <c r="C713" s="308"/>
      <c r="D713" s="308"/>
      <c r="F713" s="516"/>
      <c r="G713" s="516"/>
      <c r="H713" s="516"/>
      <c r="I713" s="517"/>
      <c r="J713" s="516"/>
      <c r="K713" s="516"/>
      <c r="L713" s="516"/>
      <c r="M713" s="517"/>
      <c r="N713" s="342"/>
      <c r="O713" s="518"/>
      <c r="P713" s="518"/>
      <c r="Q713" s="519"/>
      <c r="R713" s="516"/>
      <c r="S713" s="516"/>
      <c r="T713" s="516"/>
      <c r="U713" s="517"/>
      <c r="V713" s="342"/>
      <c r="W713" s="518"/>
    </row>
    <row r="714" spans="1:23" x14ac:dyDescent="0.25">
      <c r="A714" s="515"/>
      <c r="C714" s="308"/>
      <c r="D714" s="308"/>
      <c r="F714" s="516"/>
      <c r="G714" s="516"/>
      <c r="H714" s="516"/>
      <c r="I714" s="517"/>
      <c r="J714" s="516"/>
      <c r="K714" s="516"/>
      <c r="L714" s="516"/>
      <c r="M714" s="517"/>
      <c r="N714" s="342"/>
      <c r="O714" s="518"/>
      <c r="P714" s="518"/>
      <c r="Q714" s="519"/>
      <c r="R714" s="516"/>
      <c r="S714" s="516"/>
      <c r="T714" s="516"/>
      <c r="U714" s="517"/>
      <c r="V714" s="342"/>
      <c r="W714" s="518"/>
    </row>
    <row r="715" spans="1:23" x14ac:dyDescent="0.25">
      <c r="A715" s="515"/>
      <c r="C715" s="308"/>
      <c r="D715" s="308"/>
      <c r="F715" s="516"/>
      <c r="G715" s="516"/>
      <c r="H715" s="516"/>
      <c r="I715" s="517"/>
      <c r="J715" s="516"/>
      <c r="K715" s="516"/>
      <c r="L715" s="516"/>
      <c r="M715" s="517"/>
      <c r="N715" s="342"/>
      <c r="O715" s="518"/>
      <c r="P715" s="518"/>
      <c r="Q715" s="519"/>
      <c r="R715" s="516"/>
      <c r="S715" s="516"/>
      <c r="T715" s="516"/>
      <c r="U715" s="517"/>
      <c r="V715" s="342"/>
      <c r="W715" s="518"/>
    </row>
    <row r="716" spans="1:23" x14ac:dyDescent="0.25">
      <c r="A716" s="515"/>
      <c r="C716" s="308"/>
      <c r="D716" s="308"/>
      <c r="F716" s="516"/>
      <c r="G716" s="516"/>
      <c r="H716" s="516"/>
      <c r="I716" s="517"/>
      <c r="J716" s="516"/>
      <c r="K716" s="516"/>
      <c r="L716" s="516"/>
      <c r="M716" s="517"/>
      <c r="N716" s="342"/>
      <c r="O716" s="518"/>
      <c r="P716" s="518"/>
      <c r="Q716" s="519"/>
      <c r="R716" s="516"/>
      <c r="S716" s="516"/>
      <c r="T716" s="516"/>
      <c r="U716" s="517"/>
      <c r="V716" s="342"/>
      <c r="W716" s="518"/>
    </row>
    <row r="717" spans="1:23" x14ac:dyDescent="0.25">
      <c r="A717" s="515"/>
      <c r="C717" s="308"/>
      <c r="D717" s="308"/>
      <c r="F717" s="516"/>
      <c r="G717" s="516"/>
      <c r="H717" s="516"/>
      <c r="I717" s="517"/>
      <c r="J717" s="516"/>
      <c r="K717" s="516"/>
      <c r="L717" s="516"/>
      <c r="M717" s="517"/>
      <c r="N717" s="342"/>
      <c r="O717" s="518"/>
      <c r="P717" s="518"/>
      <c r="Q717" s="519"/>
      <c r="R717" s="516"/>
      <c r="S717" s="516"/>
      <c r="T717" s="516"/>
      <c r="U717" s="517"/>
      <c r="V717" s="342"/>
      <c r="W717" s="518"/>
    </row>
    <row r="718" spans="1:23" x14ac:dyDescent="0.25">
      <c r="A718" s="515"/>
      <c r="C718" s="308"/>
      <c r="D718" s="308"/>
      <c r="F718" s="516"/>
      <c r="G718" s="516"/>
      <c r="H718" s="516"/>
      <c r="I718" s="517"/>
      <c r="J718" s="516"/>
      <c r="K718" s="516"/>
      <c r="L718" s="516"/>
      <c r="M718" s="517"/>
      <c r="N718" s="342"/>
      <c r="O718" s="518"/>
      <c r="P718" s="518"/>
      <c r="Q718" s="519"/>
      <c r="R718" s="516"/>
      <c r="S718" s="516"/>
      <c r="T718" s="516"/>
      <c r="U718" s="517"/>
      <c r="V718" s="342"/>
      <c r="W718" s="518"/>
    </row>
    <row r="719" spans="1:23" x14ac:dyDescent="0.25">
      <c r="A719" s="515"/>
      <c r="C719" s="308"/>
      <c r="D719" s="308"/>
      <c r="F719" s="516"/>
      <c r="G719" s="516"/>
      <c r="H719" s="516"/>
      <c r="I719" s="517"/>
      <c r="J719" s="516"/>
      <c r="K719" s="516"/>
      <c r="L719" s="516"/>
      <c r="M719" s="517"/>
      <c r="N719" s="342"/>
      <c r="O719" s="518"/>
      <c r="P719" s="518"/>
      <c r="Q719" s="519"/>
      <c r="R719" s="516"/>
      <c r="S719" s="516"/>
      <c r="T719" s="516"/>
      <c r="U719" s="517"/>
      <c r="V719" s="342"/>
      <c r="W719" s="518"/>
    </row>
    <row r="720" spans="1:23" x14ac:dyDescent="0.25">
      <c r="A720" s="515"/>
      <c r="C720" s="308"/>
      <c r="D720" s="308"/>
      <c r="F720" s="516"/>
      <c r="G720" s="516"/>
      <c r="H720" s="516"/>
      <c r="I720" s="517"/>
      <c r="J720" s="516"/>
      <c r="K720" s="516"/>
      <c r="L720" s="516"/>
      <c r="M720" s="517"/>
      <c r="N720" s="342"/>
      <c r="O720" s="518"/>
      <c r="P720" s="518"/>
      <c r="Q720" s="519"/>
      <c r="R720" s="516"/>
      <c r="S720" s="516"/>
      <c r="T720" s="516"/>
      <c r="U720" s="517"/>
      <c r="V720" s="342"/>
      <c r="W720" s="518"/>
    </row>
    <row r="721" spans="1:23" x14ac:dyDescent="0.25">
      <c r="A721" s="515"/>
      <c r="C721" s="308"/>
      <c r="D721" s="308"/>
      <c r="F721" s="516"/>
      <c r="G721" s="516"/>
      <c r="H721" s="516"/>
      <c r="I721" s="517"/>
      <c r="J721" s="516"/>
      <c r="K721" s="516"/>
      <c r="L721" s="516"/>
      <c r="M721" s="517"/>
      <c r="N721" s="342"/>
      <c r="O721" s="518"/>
      <c r="P721" s="518"/>
      <c r="Q721" s="519"/>
      <c r="R721" s="516"/>
      <c r="S721" s="516"/>
      <c r="T721" s="516"/>
      <c r="U721" s="517"/>
      <c r="V721" s="342"/>
      <c r="W721" s="518"/>
    </row>
    <row r="722" spans="1:23" x14ac:dyDescent="0.25">
      <c r="A722" s="515"/>
      <c r="C722" s="308"/>
      <c r="D722" s="308"/>
      <c r="F722" s="516"/>
      <c r="G722" s="516"/>
      <c r="H722" s="516"/>
      <c r="I722" s="517"/>
      <c r="J722" s="516"/>
      <c r="K722" s="516"/>
      <c r="L722" s="516"/>
      <c r="M722" s="517"/>
      <c r="N722" s="342"/>
      <c r="O722" s="518"/>
      <c r="P722" s="518"/>
      <c r="Q722" s="519"/>
      <c r="R722" s="516"/>
      <c r="S722" s="516"/>
      <c r="T722" s="516"/>
      <c r="U722" s="517"/>
      <c r="V722" s="342"/>
      <c r="W722" s="518"/>
    </row>
    <row r="723" spans="1:23" x14ac:dyDescent="0.25">
      <c r="A723" s="515"/>
      <c r="C723" s="308"/>
      <c r="D723" s="308"/>
      <c r="F723" s="516"/>
      <c r="G723" s="516"/>
      <c r="H723" s="516"/>
      <c r="I723" s="517"/>
      <c r="J723" s="516"/>
      <c r="K723" s="516"/>
      <c r="L723" s="516"/>
      <c r="M723" s="517"/>
      <c r="N723" s="342"/>
      <c r="O723" s="518"/>
      <c r="P723" s="518"/>
      <c r="Q723" s="519"/>
      <c r="R723" s="516"/>
      <c r="S723" s="516"/>
      <c r="T723" s="516"/>
      <c r="U723" s="517"/>
      <c r="V723" s="342"/>
      <c r="W723" s="518"/>
    </row>
    <row r="724" spans="1:23" x14ac:dyDescent="0.25">
      <c r="A724" s="515"/>
      <c r="C724" s="308"/>
      <c r="D724" s="308"/>
      <c r="F724" s="516"/>
      <c r="G724" s="516"/>
      <c r="H724" s="516"/>
      <c r="I724" s="517"/>
      <c r="J724" s="516"/>
      <c r="K724" s="516"/>
      <c r="L724" s="516"/>
      <c r="M724" s="517"/>
      <c r="N724" s="342"/>
      <c r="O724" s="518"/>
      <c r="P724" s="518"/>
      <c r="Q724" s="519"/>
      <c r="R724" s="516"/>
      <c r="S724" s="516"/>
      <c r="T724" s="516"/>
      <c r="U724" s="517"/>
      <c r="V724" s="342"/>
      <c r="W724" s="518"/>
    </row>
    <row r="725" spans="1:23" x14ac:dyDescent="0.25">
      <c r="A725" s="515"/>
      <c r="C725" s="308"/>
      <c r="D725" s="308"/>
      <c r="F725" s="516"/>
      <c r="G725" s="516"/>
      <c r="H725" s="516"/>
      <c r="I725" s="517"/>
      <c r="J725" s="516"/>
      <c r="K725" s="516"/>
      <c r="L725" s="516"/>
      <c r="M725" s="517"/>
      <c r="N725" s="342"/>
      <c r="O725" s="518"/>
      <c r="P725" s="518"/>
      <c r="Q725" s="519"/>
      <c r="R725" s="516"/>
      <c r="S725" s="516"/>
      <c r="T725" s="516"/>
      <c r="U725" s="517"/>
      <c r="V725" s="342"/>
      <c r="W725" s="518"/>
    </row>
    <row r="726" spans="1:23" x14ac:dyDescent="0.25">
      <c r="A726" s="515"/>
      <c r="C726" s="308"/>
      <c r="D726" s="308"/>
      <c r="F726" s="516"/>
      <c r="G726" s="516"/>
      <c r="H726" s="516"/>
      <c r="I726" s="517"/>
      <c r="J726" s="516"/>
      <c r="K726" s="516"/>
      <c r="L726" s="516"/>
      <c r="M726" s="517"/>
      <c r="N726" s="342"/>
      <c r="O726" s="518"/>
      <c r="P726" s="518"/>
      <c r="Q726" s="519"/>
      <c r="R726" s="516"/>
      <c r="S726" s="516"/>
      <c r="T726" s="516"/>
      <c r="U726" s="517"/>
      <c r="V726" s="342"/>
      <c r="W726" s="518"/>
    </row>
    <row r="727" spans="1:23" x14ac:dyDescent="0.25">
      <c r="A727" s="515"/>
      <c r="C727" s="308"/>
      <c r="D727" s="308"/>
      <c r="F727" s="516"/>
      <c r="G727" s="516"/>
      <c r="H727" s="516"/>
      <c r="I727" s="517"/>
      <c r="J727" s="516"/>
      <c r="K727" s="516"/>
      <c r="L727" s="516"/>
      <c r="M727" s="517"/>
      <c r="N727" s="342"/>
      <c r="O727" s="518"/>
      <c r="P727" s="518"/>
      <c r="Q727" s="519"/>
      <c r="R727" s="516"/>
      <c r="S727" s="516"/>
      <c r="T727" s="516"/>
      <c r="U727" s="517"/>
      <c r="V727" s="342"/>
      <c r="W727" s="518"/>
    </row>
    <row r="728" spans="1:23" x14ac:dyDescent="0.25">
      <c r="A728" s="515"/>
      <c r="C728" s="308"/>
      <c r="D728" s="308"/>
      <c r="F728" s="516"/>
      <c r="G728" s="516"/>
      <c r="H728" s="516"/>
      <c r="I728" s="517"/>
      <c r="J728" s="516"/>
      <c r="K728" s="516"/>
      <c r="L728" s="516"/>
      <c r="M728" s="517"/>
      <c r="N728" s="342"/>
      <c r="O728" s="518"/>
      <c r="P728" s="518"/>
      <c r="Q728" s="519"/>
      <c r="R728" s="516"/>
      <c r="S728" s="516"/>
      <c r="T728" s="516"/>
      <c r="U728" s="517"/>
      <c r="V728" s="342"/>
      <c r="W728" s="518"/>
    </row>
    <row r="729" spans="1:23" x14ac:dyDescent="0.25">
      <c r="A729" s="515"/>
      <c r="C729" s="308"/>
      <c r="D729" s="308"/>
      <c r="F729" s="516"/>
      <c r="G729" s="516"/>
      <c r="H729" s="516"/>
      <c r="I729" s="517"/>
      <c r="J729" s="516"/>
      <c r="K729" s="516"/>
      <c r="L729" s="516"/>
      <c r="M729" s="517"/>
      <c r="N729" s="342"/>
      <c r="O729" s="518"/>
      <c r="P729" s="518"/>
      <c r="Q729" s="519"/>
      <c r="R729" s="516"/>
      <c r="S729" s="516"/>
      <c r="T729" s="516"/>
      <c r="U729" s="517"/>
      <c r="V729" s="342"/>
      <c r="W729" s="518"/>
    </row>
    <row r="730" spans="1:23" x14ac:dyDescent="0.25">
      <c r="A730" s="515"/>
      <c r="C730" s="308"/>
      <c r="D730" s="308"/>
      <c r="F730" s="516"/>
      <c r="G730" s="516"/>
      <c r="H730" s="516"/>
      <c r="I730" s="517"/>
      <c r="J730" s="516"/>
      <c r="K730" s="516"/>
      <c r="L730" s="516"/>
      <c r="M730" s="517"/>
      <c r="N730" s="342"/>
      <c r="O730" s="518"/>
      <c r="P730" s="518"/>
      <c r="Q730" s="519"/>
      <c r="R730" s="516"/>
      <c r="S730" s="516"/>
      <c r="T730" s="516"/>
      <c r="U730" s="517"/>
      <c r="V730" s="342"/>
      <c r="W730" s="518"/>
    </row>
    <row r="731" spans="1:23" x14ac:dyDescent="0.25">
      <c r="A731" s="515"/>
      <c r="C731" s="308"/>
      <c r="D731" s="308"/>
      <c r="F731" s="516"/>
      <c r="G731" s="516"/>
      <c r="H731" s="516"/>
      <c r="I731" s="517"/>
      <c r="J731" s="516"/>
      <c r="K731" s="516"/>
      <c r="L731" s="516"/>
      <c r="M731" s="517"/>
      <c r="N731" s="342"/>
      <c r="O731" s="518"/>
      <c r="P731" s="518"/>
      <c r="Q731" s="519"/>
      <c r="R731" s="516"/>
      <c r="S731" s="516"/>
      <c r="T731" s="516"/>
      <c r="U731" s="517"/>
      <c r="V731" s="342"/>
      <c r="W731" s="518"/>
    </row>
    <row r="732" spans="1:23" x14ac:dyDescent="0.25">
      <c r="A732" s="515"/>
      <c r="C732" s="308"/>
      <c r="D732" s="308"/>
      <c r="F732" s="516"/>
      <c r="G732" s="516"/>
      <c r="H732" s="516"/>
      <c r="I732" s="517"/>
      <c r="J732" s="516"/>
      <c r="K732" s="516"/>
      <c r="L732" s="516"/>
      <c r="M732" s="517"/>
      <c r="N732" s="342"/>
      <c r="O732" s="518"/>
      <c r="P732" s="518"/>
      <c r="Q732" s="519"/>
      <c r="R732" s="516"/>
      <c r="S732" s="516"/>
      <c r="T732" s="516"/>
      <c r="U732" s="517"/>
      <c r="V732" s="342"/>
      <c r="W732" s="518"/>
    </row>
    <row r="733" spans="1:23" x14ac:dyDescent="0.25">
      <c r="A733" s="515"/>
      <c r="C733" s="308"/>
      <c r="D733" s="308"/>
      <c r="F733" s="516"/>
      <c r="G733" s="516"/>
      <c r="H733" s="516"/>
      <c r="I733" s="517"/>
      <c r="J733" s="516"/>
      <c r="K733" s="516"/>
      <c r="L733" s="516"/>
      <c r="M733" s="517"/>
      <c r="N733" s="342"/>
      <c r="O733" s="518"/>
      <c r="P733" s="518"/>
      <c r="Q733" s="519"/>
      <c r="R733" s="516"/>
      <c r="S733" s="516"/>
      <c r="T733" s="516"/>
      <c r="U733" s="517"/>
      <c r="V733" s="342"/>
      <c r="W733" s="518"/>
    </row>
    <row r="734" spans="1:23" x14ac:dyDescent="0.25">
      <c r="A734" s="515"/>
      <c r="B734" s="309"/>
      <c r="C734" s="308"/>
      <c r="D734" s="308"/>
      <c r="F734" s="516"/>
      <c r="G734" s="516"/>
      <c r="H734" s="516"/>
      <c r="I734" s="517"/>
      <c r="J734" s="516"/>
      <c r="K734" s="516"/>
      <c r="L734" s="516"/>
      <c r="M734" s="517"/>
      <c r="N734" s="342"/>
      <c r="O734" s="518"/>
      <c r="P734" s="518"/>
      <c r="Q734" s="519"/>
      <c r="R734" s="516"/>
      <c r="S734" s="516"/>
      <c r="T734" s="516"/>
      <c r="U734" s="517"/>
      <c r="V734" s="342"/>
      <c r="W734" s="518"/>
    </row>
    <row r="735" spans="1:23" x14ac:dyDescent="0.25">
      <c r="A735" s="515"/>
      <c r="B735" s="309"/>
      <c r="C735" s="308"/>
      <c r="D735" s="308"/>
      <c r="F735" s="516"/>
      <c r="G735" s="516"/>
      <c r="H735" s="516"/>
      <c r="I735" s="517"/>
      <c r="J735" s="516"/>
      <c r="K735" s="516"/>
      <c r="L735" s="516"/>
      <c r="M735" s="517"/>
      <c r="N735" s="342"/>
      <c r="O735" s="518"/>
      <c r="P735" s="518"/>
      <c r="Q735" s="519"/>
      <c r="R735" s="516"/>
      <c r="S735" s="516"/>
      <c r="T735" s="516"/>
      <c r="U735" s="517"/>
      <c r="V735" s="342"/>
      <c r="W735" s="518"/>
    </row>
    <row r="736" spans="1:23" x14ac:dyDescent="0.25">
      <c r="A736" s="515"/>
      <c r="B736" s="309"/>
      <c r="C736" s="308"/>
      <c r="D736" s="308"/>
      <c r="F736" s="516"/>
      <c r="G736" s="516"/>
      <c r="H736" s="516"/>
      <c r="I736" s="517"/>
      <c r="J736" s="516"/>
      <c r="K736" s="516"/>
      <c r="L736" s="516"/>
      <c r="M736" s="517"/>
      <c r="N736" s="342"/>
      <c r="O736" s="518"/>
      <c r="P736" s="518"/>
      <c r="Q736" s="519"/>
      <c r="R736" s="516"/>
      <c r="S736" s="516"/>
      <c r="T736" s="516"/>
      <c r="U736" s="517"/>
      <c r="V736" s="342"/>
      <c r="W736" s="518"/>
    </row>
    <row r="737" spans="1:23" x14ac:dyDescent="0.25">
      <c r="A737" s="515"/>
      <c r="B737" s="309"/>
      <c r="C737" s="308"/>
      <c r="D737" s="308"/>
      <c r="F737" s="516"/>
      <c r="G737" s="516"/>
      <c r="H737" s="516"/>
      <c r="I737" s="517"/>
      <c r="J737" s="516"/>
      <c r="K737" s="516"/>
      <c r="L737" s="516"/>
      <c r="M737" s="517"/>
      <c r="N737" s="342"/>
      <c r="O737" s="518"/>
      <c r="P737" s="518"/>
      <c r="Q737" s="519"/>
      <c r="R737" s="516"/>
      <c r="S737" s="516"/>
      <c r="T737" s="516"/>
      <c r="U737" s="517"/>
      <c r="V737" s="342"/>
      <c r="W737" s="518"/>
    </row>
    <row r="738" spans="1:23" x14ac:dyDescent="0.25">
      <c r="A738" s="515"/>
      <c r="B738" s="309"/>
      <c r="C738" s="308"/>
      <c r="D738" s="308"/>
      <c r="F738" s="516"/>
      <c r="G738" s="516"/>
      <c r="H738" s="516"/>
      <c r="I738" s="517"/>
      <c r="J738" s="516"/>
      <c r="K738" s="516"/>
      <c r="L738" s="516"/>
      <c r="M738" s="517"/>
      <c r="N738" s="342"/>
      <c r="O738" s="518"/>
      <c r="P738" s="518"/>
      <c r="Q738" s="519"/>
      <c r="R738" s="516"/>
      <c r="S738" s="516"/>
      <c r="T738" s="516"/>
      <c r="U738" s="517"/>
      <c r="V738" s="342"/>
      <c r="W738" s="518"/>
    </row>
    <row r="739" spans="1:23" x14ac:dyDescent="0.25">
      <c r="A739" s="515"/>
      <c r="B739" s="309"/>
      <c r="C739" s="308"/>
      <c r="D739" s="308"/>
      <c r="F739" s="516"/>
      <c r="G739" s="516"/>
      <c r="H739" s="516"/>
      <c r="I739" s="517"/>
      <c r="J739" s="516"/>
      <c r="K739" s="516"/>
      <c r="L739" s="516"/>
      <c r="M739" s="517"/>
      <c r="N739" s="342"/>
      <c r="O739" s="518"/>
      <c r="P739" s="518"/>
      <c r="Q739" s="519"/>
      <c r="R739" s="516"/>
      <c r="S739" s="516"/>
      <c r="T739" s="516"/>
      <c r="U739" s="517"/>
      <c r="V739" s="342"/>
      <c r="W739" s="518"/>
    </row>
    <row r="740" spans="1:23" x14ac:dyDescent="0.25">
      <c r="A740" s="515"/>
      <c r="B740" s="144"/>
      <c r="C740" s="308"/>
      <c r="D740" s="308"/>
      <c r="F740" s="516"/>
      <c r="G740" s="516"/>
      <c r="H740" s="516"/>
      <c r="I740" s="517"/>
      <c r="J740" s="516"/>
      <c r="K740" s="516"/>
      <c r="L740" s="516"/>
      <c r="M740" s="517"/>
      <c r="N740" s="342"/>
      <c r="O740" s="518"/>
      <c r="P740" s="518"/>
      <c r="Q740" s="519"/>
      <c r="R740" s="516"/>
      <c r="S740" s="516"/>
      <c r="T740" s="516"/>
      <c r="U740" s="517"/>
      <c r="V740" s="342"/>
      <c r="W740" s="518"/>
    </row>
    <row r="741" spans="1:23" x14ac:dyDescent="0.25">
      <c r="A741" s="515"/>
      <c r="B741" s="144"/>
      <c r="C741" s="308"/>
      <c r="D741" s="308"/>
      <c r="F741" s="516"/>
      <c r="G741" s="516"/>
      <c r="H741" s="516"/>
      <c r="I741" s="517"/>
      <c r="J741" s="516"/>
      <c r="K741" s="516"/>
      <c r="L741" s="516"/>
      <c r="M741" s="517"/>
      <c r="N741" s="342"/>
      <c r="O741" s="518"/>
      <c r="P741" s="518"/>
      <c r="Q741" s="519"/>
      <c r="R741" s="516"/>
      <c r="S741" s="516"/>
      <c r="T741" s="516"/>
      <c r="U741" s="517"/>
      <c r="V741" s="342"/>
      <c r="W741" s="518"/>
    </row>
    <row r="742" spans="1:23" x14ac:dyDescent="0.25">
      <c r="A742" s="515"/>
      <c r="B742" s="144"/>
      <c r="C742" s="308"/>
      <c r="D742" s="308"/>
      <c r="F742" s="516"/>
      <c r="G742" s="516"/>
      <c r="H742" s="516"/>
      <c r="I742" s="517"/>
      <c r="J742" s="516"/>
      <c r="K742" s="516"/>
      <c r="L742" s="516"/>
      <c r="M742" s="517"/>
      <c r="N742" s="342"/>
      <c r="O742" s="518"/>
      <c r="P742" s="518"/>
      <c r="Q742" s="519"/>
      <c r="R742" s="516"/>
      <c r="S742" s="516"/>
      <c r="T742" s="516"/>
      <c r="U742" s="517"/>
      <c r="V742" s="342"/>
      <c r="W742" s="518"/>
    </row>
    <row r="743" spans="1:23" x14ac:dyDescent="0.25">
      <c r="A743" s="515"/>
      <c r="B743" s="144"/>
      <c r="C743" s="308"/>
      <c r="D743" s="308"/>
      <c r="F743" s="516"/>
      <c r="G743" s="516"/>
      <c r="H743" s="516"/>
      <c r="I743" s="517"/>
      <c r="J743" s="516"/>
      <c r="K743" s="516"/>
      <c r="L743" s="516"/>
      <c r="M743" s="517"/>
      <c r="N743" s="342"/>
      <c r="O743" s="518"/>
      <c r="P743" s="518"/>
      <c r="Q743" s="519"/>
      <c r="R743" s="516"/>
      <c r="S743" s="516"/>
      <c r="T743" s="516"/>
      <c r="U743" s="517"/>
      <c r="V743" s="342"/>
      <c r="W743" s="518"/>
    </row>
    <row r="744" spans="1:23" x14ac:dyDescent="0.25">
      <c r="A744" s="515"/>
      <c r="B744" s="144"/>
      <c r="C744" s="308"/>
      <c r="D744" s="308"/>
      <c r="F744" s="516"/>
      <c r="G744" s="516"/>
      <c r="H744" s="516"/>
      <c r="I744" s="517"/>
      <c r="J744" s="516"/>
      <c r="K744" s="516"/>
      <c r="L744" s="516"/>
      <c r="M744" s="517"/>
      <c r="N744" s="342"/>
      <c r="O744" s="518"/>
      <c r="P744" s="518"/>
      <c r="Q744" s="519"/>
      <c r="R744" s="516"/>
      <c r="S744" s="516"/>
      <c r="T744" s="516"/>
      <c r="U744" s="517"/>
      <c r="V744" s="342"/>
      <c r="W744" s="518"/>
    </row>
    <row r="745" spans="1:23" x14ac:dyDescent="0.25">
      <c r="A745" s="515"/>
      <c r="B745" s="144"/>
      <c r="C745" s="308"/>
      <c r="D745" s="308"/>
      <c r="F745" s="516"/>
      <c r="G745" s="516"/>
      <c r="H745" s="516"/>
      <c r="I745" s="517"/>
      <c r="J745" s="516"/>
      <c r="K745" s="516"/>
      <c r="L745" s="516"/>
      <c r="M745" s="517"/>
      <c r="N745" s="342"/>
      <c r="O745" s="518"/>
      <c r="P745" s="518"/>
      <c r="Q745" s="519"/>
      <c r="R745" s="516"/>
      <c r="S745" s="516"/>
      <c r="T745" s="516"/>
      <c r="U745" s="517"/>
      <c r="V745" s="342"/>
      <c r="W745" s="518"/>
    </row>
    <row r="746" spans="1:23" x14ac:dyDescent="0.25">
      <c r="A746" s="515"/>
      <c r="B746" s="144"/>
      <c r="C746" s="308"/>
      <c r="D746" s="308"/>
      <c r="F746" s="516"/>
      <c r="G746" s="516"/>
      <c r="H746" s="516"/>
      <c r="I746" s="517"/>
      <c r="J746" s="516"/>
      <c r="K746" s="516"/>
      <c r="L746" s="516"/>
      <c r="M746" s="517"/>
      <c r="N746" s="342"/>
      <c r="O746" s="518"/>
      <c r="P746" s="518"/>
      <c r="Q746" s="519"/>
      <c r="R746" s="516"/>
      <c r="S746" s="516"/>
      <c r="T746" s="516"/>
      <c r="U746" s="517"/>
      <c r="V746" s="342"/>
      <c r="W746" s="518"/>
    </row>
    <row r="747" spans="1:23" x14ac:dyDescent="0.25">
      <c r="A747" s="515"/>
      <c r="B747" s="144"/>
      <c r="C747" s="308"/>
      <c r="D747" s="308"/>
      <c r="F747" s="516"/>
      <c r="G747" s="516"/>
      <c r="H747" s="516"/>
      <c r="I747" s="517"/>
      <c r="J747" s="516"/>
      <c r="K747" s="516"/>
      <c r="L747" s="516"/>
      <c r="M747" s="517"/>
      <c r="N747" s="342"/>
      <c r="O747" s="518"/>
      <c r="P747" s="518"/>
      <c r="Q747" s="519"/>
      <c r="R747" s="516"/>
      <c r="S747" s="516"/>
      <c r="T747" s="516"/>
      <c r="U747" s="517"/>
      <c r="V747" s="342"/>
      <c r="W747" s="518"/>
    </row>
    <row r="748" spans="1:23" x14ac:dyDescent="0.25">
      <c r="A748" s="515"/>
      <c r="B748" s="144"/>
      <c r="C748" s="308"/>
      <c r="D748" s="308"/>
      <c r="F748" s="516"/>
      <c r="G748" s="516"/>
      <c r="H748" s="516"/>
      <c r="I748" s="517"/>
      <c r="J748" s="516"/>
      <c r="K748" s="516"/>
      <c r="L748" s="516"/>
      <c r="M748" s="517"/>
      <c r="N748" s="342"/>
      <c r="O748" s="518"/>
      <c r="P748" s="518"/>
      <c r="Q748" s="519"/>
      <c r="R748" s="516"/>
      <c r="S748" s="516"/>
      <c r="T748" s="516"/>
      <c r="U748" s="517"/>
      <c r="V748" s="342"/>
      <c r="W748" s="518"/>
    </row>
    <row r="749" spans="1:23" x14ac:dyDescent="0.25">
      <c r="A749" s="515"/>
      <c r="B749" s="144"/>
      <c r="C749" s="308"/>
      <c r="D749" s="308"/>
      <c r="F749" s="516"/>
      <c r="G749" s="516"/>
      <c r="H749" s="516"/>
      <c r="I749" s="517"/>
      <c r="J749" s="516"/>
      <c r="K749" s="516"/>
      <c r="L749" s="516"/>
      <c r="M749" s="517"/>
      <c r="N749" s="342"/>
      <c r="O749" s="518"/>
      <c r="P749" s="518"/>
      <c r="Q749" s="519"/>
      <c r="R749" s="516"/>
      <c r="S749" s="516"/>
      <c r="T749" s="516"/>
      <c r="U749" s="517"/>
      <c r="V749" s="342"/>
      <c r="W749" s="518"/>
    </row>
    <row r="750" spans="1:23" x14ac:dyDescent="0.25">
      <c r="A750" s="515"/>
      <c r="B750" s="144"/>
      <c r="C750" s="308"/>
      <c r="D750" s="308"/>
      <c r="F750" s="516"/>
      <c r="G750" s="516"/>
      <c r="H750" s="516"/>
      <c r="I750" s="517"/>
      <c r="J750" s="516"/>
      <c r="K750" s="516"/>
      <c r="L750" s="516"/>
      <c r="M750" s="517"/>
      <c r="N750" s="342"/>
      <c r="O750" s="518"/>
      <c r="P750" s="518"/>
      <c r="Q750" s="519"/>
      <c r="R750" s="516"/>
      <c r="S750" s="516"/>
      <c r="T750" s="516"/>
      <c r="U750" s="517"/>
      <c r="V750" s="342"/>
      <c r="W750" s="518"/>
    </row>
    <row r="751" spans="1:23" x14ac:dyDescent="0.25">
      <c r="A751" s="515"/>
      <c r="B751" s="144"/>
      <c r="C751" s="308"/>
      <c r="D751" s="308"/>
      <c r="F751" s="516"/>
      <c r="G751" s="516"/>
      <c r="H751" s="516"/>
      <c r="I751" s="517"/>
      <c r="J751" s="516"/>
      <c r="K751" s="516"/>
      <c r="L751" s="516"/>
      <c r="M751" s="517"/>
      <c r="N751" s="342"/>
      <c r="O751" s="518"/>
      <c r="P751" s="518"/>
      <c r="Q751" s="519"/>
      <c r="R751" s="516"/>
      <c r="S751" s="516"/>
      <c r="T751" s="516"/>
      <c r="U751" s="517"/>
      <c r="V751" s="342"/>
      <c r="W751" s="518"/>
    </row>
    <row r="752" spans="1:23" x14ac:dyDescent="0.25">
      <c r="A752" s="515"/>
      <c r="B752" s="144"/>
      <c r="C752" s="308"/>
      <c r="D752" s="308"/>
      <c r="F752" s="516"/>
      <c r="G752" s="516"/>
      <c r="H752" s="516"/>
      <c r="I752" s="517"/>
      <c r="J752" s="516"/>
      <c r="K752" s="516"/>
      <c r="L752" s="516"/>
      <c r="M752" s="517"/>
      <c r="N752" s="342"/>
      <c r="O752" s="518"/>
      <c r="P752" s="518"/>
      <c r="Q752" s="519"/>
      <c r="R752" s="516"/>
      <c r="S752" s="516"/>
      <c r="T752" s="516"/>
      <c r="U752" s="517"/>
      <c r="V752" s="342"/>
      <c r="W752" s="518"/>
    </row>
    <row r="753" spans="1:23" x14ac:dyDescent="0.25">
      <c r="A753" s="515"/>
      <c r="B753" s="144"/>
      <c r="C753" s="308"/>
      <c r="D753" s="308"/>
      <c r="F753" s="516"/>
      <c r="G753" s="516"/>
      <c r="H753" s="516"/>
      <c r="I753" s="517"/>
      <c r="J753" s="516"/>
      <c r="K753" s="516"/>
      <c r="L753" s="516"/>
      <c r="M753" s="517"/>
      <c r="N753" s="342"/>
      <c r="O753" s="518"/>
      <c r="P753" s="518"/>
      <c r="Q753" s="519"/>
      <c r="R753" s="516"/>
      <c r="S753" s="516"/>
      <c r="T753" s="516"/>
      <c r="U753" s="517"/>
      <c r="V753" s="342"/>
      <c r="W753" s="518"/>
    </row>
    <row r="754" spans="1:23" x14ac:dyDescent="0.25">
      <c r="A754" s="515"/>
      <c r="B754" s="144"/>
      <c r="C754" s="308"/>
      <c r="D754" s="308"/>
      <c r="F754" s="516"/>
      <c r="G754" s="516"/>
      <c r="H754" s="516"/>
      <c r="I754" s="517"/>
      <c r="J754" s="516"/>
      <c r="K754" s="516"/>
      <c r="L754" s="516"/>
      <c r="M754" s="517"/>
      <c r="N754" s="342"/>
      <c r="O754" s="518"/>
      <c r="P754" s="518"/>
      <c r="Q754" s="519"/>
      <c r="R754" s="516"/>
      <c r="S754" s="516"/>
      <c r="T754" s="516"/>
      <c r="U754" s="517"/>
      <c r="V754" s="342"/>
      <c r="W754" s="518"/>
    </row>
    <row r="755" spans="1:23" x14ac:dyDescent="0.25">
      <c r="A755" s="515"/>
      <c r="B755" s="144"/>
      <c r="C755" s="308"/>
      <c r="D755" s="308"/>
      <c r="F755" s="516"/>
      <c r="G755" s="516"/>
      <c r="H755" s="516"/>
      <c r="I755" s="517"/>
      <c r="J755" s="516"/>
      <c r="K755" s="516"/>
      <c r="L755" s="516"/>
      <c r="M755" s="517"/>
      <c r="N755" s="342"/>
      <c r="O755" s="518"/>
      <c r="P755" s="518"/>
      <c r="Q755" s="519"/>
      <c r="R755" s="516"/>
      <c r="S755" s="516"/>
      <c r="T755" s="516"/>
      <c r="U755" s="517"/>
      <c r="V755" s="342"/>
      <c r="W755" s="518"/>
    </row>
    <row r="756" spans="1:23" x14ac:dyDescent="0.25">
      <c r="A756" s="515"/>
      <c r="B756" s="144"/>
      <c r="C756" s="308"/>
      <c r="D756" s="308"/>
      <c r="F756" s="516"/>
      <c r="G756" s="516"/>
      <c r="H756" s="516"/>
      <c r="I756" s="517"/>
      <c r="J756" s="516"/>
      <c r="K756" s="516"/>
      <c r="L756" s="516"/>
      <c r="M756" s="517"/>
      <c r="N756" s="342"/>
      <c r="O756" s="518"/>
      <c r="P756" s="518"/>
      <c r="Q756" s="519"/>
      <c r="R756" s="516"/>
      <c r="S756" s="516"/>
      <c r="T756" s="516"/>
      <c r="U756" s="517"/>
      <c r="V756" s="342"/>
      <c r="W756" s="518"/>
    </row>
    <row r="757" spans="1:23" x14ac:dyDescent="0.25">
      <c r="A757" s="515"/>
      <c r="B757" s="144"/>
      <c r="C757" s="308"/>
      <c r="D757" s="308"/>
      <c r="F757" s="516"/>
      <c r="G757" s="516"/>
      <c r="H757" s="516"/>
      <c r="I757" s="517"/>
      <c r="J757" s="516"/>
      <c r="K757" s="516"/>
      <c r="L757" s="516"/>
      <c r="M757" s="517"/>
      <c r="N757" s="342"/>
      <c r="O757" s="518"/>
      <c r="P757" s="518"/>
      <c r="Q757" s="519"/>
      <c r="R757" s="516"/>
      <c r="S757" s="516"/>
      <c r="T757" s="516"/>
      <c r="U757" s="517"/>
      <c r="V757" s="342"/>
      <c r="W757" s="518"/>
    </row>
    <row r="758" spans="1:23" x14ac:dyDescent="0.25">
      <c r="A758" s="515"/>
      <c r="B758" s="144"/>
      <c r="C758" s="308"/>
      <c r="D758" s="308"/>
      <c r="F758" s="516"/>
      <c r="G758" s="516"/>
      <c r="H758" s="516"/>
      <c r="I758" s="517"/>
      <c r="J758" s="516"/>
      <c r="K758" s="516"/>
      <c r="L758" s="516"/>
      <c r="M758" s="517"/>
      <c r="N758" s="342"/>
      <c r="O758" s="518"/>
      <c r="P758" s="518"/>
      <c r="Q758" s="519"/>
      <c r="R758" s="516"/>
      <c r="S758" s="516"/>
      <c r="T758" s="516"/>
      <c r="U758" s="517"/>
      <c r="V758" s="342"/>
      <c r="W758" s="518"/>
    </row>
    <row r="759" spans="1:23" x14ac:dyDescent="0.25">
      <c r="A759" s="515"/>
      <c r="B759" s="144"/>
      <c r="C759" s="308"/>
      <c r="D759" s="308"/>
      <c r="F759" s="516"/>
      <c r="G759" s="516"/>
      <c r="H759" s="516"/>
      <c r="I759" s="517"/>
      <c r="J759" s="516"/>
      <c r="K759" s="516"/>
      <c r="L759" s="516"/>
      <c r="M759" s="517"/>
      <c r="N759" s="342"/>
      <c r="O759" s="518"/>
      <c r="P759" s="518"/>
      <c r="Q759" s="519"/>
      <c r="R759" s="516"/>
      <c r="S759" s="516"/>
      <c r="T759" s="516"/>
      <c r="U759" s="517"/>
      <c r="V759" s="342"/>
      <c r="W759" s="518"/>
    </row>
    <row r="760" spans="1:23" x14ac:dyDescent="0.25">
      <c r="A760" s="515"/>
      <c r="B760" s="144"/>
      <c r="C760" s="308"/>
      <c r="D760" s="308"/>
      <c r="F760" s="516"/>
      <c r="G760" s="516"/>
      <c r="H760" s="516"/>
      <c r="I760" s="517"/>
      <c r="J760" s="516"/>
      <c r="K760" s="516"/>
      <c r="L760" s="516"/>
      <c r="M760" s="517"/>
      <c r="N760" s="342"/>
      <c r="O760" s="518"/>
      <c r="P760" s="518"/>
      <c r="Q760" s="519"/>
      <c r="R760" s="516"/>
      <c r="S760" s="516"/>
      <c r="T760" s="516"/>
      <c r="U760" s="517"/>
      <c r="V760" s="342"/>
      <c r="W760" s="518"/>
    </row>
    <row r="761" spans="1:23" x14ac:dyDescent="0.25">
      <c r="A761" s="515"/>
      <c r="B761" s="144"/>
      <c r="C761" s="308"/>
      <c r="D761" s="308"/>
      <c r="F761" s="516"/>
      <c r="G761" s="516"/>
      <c r="H761" s="516"/>
      <c r="I761" s="517"/>
      <c r="J761" s="516"/>
      <c r="K761" s="516"/>
      <c r="L761" s="516"/>
      <c r="M761" s="517"/>
      <c r="N761" s="342"/>
      <c r="O761" s="518"/>
      <c r="P761" s="518"/>
      <c r="Q761" s="519"/>
      <c r="R761" s="516"/>
      <c r="S761" s="516"/>
      <c r="T761" s="516"/>
      <c r="U761" s="517"/>
      <c r="V761" s="342"/>
      <c r="W761" s="518"/>
    </row>
    <row r="762" spans="1:23" x14ac:dyDescent="0.25">
      <c r="A762" s="515"/>
      <c r="B762" s="144"/>
      <c r="C762" s="308"/>
      <c r="D762" s="308"/>
      <c r="F762" s="516"/>
      <c r="G762" s="516"/>
      <c r="H762" s="516"/>
      <c r="I762" s="517"/>
      <c r="J762" s="516"/>
      <c r="K762" s="516"/>
      <c r="L762" s="516"/>
      <c r="M762" s="517"/>
      <c r="N762" s="342"/>
      <c r="O762" s="518"/>
      <c r="P762" s="518"/>
      <c r="Q762" s="519"/>
      <c r="R762" s="516"/>
      <c r="S762" s="516"/>
      <c r="T762" s="516"/>
      <c r="U762" s="517"/>
      <c r="V762" s="342"/>
      <c r="W762" s="518"/>
    </row>
    <row r="763" spans="1:23" x14ac:dyDescent="0.25">
      <c r="A763" s="515"/>
      <c r="B763" s="144"/>
      <c r="C763" s="308"/>
      <c r="D763" s="308"/>
      <c r="F763" s="516"/>
      <c r="G763" s="516"/>
      <c r="H763" s="516"/>
      <c r="I763" s="517"/>
      <c r="J763" s="516"/>
      <c r="K763" s="516"/>
      <c r="L763" s="516"/>
      <c r="M763" s="517"/>
      <c r="N763" s="342"/>
      <c r="O763" s="518"/>
      <c r="P763" s="518"/>
      <c r="Q763" s="519"/>
      <c r="R763" s="516"/>
      <c r="S763" s="516"/>
      <c r="T763" s="516"/>
      <c r="U763" s="517"/>
      <c r="V763" s="342"/>
      <c r="W763" s="518"/>
    </row>
    <row r="764" spans="1:23" x14ac:dyDescent="0.25">
      <c r="A764" s="515"/>
      <c r="B764" s="144"/>
      <c r="C764" s="308"/>
      <c r="D764" s="308"/>
      <c r="F764" s="516"/>
      <c r="G764" s="516"/>
      <c r="H764" s="516"/>
      <c r="I764" s="517"/>
      <c r="J764" s="516"/>
      <c r="K764" s="516"/>
      <c r="L764" s="516"/>
      <c r="M764" s="517"/>
      <c r="N764" s="342"/>
      <c r="O764" s="518"/>
      <c r="P764" s="518"/>
      <c r="Q764" s="519"/>
      <c r="R764" s="516"/>
      <c r="S764" s="516"/>
      <c r="T764" s="516"/>
      <c r="U764" s="517"/>
      <c r="V764" s="342"/>
      <c r="W764" s="518"/>
    </row>
    <row r="765" spans="1:23" x14ac:dyDescent="0.25">
      <c r="A765" s="515"/>
      <c r="B765" s="144"/>
      <c r="C765" s="308"/>
      <c r="D765" s="308"/>
      <c r="F765" s="516"/>
      <c r="G765" s="516"/>
      <c r="H765" s="516"/>
      <c r="I765" s="517"/>
      <c r="J765" s="516"/>
      <c r="K765" s="516"/>
      <c r="L765" s="516"/>
      <c r="M765" s="517"/>
      <c r="N765" s="342"/>
      <c r="O765" s="518"/>
      <c r="P765" s="518"/>
      <c r="Q765" s="519"/>
      <c r="R765" s="516"/>
      <c r="S765" s="516"/>
      <c r="T765" s="516"/>
      <c r="U765" s="517"/>
      <c r="V765" s="342"/>
      <c r="W765" s="518"/>
    </row>
    <row r="766" spans="1:23" x14ac:dyDescent="0.25">
      <c r="A766" s="515"/>
      <c r="B766" s="144"/>
      <c r="C766" s="308"/>
      <c r="D766" s="308"/>
      <c r="F766" s="516"/>
      <c r="G766" s="516"/>
      <c r="H766" s="516"/>
      <c r="I766" s="517"/>
      <c r="J766" s="516"/>
      <c r="K766" s="516"/>
      <c r="L766" s="516"/>
      <c r="M766" s="517"/>
      <c r="N766" s="342"/>
      <c r="O766" s="518"/>
      <c r="P766" s="518"/>
      <c r="Q766" s="525"/>
      <c r="R766" s="516"/>
      <c r="S766" s="516"/>
      <c r="T766" s="516"/>
      <c r="U766" s="517"/>
      <c r="V766" s="342"/>
      <c r="W766" s="518"/>
    </row>
    <row r="767" spans="1:23" x14ac:dyDescent="0.25">
      <c r="A767" s="515"/>
      <c r="B767" s="144"/>
      <c r="C767" s="308"/>
      <c r="D767" s="308"/>
      <c r="F767" s="516"/>
      <c r="G767" s="516"/>
      <c r="H767" s="516"/>
      <c r="I767" s="517"/>
      <c r="J767" s="516"/>
      <c r="K767" s="516"/>
      <c r="L767" s="516"/>
      <c r="M767" s="517"/>
      <c r="N767" s="342"/>
      <c r="O767" s="518"/>
      <c r="P767" s="518"/>
      <c r="Q767" s="519"/>
      <c r="R767" s="516"/>
      <c r="S767" s="516"/>
      <c r="T767" s="516"/>
      <c r="U767" s="517"/>
      <c r="V767" s="342"/>
      <c r="W767" s="518"/>
    </row>
    <row r="768" spans="1:23" x14ac:dyDescent="0.25">
      <c r="A768" s="515"/>
      <c r="B768" s="144"/>
      <c r="C768" s="308"/>
      <c r="D768" s="308"/>
      <c r="F768" s="516"/>
      <c r="G768" s="516"/>
      <c r="H768" s="516"/>
      <c r="I768" s="517"/>
      <c r="J768" s="516"/>
      <c r="K768" s="516"/>
      <c r="L768" s="516"/>
      <c r="M768" s="517"/>
      <c r="N768" s="342"/>
      <c r="O768" s="518"/>
      <c r="P768" s="518"/>
      <c r="Q768" s="517"/>
      <c r="R768" s="516"/>
      <c r="S768" s="516"/>
      <c r="T768" s="516"/>
      <c r="U768" s="517"/>
      <c r="V768" s="342"/>
      <c r="W768" s="518"/>
    </row>
    <row r="769" spans="1:23" x14ac:dyDescent="0.25">
      <c r="A769" s="515"/>
      <c r="B769" s="144"/>
      <c r="C769" s="308"/>
      <c r="D769" s="308"/>
      <c r="F769" s="516"/>
      <c r="G769" s="516"/>
      <c r="H769" s="516"/>
      <c r="I769" s="517"/>
      <c r="J769" s="516"/>
      <c r="K769" s="516"/>
      <c r="L769" s="516"/>
      <c r="M769" s="517"/>
      <c r="N769" s="342"/>
      <c r="O769" s="345"/>
      <c r="P769" s="345"/>
      <c r="Q769" s="517"/>
      <c r="R769" s="516"/>
      <c r="S769" s="516"/>
      <c r="T769" s="516"/>
      <c r="U769" s="517"/>
      <c r="V769" s="342"/>
      <c r="W769" s="518"/>
    </row>
    <row r="770" spans="1:23" x14ac:dyDescent="0.25">
      <c r="A770" s="515"/>
      <c r="B770" s="144"/>
      <c r="C770" s="308"/>
      <c r="D770" s="308"/>
      <c r="F770" s="516"/>
      <c r="G770" s="516"/>
      <c r="H770" s="516"/>
      <c r="I770" s="526"/>
      <c r="J770" s="516"/>
      <c r="K770" s="516"/>
      <c r="L770" s="516"/>
      <c r="M770" s="526"/>
      <c r="N770" s="527"/>
      <c r="O770" s="528"/>
      <c r="P770" s="528"/>
      <c r="Q770" s="526"/>
      <c r="R770" s="516"/>
      <c r="S770" s="516"/>
      <c r="T770" s="516"/>
      <c r="U770" s="517"/>
      <c r="V770" s="527"/>
      <c r="W770" s="528"/>
    </row>
    <row r="771" spans="1:23" x14ac:dyDescent="0.25">
      <c r="A771" s="308"/>
      <c r="F771" s="529"/>
      <c r="G771" s="530"/>
      <c r="H771" s="530"/>
      <c r="I771" s="529"/>
      <c r="J771" s="529"/>
      <c r="K771" s="530"/>
      <c r="L771" s="530"/>
      <c r="M771" s="529"/>
      <c r="N771" s="529"/>
      <c r="O771" s="530"/>
      <c r="P771" s="530"/>
      <c r="Q771" s="529"/>
      <c r="R771" s="529"/>
      <c r="S771" s="530"/>
      <c r="T771" s="530"/>
      <c r="U771" s="529"/>
      <c r="V771" s="529"/>
      <c r="W771" s="531"/>
    </row>
    <row r="772" spans="1:23" x14ac:dyDescent="0.25">
      <c r="A772" s="308"/>
      <c r="F772" s="346"/>
      <c r="G772" s="347"/>
      <c r="H772" s="347"/>
      <c r="I772" s="348"/>
      <c r="J772" s="346"/>
      <c r="K772" s="347"/>
      <c r="L772" s="347"/>
      <c r="M772" s="348"/>
      <c r="N772" s="346"/>
      <c r="O772" s="347"/>
      <c r="P772" s="347"/>
      <c r="Q772" s="355"/>
      <c r="R772" s="346"/>
      <c r="S772" s="347"/>
      <c r="T772" s="347"/>
      <c r="U772" s="271"/>
      <c r="V772" s="342"/>
      <c r="W772" s="345"/>
    </row>
    <row r="773" spans="1:23" x14ac:dyDescent="0.25">
      <c r="A773" s="308"/>
      <c r="F773" s="346"/>
      <c r="G773" s="347"/>
      <c r="H773" s="347"/>
      <c r="I773" s="348"/>
      <c r="J773" s="346"/>
      <c r="K773" s="347"/>
      <c r="L773" s="347"/>
      <c r="M773" s="348"/>
      <c r="N773" s="346"/>
      <c r="O773" s="347"/>
      <c r="P773" s="347"/>
      <c r="Q773" s="355"/>
      <c r="R773" s="346"/>
      <c r="S773" s="347"/>
      <c r="T773" s="347"/>
      <c r="U773" s="271"/>
      <c r="V773" s="342"/>
      <c r="W773" s="345"/>
    </row>
    <row r="774" spans="1:23" x14ac:dyDescent="0.25">
      <c r="A774" s="308"/>
      <c r="F774" s="346"/>
      <c r="G774" s="347"/>
      <c r="H774" s="347"/>
      <c r="I774" s="348"/>
      <c r="J774" s="346"/>
      <c r="K774" s="347"/>
      <c r="L774" s="347"/>
      <c r="M774" s="348"/>
      <c r="N774" s="346"/>
      <c r="O774" s="347"/>
      <c r="P774" s="347"/>
      <c r="Q774" s="355"/>
      <c r="R774" s="346"/>
      <c r="S774" s="347"/>
      <c r="T774" s="347"/>
      <c r="U774" s="271"/>
      <c r="V774" s="342"/>
      <c r="W774" s="345"/>
    </row>
    <row r="775" spans="1:23" x14ac:dyDescent="0.25">
      <c r="A775" s="308"/>
      <c r="F775" s="346"/>
      <c r="G775" s="347"/>
      <c r="H775" s="347"/>
      <c r="I775" s="348"/>
      <c r="J775" s="346"/>
      <c r="K775" s="347"/>
      <c r="L775" s="347"/>
      <c r="M775" s="348"/>
      <c r="N775" s="346"/>
      <c r="O775" s="347"/>
      <c r="P775" s="347"/>
      <c r="Q775" s="355"/>
      <c r="R775" s="346"/>
      <c r="S775" s="347"/>
      <c r="T775" s="347"/>
      <c r="U775" s="271"/>
      <c r="V775" s="342"/>
      <c r="W775" s="345"/>
    </row>
    <row r="776" spans="1:23" x14ac:dyDescent="0.25">
      <c r="A776" s="308"/>
      <c r="F776" s="346"/>
      <c r="G776" s="347"/>
      <c r="H776" s="347"/>
      <c r="I776" s="348"/>
      <c r="J776" s="346"/>
      <c r="K776" s="347"/>
      <c r="L776" s="347"/>
      <c r="M776" s="348"/>
      <c r="N776" s="346"/>
      <c r="O776" s="347"/>
      <c r="P776" s="347"/>
      <c r="Q776" s="355"/>
      <c r="R776" s="346"/>
      <c r="S776" s="347"/>
      <c r="T776" s="347"/>
      <c r="U776" s="271"/>
      <c r="V776" s="342"/>
      <c r="W776" s="345"/>
    </row>
    <row r="777" spans="1:23" x14ac:dyDescent="0.25">
      <c r="A777" s="308"/>
      <c r="F777" s="346"/>
      <c r="G777" s="347"/>
      <c r="H777" s="347"/>
      <c r="I777" s="348"/>
      <c r="J777" s="346"/>
      <c r="K777" s="347"/>
      <c r="L777" s="347"/>
      <c r="M777" s="348"/>
      <c r="N777" s="346"/>
      <c r="O777" s="347"/>
      <c r="P777" s="347"/>
      <c r="Q777" s="355"/>
      <c r="R777" s="346"/>
      <c r="S777" s="347"/>
      <c r="T777" s="347"/>
      <c r="U777" s="271"/>
      <c r="V777" s="342"/>
      <c r="W777" s="345"/>
    </row>
    <row r="778" spans="1:23" x14ac:dyDescent="0.25">
      <c r="A778" s="308"/>
      <c r="F778" s="346"/>
      <c r="G778" s="347"/>
      <c r="H778" s="347"/>
      <c r="I778" s="348"/>
      <c r="J778" s="346"/>
      <c r="K778" s="347"/>
      <c r="L778" s="347"/>
      <c r="M778" s="348"/>
      <c r="N778" s="346"/>
      <c r="O778" s="347"/>
      <c r="P778" s="347"/>
      <c r="Q778" s="355"/>
      <c r="R778" s="346"/>
      <c r="S778" s="347"/>
      <c r="T778" s="347"/>
      <c r="U778" s="271"/>
      <c r="V778" s="342"/>
      <c r="W778" s="345"/>
    </row>
    <row r="779" spans="1:23" x14ac:dyDescent="0.25">
      <c r="A779" s="308"/>
      <c r="F779" s="346"/>
      <c r="G779" s="347"/>
      <c r="H779" s="347"/>
      <c r="I779" s="348"/>
      <c r="J779" s="346"/>
      <c r="K779" s="347"/>
      <c r="L779" s="347"/>
      <c r="M779" s="348"/>
      <c r="N779" s="346"/>
      <c r="O779" s="347"/>
      <c r="P779" s="347"/>
      <c r="Q779" s="355"/>
      <c r="R779" s="346"/>
      <c r="S779" s="347"/>
      <c r="T779" s="347"/>
      <c r="U779" s="271"/>
      <c r="V779" s="342"/>
      <c r="W779" s="345"/>
    </row>
    <row r="780" spans="1:23" x14ac:dyDescent="0.25">
      <c r="A780" s="308"/>
      <c r="F780" s="346"/>
      <c r="G780" s="347"/>
      <c r="H780" s="347"/>
      <c r="I780" s="348"/>
      <c r="J780" s="346"/>
      <c r="K780" s="347"/>
      <c r="L780" s="347"/>
      <c r="M780" s="348"/>
      <c r="N780" s="346"/>
      <c r="O780" s="347"/>
      <c r="P780" s="347"/>
      <c r="Q780" s="355"/>
      <c r="R780" s="346"/>
      <c r="S780" s="347"/>
      <c r="T780" s="347"/>
      <c r="U780" s="271"/>
      <c r="V780" s="342"/>
      <c r="W780" s="345"/>
    </row>
    <row r="781" spans="1:23" x14ac:dyDescent="0.25">
      <c r="B781" s="68"/>
      <c r="F781" s="349"/>
      <c r="G781" s="350"/>
      <c r="H781" s="350"/>
      <c r="I781" s="351"/>
      <c r="J781" s="349"/>
      <c r="K781" s="350"/>
      <c r="L781" s="350"/>
      <c r="M781" s="351"/>
      <c r="N781" s="349"/>
      <c r="O781" s="350"/>
      <c r="P781" s="350"/>
      <c r="Q781" s="356"/>
      <c r="R781" s="349"/>
      <c r="S781" s="350"/>
      <c r="T781" s="350"/>
      <c r="U781" s="351"/>
      <c r="V781" s="349"/>
      <c r="W781" s="350"/>
    </row>
    <row r="782" spans="1:23" x14ac:dyDescent="0.25">
      <c r="F782" s="270"/>
      <c r="I782" s="271"/>
      <c r="J782" s="270"/>
      <c r="M782" s="271"/>
      <c r="N782" s="270"/>
      <c r="R782" s="270"/>
      <c r="U782" s="271"/>
      <c r="V782" s="270"/>
    </row>
    <row r="783" spans="1:23" x14ac:dyDescent="0.25">
      <c r="F783" s="270"/>
      <c r="I783" s="271"/>
      <c r="J783" s="270"/>
      <c r="M783" s="271"/>
      <c r="N783" s="270"/>
      <c r="R783" s="270"/>
      <c r="U783" s="271"/>
      <c r="V783" s="270"/>
    </row>
    <row r="784" spans="1:23" x14ac:dyDescent="0.25">
      <c r="F784" s="270"/>
      <c r="I784" s="271"/>
      <c r="J784" s="270"/>
      <c r="M784" s="271"/>
      <c r="N784" s="270"/>
      <c r="R784" s="270"/>
      <c r="U784" s="271"/>
      <c r="V784" s="270"/>
    </row>
    <row r="785" spans="6:22" x14ac:dyDescent="0.25">
      <c r="F785" s="270"/>
      <c r="I785" s="271"/>
      <c r="J785" s="270"/>
      <c r="M785" s="271"/>
      <c r="N785" s="270"/>
      <c r="R785" s="270"/>
      <c r="U785" s="271"/>
      <c r="V785" s="270"/>
    </row>
    <row r="786" spans="6:22" x14ac:dyDescent="0.25">
      <c r="F786" s="270"/>
      <c r="I786" s="271"/>
      <c r="J786" s="270"/>
      <c r="M786" s="271"/>
      <c r="N786" s="270"/>
      <c r="R786" s="270"/>
      <c r="U786" s="271"/>
      <c r="V786" s="270"/>
    </row>
    <row r="787" spans="6:22" x14ac:dyDescent="0.25">
      <c r="F787" s="270"/>
      <c r="I787" s="271"/>
      <c r="J787" s="270"/>
      <c r="M787" s="271"/>
      <c r="N787" s="270"/>
      <c r="R787" s="270"/>
      <c r="U787" s="271"/>
      <c r="V787" s="270"/>
    </row>
    <row r="788" spans="6:22" x14ac:dyDescent="0.25">
      <c r="F788" s="270"/>
      <c r="I788" s="271"/>
      <c r="J788" s="270"/>
      <c r="M788" s="271"/>
      <c r="N788" s="270"/>
      <c r="R788" s="270"/>
      <c r="U788" s="271"/>
      <c r="V788" s="270"/>
    </row>
    <row r="789" spans="6:22" x14ac:dyDescent="0.25">
      <c r="F789" s="270"/>
      <c r="I789" s="271"/>
      <c r="J789" s="270"/>
      <c r="M789" s="271"/>
      <c r="N789" s="270"/>
      <c r="R789" s="270"/>
      <c r="U789" s="271"/>
      <c r="V789" s="270"/>
    </row>
    <row r="790" spans="6:22" x14ac:dyDescent="0.25">
      <c r="F790" s="270"/>
      <c r="I790" s="271"/>
      <c r="J790" s="270"/>
      <c r="M790" s="271"/>
      <c r="N790" s="270"/>
      <c r="R790" s="270"/>
      <c r="U790" s="271"/>
      <c r="V790" s="270"/>
    </row>
    <row r="791" spans="6:22" x14ac:dyDescent="0.25">
      <c r="F791" s="270"/>
      <c r="I791" s="271"/>
      <c r="J791" s="270"/>
      <c r="M791" s="271"/>
      <c r="N791" s="270"/>
      <c r="R791" s="270"/>
      <c r="U791" s="271"/>
      <c r="V791" s="270"/>
    </row>
    <row r="792" spans="6:22" x14ac:dyDescent="0.25">
      <c r="F792" s="261"/>
      <c r="I792" s="257"/>
      <c r="J792" s="261"/>
      <c r="M792" s="257"/>
      <c r="N792" s="261"/>
      <c r="R792" s="261"/>
      <c r="U792" s="257"/>
      <c r="V792" s="261"/>
    </row>
  </sheetData>
  <mergeCells count="5">
    <mergeCell ref="F4:H4"/>
    <mergeCell ref="J4:L4"/>
    <mergeCell ref="N4:P4"/>
    <mergeCell ref="R4:T4"/>
    <mergeCell ref="V4:W4"/>
  </mergeCells>
  <conditionalFormatting sqref="D6:E780">
    <cfRule type="containsText" dxfId="215" priority="2" operator="containsText" text="false">
      <formula>NOT(ISERROR(SEARCH("false",D6)))</formula>
    </cfRule>
  </conditionalFormatting>
  <conditionalFormatting sqref="I772:I791 M772:M791 U772:U791">
    <cfRule type="containsText" dxfId="214" priority="3" operator="containsText" text="false">
      <formula>NOT(ISERROR(SEARCH("false",I772)))</formula>
    </cfRule>
  </conditionalFormatting>
  <conditionalFormatting sqref="J6:L699 J701:L770">
    <cfRule type="containsText" dxfId="213" priority="1" operator="containsText" text="*-">
      <formula>NOT(ISERROR(SEARCH("*-",J6)))</formula>
    </cfRule>
  </conditionalFormatting>
  <conditionalFormatting sqref="J772:L780">
    <cfRule type="containsText" dxfId="212" priority="10" operator="containsText" text="*-">
      <formula>NOT(ISERROR(SEARCH("*-",J772)))</formula>
    </cfRule>
    <cfRule type="cellIs" priority="11" operator="greaterThan">
      <formula>FALSE</formula>
    </cfRule>
  </conditionalFormatting>
  <conditionalFormatting sqref="J772:L791">
    <cfRule type="cellIs" dxfId="211" priority="12" operator="lessThan">
      <formula>0</formula>
    </cfRule>
    <cfRule type="cellIs" dxfId="210" priority="13" operator="lessThan">
      <formula>0</formula>
    </cfRule>
  </conditionalFormatting>
  <conditionalFormatting sqref="L772:L780 P772:Q780 T772:T780">
    <cfRule type="containsText" dxfId="209" priority="8" operator="containsText" text="FALSE">
      <formula>NOT(ISERROR(SEARCH("FALSE",L772)))</formula>
    </cfRule>
    <cfRule type="containsErrors" priority="9">
      <formula>ISERROR(L772)</formula>
    </cfRule>
  </conditionalFormatting>
  <conditionalFormatting sqref="N772:T780">
    <cfRule type="cellIs" dxfId="208" priority="4" operator="lessThan">
      <formula>0</formula>
    </cfRule>
    <cfRule type="cellIs" dxfId="207" priority="5" operator="lessThan">
      <formula>0</formula>
    </cfRule>
    <cfRule type="containsText" dxfId="206" priority="6" operator="containsText" text="*-">
      <formula>NOT(ISERROR(SEARCH("*-",N772)))</formula>
    </cfRule>
    <cfRule type="cellIs" priority="7" operator="greaterThan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9AE1-D6C2-471E-AAEA-35852CA6EE7D}">
  <dimension ref="A1:W792"/>
  <sheetViews>
    <sheetView zoomScale="85" zoomScaleNormal="85" workbookViewId="0">
      <selection activeCell="B21" sqref="B21:B700"/>
    </sheetView>
  </sheetViews>
  <sheetFormatPr defaultRowHeight="15" x14ac:dyDescent="0.25"/>
  <cols>
    <col min="1" max="1" width="6.28515625" customWidth="1"/>
    <col min="2" max="2" width="34.140625" customWidth="1"/>
    <col min="3" max="3" width="13.140625" customWidth="1"/>
    <col min="5" max="5" width="0.7109375" style="7" customWidth="1"/>
    <col min="6" max="6" width="10.5703125" style="260" customWidth="1"/>
    <col min="7" max="7" width="16.85546875" style="12" customWidth="1"/>
    <col min="8" max="8" width="13.85546875" style="12" customWidth="1"/>
    <col min="9" max="9" width="0.7109375" style="7" customWidth="1"/>
    <col min="10" max="10" width="9.28515625" style="260" customWidth="1"/>
    <col min="11" max="11" width="12.42578125" style="12" customWidth="1"/>
    <col min="12" max="12" width="9.28515625" style="12" customWidth="1"/>
    <col min="13" max="13" width="0.7109375" style="7" customWidth="1"/>
    <col min="14" max="14" width="11.5703125" style="260" bestFit="1" customWidth="1"/>
    <col min="15" max="15" width="18.85546875" style="12" bestFit="1" customWidth="1"/>
    <col min="16" max="16" width="15" style="12" bestFit="1" customWidth="1"/>
    <col min="17" max="17" width="0.85546875" style="257" customWidth="1"/>
    <col min="18" max="18" width="11.5703125" style="260" customWidth="1"/>
    <col min="19" max="19" width="16.85546875" style="12" customWidth="1"/>
    <col min="20" max="20" width="11.5703125" style="12" customWidth="1"/>
    <col min="21" max="21" width="0.7109375" style="7" customWidth="1"/>
    <col min="22" max="22" width="10.5703125" style="260" customWidth="1"/>
    <col min="23" max="23" width="17.85546875" style="12" customWidth="1"/>
  </cols>
  <sheetData>
    <row r="1" spans="1:23" x14ac:dyDescent="0.25">
      <c r="A1" t="s">
        <v>0</v>
      </c>
    </row>
    <row r="2" spans="1:23" x14ac:dyDescent="0.25">
      <c r="A2" t="s">
        <v>1</v>
      </c>
    </row>
    <row r="3" spans="1:23" x14ac:dyDescent="0.25">
      <c r="A3" t="s">
        <v>3301</v>
      </c>
    </row>
    <row r="4" spans="1:23" ht="15.75" x14ac:dyDescent="0.25">
      <c r="F4" s="549" t="s">
        <v>2</v>
      </c>
      <c r="G4" s="550"/>
      <c r="H4" s="550"/>
      <c r="J4" s="551" t="s">
        <v>3</v>
      </c>
      <c r="K4" s="551"/>
      <c r="L4" s="551"/>
      <c r="N4" s="552" t="s">
        <v>4</v>
      </c>
      <c r="O4" s="552"/>
      <c r="P4" s="552"/>
      <c r="Q4" s="537"/>
      <c r="R4" s="553" t="s">
        <v>5</v>
      </c>
      <c r="S4" s="553"/>
      <c r="T4" s="553"/>
      <c r="V4" s="553" t="s">
        <v>6</v>
      </c>
      <c r="W4" s="553"/>
    </row>
    <row r="5" spans="1:23" x14ac:dyDescent="0.25">
      <c r="A5" t="s">
        <v>7</v>
      </c>
      <c r="B5" t="s">
        <v>8</v>
      </c>
      <c r="C5" t="s">
        <v>9</v>
      </c>
      <c r="D5" t="s">
        <v>3302</v>
      </c>
      <c r="F5" s="538" t="s">
        <v>10</v>
      </c>
      <c r="G5" s="538" t="s">
        <v>11</v>
      </c>
      <c r="H5" s="538" t="s">
        <v>12</v>
      </c>
      <c r="J5" s="539" t="s">
        <v>10</v>
      </c>
      <c r="K5" s="539" t="s">
        <v>11</v>
      </c>
      <c r="L5" s="539" t="s">
        <v>12</v>
      </c>
      <c r="N5" s="539" t="s">
        <v>10</v>
      </c>
      <c r="O5" s="539" t="s">
        <v>11</v>
      </c>
      <c r="P5" s="539" t="s">
        <v>12</v>
      </c>
      <c r="Q5" s="540"/>
      <c r="R5" s="541" t="s">
        <v>10</v>
      </c>
      <c r="S5" s="541" t="s">
        <v>13</v>
      </c>
      <c r="T5" s="541" t="s">
        <v>12</v>
      </c>
      <c r="V5" s="541" t="s">
        <v>10</v>
      </c>
      <c r="W5" s="541" t="s">
        <v>13</v>
      </c>
    </row>
    <row r="6" spans="1:23" x14ac:dyDescent="0.25">
      <c r="A6">
        <v>1</v>
      </c>
      <c r="B6" t="s">
        <v>14</v>
      </c>
      <c r="C6" t="s">
        <v>15</v>
      </c>
      <c r="D6" t="s">
        <v>16</v>
      </c>
      <c r="F6" s="520">
        <v>6</v>
      </c>
      <c r="G6" s="520">
        <v>56049.33</v>
      </c>
      <c r="H6" s="520">
        <v>600</v>
      </c>
      <c r="I6" s="517"/>
      <c r="J6" s="520">
        <v>0</v>
      </c>
      <c r="K6" s="520">
        <v>0</v>
      </c>
      <c r="L6" s="520">
        <v>0</v>
      </c>
      <c r="M6" s="517"/>
      <c r="N6" s="542">
        <v>6</v>
      </c>
      <c r="O6" s="543">
        <v>56049.33</v>
      </c>
      <c r="P6" s="543">
        <v>600</v>
      </c>
      <c r="Q6" s="517"/>
      <c r="R6" s="520">
        <v>0</v>
      </c>
      <c r="S6" s="520">
        <v>0</v>
      </c>
      <c r="T6" s="520">
        <v>0</v>
      </c>
      <c r="U6" s="517"/>
      <c r="V6" s="542">
        <v>6</v>
      </c>
      <c r="W6" s="543">
        <v>56049.33</v>
      </c>
    </row>
    <row r="7" spans="1:23" x14ac:dyDescent="0.25">
      <c r="A7">
        <v>2</v>
      </c>
      <c r="B7" t="s">
        <v>17</v>
      </c>
      <c r="C7" t="s">
        <v>18</v>
      </c>
      <c r="D7" t="s">
        <v>16</v>
      </c>
      <c r="F7" s="520">
        <v>0</v>
      </c>
      <c r="G7" s="520">
        <v>0</v>
      </c>
      <c r="H7" s="520">
        <v>0</v>
      </c>
      <c r="I7" s="517"/>
      <c r="J7" s="520">
        <v>0</v>
      </c>
      <c r="K7" s="520">
        <v>0</v>
      </c>
      <c r="L7" s="520">
        <v>0</v>
      </c>
      <c r="M7" s="517"/>
      <c r="N7" s="542">
        <v>0</v>
      </c>
      <c r="O7" s="543">
        <v>0</v>
      </c>
      <c r="P7" s="543">
        <v>0</v>
      </c>
      <c r="Q7" s="517"/>
      <c r="R7" s="520">
        <v>0</v>
      </c>
      <c r="S7" s="520">
        <v>0</v>
      </c>
      <c r="T7" s="520">
        <v>0</v>
      </c>
      <c r="U7" s="517"/>
      <c r="V7" s="542">
        <v>0</v>
      </c>
      <c r="W7" s="543">
        <v>0</v>
      </c>
    </row>
    <row r="8" spans="1:23" x14ac:dyDescent="0.25">
      <c r="A8">
        <v>3</v>
      </c>
      <c r="B8" t="s">
        <v>19</v>
      </c>
      <c r="C8" t="s">
        <v>18</v>
      </c>
      <c r="D8" t="s">
        <v>20</v>
      </c>
      <c r="F8" s="520">
        <v>6</v>
      </c>
      <c r="G8" s="520">
        <v>87272.07</v>
      </c>
      <c r="H8" s="520">
        <v>300</v>
      </c>
      <c r="I8" s="517"/>
      <c r="J8" s="520">
        <v>0</v>
      </c>
      <c r="K8" s="520">
        <v>0</v>
      </c>
      <c r="L8" s="520">
        <v>0</v>
      </c>
      <c r="M8" s="517"/>
      <c r="N8" s="542">
        <v>6</v>
      </c>
      <c r="O8" s="543">
        <v>87272.07</v>
      </c>
      <c r="P8" s="543">
        <v>300</v>
      </c>
      <c r="Q8" s="517"/>
      <c r="R8" s="520">
        <v>0</v>
      </c>
      <c r="S8" s="520">
        <v>0</v>
      </c>
      <c r="T8" s="520">
        <v>0</v>
      </c>
      <c r="U8" s="517"/>
      <c r="V8" s="542">
        <v>6</v>
      </c>
      <c r="W8" s="543">
        <v>87272.07</v>
      </c>
    </row>
    <row r="9" spans="1:23" x14ac:dyDescent="0.25">
      <c r="A9">
        <v>4</v>
      </c>
      <c r="B9" t="s">
        <v>21</v>
      </c>
      <c r="C9" t="s">
        <v>22</v>
      </c>
      <c r="D9" t="s">
        <v>16</v>
      </c>
      <c r="F9" s="520">
        <v>0</v>
      </c>
      <c r="G9" s="520">
        <v>0</v>
      </c>
      <c r="H9" s="520">
        <v>0</v>
      </c>
      <c r="I9" s="517"/>
      <c r="J9" s="520">
        <v>0</v>
      </c>
      <c r="K9" s="520">
        <v>0</v>
      </c>
      <c r="L9" s="520">
        <v>0</v>
      </c>
      <c r="M9" s="517"/>
      <c r="N9" s="542">
        <v>0</v>
      </c>
      <c r="O9" s="543">
        <v>0</v>
      </c>
      <c r="P9" s="543">
        <v>0</v>
      </c>
      <c r="Q9" s="517"/>
      <c r="R9" s="520">
        <v>0</v>
      </c>
      <c r="S9" s="520">
        <v>0</v>
      </c>
      <c r="T9" s="520">
        <v>0</v>
      </c>
      <c r="U9" s="517"/>
      <c r="V9" s="542">
        <v>0</v>
      </c>
      <c r="W9" s="543">
        <v>0</v>
      </c>
    </row>
    <row r="10" spans="1:23" x14ac:dyDescent="0.25">
      <c r="A10">
        <v>5</v>
      </c>
      <c r="B10" t="s">
        <v>23</v>
      </c>
      <c r="C10" t="s">
        <v>24</v>
      </c>
      <c r="D10" t="s">
        <v>16</v>
      </c>
      <c r="F10" s="520">
        <v>0</v>
      </c>
      <c r="G10" s="520">
        <v>0</v>
      </c>
      <c r="H10" s="520">
        <v>0</v>
      </c>
      <c r="I10" s="517"/>
      <c r="J10" s="520">
        <v>0</v>
      </c>
      <c r="K10" s="520">
        <v>0</v>
      </c>
      <c r="L10" s="520">
        <v>0</v>
      </c>
      <c r="M10" s="517"/>
      <c r="N10" s="542">
        <v>0</v>
      </c>
      <c r="O10" s="543">
        <v>0</v>
      </c>
      <c r="P10" s="543">
        <v>0</v>
      </c>
      <c r="Q10" s="517"/>
      <c r="R10" s="520">
        <v>0</v>
      </c>
      <c r="S10" s="520">
        <v>0</v>
      </c>
      <c r="T10" s="520">
        <v>0</v>
      </c>
      <c r="U10" s="517"/>
      <c r="V10" s="542">
        <v>0</v>
      </c>
      <c r="W10" s="543">
        <v>0</v>
      </c>
    </row>
    <row r="11" spans="1:23" x14ac:dyDescent="0.25">
      <c r="A11">
        <v>6</v>
      </c>
      <c r="B11" t="s">
        <v>28</v>
      </c>
      <c r="C11" t="s">
        <v>18</v>
      </c>
      <c r="D11" t="s">
        <v>16</v>
      </c>
      <c r="F11" s="520">
        <v>14</v>
      </c>
      <c r="G11" s="520">
        <v>39135.449999999997</v>
      </c>
      <c r="H11" s="520">
        <v>210</v>
      </c>
      <c r="I11" s="517"/>
      <c r="J11" s="520">
        <v>0</v>
      </c>
      <c r="K11" s="520">
        <v>0</v>
      </c>
      <c r="L11" s="520">
        <v>0</v>
      </c>
      <c r="M11" s="517"/>
      <c r="N11" s="542">
        <v>14</v>
      </c>
      <c r="O11" s="543">
        <v>39135.449999999997</v>
      </c>
      <c r="P11" s="543">
        <v>210</v>
      </c>
      <c r="Q11" s="517"/>
      <c r="R11" s="520">
        <v>0</v>
      </c>
      <c r="S11" s="520">
        <v>0</v>
      </c>
      <c r="T11" s="520">
        <v>0</v>
      </c>
      <c r="U11" s="517"/>
      <c r="V11" s="542">
        <v>14</v>
      </c>
      <c r="W11" s="543">
        <v>39135.449999999997</v>
      </c>
    </row>
    <row r="12" spans="1:23" x14ac:dyDescent="0.25">
      <c r="A12">
        <v>7</v>
      </c>
      <c r="B12" t="s">
        <v>29</v>
      </c>
      <c r="C12" t="s">
        <v>27</v>
      </c>
      <c r="D12" t="s">
        <v>16</v>
      </c>
      <c r="F12" s="520">
        <v>0</v>
      </c>
      <c r="G12" s="520">
        <v>0</v>
      </c>
      <c r="H12" s="520">
        <v>0</v>
      </c>
      <c r="I12" s="517"/>
      <c r="J12" s="520">
        <v>0</v>
      </c>
      <c r="K12" s="520">
        <v>0</v>
      </c>
      <c r="L12" s="520">
        <v>0</v>
      </c>
      <c r="M12" s="517"/>
      <c r="N12" s="542">
        <v>0</v>
      </c>
      <c r="O12" s="543">
        <v>0</v>
      </c>
      <c r="P12" s="543">
        <v>0</v>
      </c>
      <c r="Q12" s="517"/>
      <c r="R12" s="520">
        <v>0</v>
      </c>
      <c r="S12" s="520">
        <v>0</v>
      </c>
      <c r="T12" s="520">
        <v>0</v>
      </c>
      <c r="U12" s="517"/>
      <c r="V12" s="542">
        <v>0</v>
      </c>
      <c r="W12" s="543">
        <v>0</v>
      </c>
    </row>
    <row r="13" spans="1:23" x14ac:dyDescent="0.25">
      <c r="A13">
        <v>8</v>
      </c>
      <c r="B13" t="s">
        <v>30</v>
      </c>
      <c r="C13" t="s">
        <v>25</v>
      </c>
      <c r="D13" t="s">
        <v>16</v>
      </c>
      <c r="F13" s="520">
        <v>10</v>
      </c>
      <c r="G13" s="520">
        <v>79233.909999999989</v>
      </c>
      <c r="H13" s="520">
        <v>250</v>
      </c>
      <c r="I13" s="517"/>
      <c r="J13" s="520">
        <v>0</v>
      </c>
      <c r="K13" s="520">
        <v>0</v>
      </c>
      <c r="L13" s="520">
        <v>0</v>
      </c>
      <c r="M13" s="517"/>
      <c r="N13" s="542">
        <v>10</v>
      </c>
      <c r="O13" s="543">
        <v>79233.909999999989</v>
      </c>
      <c r="P13" s="543">
        <v>250</v>
      </c>
      <c r="Q13" s="517"/>
      <c r="R13" s="520">
        <v>0</v>
      </c>
      <c r="S13" s="520">
        <v>0</v>
      </c>
      <c r="T13" s="520">
        <v>0</v>
      </c>
      <c r="U13" s="517"/>
      <c r="V13" s="542">
        <v>10</v>
      </c>
      <c r="W13" s="543">
        <v>79233.909999999989</v>
      </c>
    </row>
    <row r="14" spans="1:23" x14ac:dyDescent="0.25">
      <c r="A14">
        <v>9</v>
      </c>
      <c r="B14" t="s">
        <v>31</v>
      </c>
      <c r="C14" t="s">
        <v>15</v>
      </c>
      <c r="D14" t="s">
        <v>20</v>
      </c>
      <c r="F14" s="520">
        <v>6</v>
      </c>
      <c r="G14" s="520">
        <v>93851.549999999988</v>
      </c>
      <c r="H14" s="520">
        <v>160</v>
      </c>
      <c r="I14" s="517"/>
      <c r="J14" s="520">
        <v>0</v>
      </c>
      <c r="K14" s="520">
        <v>0</v>
      </c>
      <c r="L14" s="520">
        <v>0</v>
      </c>
      <c r="M14" s="517"/>
      <c r="N14" s="542">
        <v>6</v>
      </c>
      <c r="O14" s="543">
        <v>93851.549999999988</v>
      </c>
      <c r="P14" s="543">
        <v>160</v>
      </c>
      <c r="Q14" s="517"/>
      <c r="R14" s="520">
        <v>0</v>
      </c>
      <c r="S14" s="520">
        <v>0</v>
      </c>
      <c r="T14" s="520">
        <v>0</v>
      </c>
      <c r="U14" s="517"/>
      <c r="V14" s="542">
        <v>6</v>
      </c>
      <c r="W14" s="543">
        <v>93851.549999999988</v>
      </c>
    </row>
    <row r="15" spans="1:23" x14ac:dyDescent="0.25">
      <c r="A15">
        <v>10</v>
      </c>
      <c r="B15" t="s">
        <v>32</v>
      </c>
      <c r="C15" t="s">
        <v>15</v>
      </c>
      <c r="D15" t="s">
        <v>16</v>
      </c>
      <c r="F15" s="520">
        <v>0</v>
      </c>
      <c r="G15" s="520">
        <v>0</v>
      </c>
      <c r="H15" s="520">
        <v>0</v>
      </c>
      <c r="I15" s="517"/>
      <c r="J15" s="520">
        <v>0</v>
      </c>
      <c r="K15" s="520">
        <v>0</v>
      </c>
      <c r="L15" s="520">
        <v>0</v>
      </c>
      <c r="M15" s="517"/>
      <c r="N15" s="542">
        <v>0</v>
      </c>
      <c r="O15" s="543">
        <v>0</v>
      </c>
      <c r="P15" s="543">
        <v>0</v>
      </c>
      <c r="Q15" s="517"/>
      <c r="R15" s="520">
        <v>0</v>
      </c>
      <c r="S15" s="520">
        <v>0</v>
      </c>
      <c r="T15" s="520">
        <v>0</v>
      </c>
      <c r="U15" s="517"/>
      <c r="V15" s="542">
        <v>0</v>
      </c>
      <c r="W15" s="543">
        <v>0</v>
      </c>
    </row>
    <row r="16" spans="1:23" x14ac:dyDescent="0.25">
      <c r="A16">
        <v>11</v>
      </c>
      <c r="B16" t="s">
        <v>33</v>
      </c>
      <c r="D16" t="s">
        <v>16</v>
      </c>
      <c r="F16" s="520">
        <v>0</v>
      </c>
      <c r="G16" s="520">
        <v>0</v>
      </c>
      <c r="H16" s="520">
        <v>0</v>
      </c>
      <c r="I16" s="517"/>
      <c r="J16" s="520">
        <v>0</v>
      </c>
      <c r="K16" s="520">
        <v>0</v>
      </c>
      <c r="L16" s="520">
        <v>0</v>
      </c>
      <c r="M16" s="517"/>
      <c r="N16" s="542">
        <v>0</v>
      </c>
      <c r="O16" s="543">
        <v>0</v>
      </c>
      <c r="P16" s="543">
        <v>0</v>
      </c>
      <c r="Q16" s="517"/>
      <c r="R16" s="520">
        <v>0</v>
      </c>
      <c r="S16" s="520">
        <v>0</v>
      </c>
      <c r="T16" s="520">
        <v>0</v>
      </c>
      <c r="U16" s="517"/>
      <c r="V16" s="542">
        <v>0</v>
      </c>
      <c r="W16" s="543">
        <v>0</v>
      </c>
    </row>
    <row r="17" spans="1:23" x14ac:dyDescent="0.25">
      <c r="A17">
        <v>12</v>
      </c>
      <c r="B17" t="s">
        <v>34</v>
      </c>
      <c r="C17" t="s">
        <v>18</v>
      </c>
      <c r="D17" t="s">
        <v>16</v>
      </c>
      <c r="F17" s="520">
        <v>0</v>
      </c>
      <c r="G17" s="520">
        <v>0</v>
      </c>
      <c r="H17" s="520">
        <v>0</v>
      </c>
      <c r="I17" s="517"/>
      <c r="J17" s="520">
        <v>0</v>
      </c>
      <c r="K17" s="520">
        <v>0</v>
      </c>
      <c r="L17" s="520">
        <v>0</v>
      </c>
      <c r="M17" s="517"/>
      <c r="N17" s="542">
        <v>0</v>
      </c>
      <c r="O17" s="543">
        <v>0</v>
      </c>
      <c r="P17" s="543">
        <v>0</v>
      </c>
      <c r="Q17" s="517"/>
      <c r="R17" s="520">
        <v>0</v>
      </c>
      <c r="S17" s="520">
        <v>0</v>
      </c>
      <c r="T17" s="520">
        <v>0</v>
      </c>
      <c r="U17" s="517"/>
      <c r="V17" s="542">
        <v>0</v>
      </c>
      <c r="W17" s="543">
        <v>0</v>
      </c>
    </row>
    <row r="18" spans="1:23" x14ac:dyDescent="0.25">
      <c r="A18">
        <v>13</v>
      </c>
      <c r="B18" t="s">
        <v>35</v>
      </c>
      <c r="C18" t="s">
        <v>18</v>
      </c>
      <c r="D18" t="s">
        <v>20</v>
      </c>
      <c r="F18" s="520">
        <v>58</v>
      </c>
      <c r="G18" s="520">
        <v>1379443.75</v>
      </c>
      <c r="H18" s="520">
        <v>1825</v>
      </c>
      <c r="I18" s="517"/>
      <c r="J18" s="520">
        <v>0</v>
      </c>
      <c r="K18" s="520">
        <v>0</v>
      </c>
      <c r="L18" s="520">
        <v>0</v>
      </c>
      <c r="M18" s="517"/>
      <c r="N18" s="542">
        <v>58</v>
      </c>
      <c r="O18" s="543">
        <v>1379443.75</v>
      </c>
      <c r="P18" s="543">
        <v>1825</v>
      </c>
      <c r="Q18" s="517"/>
      <c r="R18" s="520">
        <v>0</v>
      </c>
      <c r="S18" s="520">
        <v>0</v>
      </c>
      <c r="T18" s="520">
        <v>0</v>
      </c>
      <c r="U18" s="517"/>
      <c r="V18" s="542">
        <v>58</v>
      </c>
      <c r="W18" s="543">
        <v>1379443.75</v>
      </c>
    </row>
    <row r="19" spans="1:23" x14ac:dyDescent="0.25">
      <c r="A19">
        <v>14</v>
      </c>
      <c r="B19" t="s">
        <v>36</v>
      </c>
      <c r="C19" t="s">
        <v>25</v>
      </c>
      <c r="D19" t="s">
        <v>16</v>
      </c>
      <c r="F19" s="520">
        <v>5</v>
      </c>
      <c r="G19" s="520">
        <v>20349.54</v>
      </c>
      <c r="H19" s="520">
        <v>25</v>
      </c>
      <c r="I19" s="517"/>
      <c r="J19" s="520">
        <v>0</v>
      </c>
      <c r="K19" s="520">
        <v>0</v>
      </c>
      <c r="L19" s="520">
        <v>0</v>
      </c>
      <c r="M19" s="517"/>
      <c r="N19" s="542">
        <v>5</v>
      </c>
      <c r="O19" s="543">
        <v>20349.54</v>
      </c>
      <c r="P19" s="543">
        <v>25</v>
      </c>
      <c r="Q19" s="517"/>
      <c r="R19" s="520">
        <v>0</v>
      </c>
      <c r="S19" s="520">
        <v>0</v>
      </c>
      <c r="T19" s="520">
        <v>0</v>
      </c>
      <c r="U19" s="517"/>
      <c r="V19" s="542">
        <v>5</v>
      </c>
      <c r="W19" s="543">
        <v>20349.54</v>
      </c>
    </row>
    <row r="20" spans="1:23" x14ac:dyDescent="0.25">
      <c r="A20">
        <v>15</v>
      </c>
      <c r="B20" t="s">
        <v>37</v>
      </c>
      <c r="C20" t="s">
        <v>25</v>
      </c>
      <c r="D20" t="s">
        <v>16</v>
      </c>
      <c r="F20" s="520">
        <v>0</v>
      </c>
      <c r="G20" s="520">
        <v>0</v>
      </c>
      <c r="H20" s="520">
        <v>0</v>
      </c>
      <c r="I20" s="517"/>
      <c r="J20" s="520">
        <v>0</v>
      </c>
      <c r="K20" s="520">
        <v>0</v>
      </c>
      <c r="L20" s="520">
        <v>0</v>
      </c>
      <c r="M20" s="517"/>
      <c r="N20" s="542">
        <v>0</v>
      </c>
      <c r="O20" s="543">
        <v>0</v>
      </c>
      <c r="P20" s="543">
        <v>0</v>
      </c>
      <c r="Q20" s="517"/>
      <c r="R20" s="520">
        <v>0</v>
      </c>
      <c r="S20" s="520">
        <v>0</v>
      </c>
      <c r="T20" s="520">
        <v>0</v>
      </c>
      <c r="U20" s="517"/>
      <c r="V20" s="542">
        <v>0</v>
      </c>
      <c r="W20" s="543">
        <v>0</v>
      </c>
    </row>
    <row r="21" spans="1:23" x14ac:dyDescent="0.25">
      <c r="A21">
        <v>16</v>
      </c>
      <c r="B21" t="s">
        <v>38</v>
      </c>
      <c r="C21" t="s">
        <v>39</v>
      </c>
      <c r="D21" t="s">
        <v>16</v>
      </c>
      <c r="F21" s="520">
        <v>0</v>
      </c>
      <c r="G21" s="520">
        <v>0</v>
      </c>
      <c r="H21" s="520">
        <v>0</v>
      </c>
      <c r="I21" s="517"/>
      <c r="J21" s="520">
        <v>0</v>
      </c>
      <c r="K21" s="520">
        <v>0</v>
      </c>
      <c r="L21" s="520">
        <v>0</v>
      </c>
      <c r="M21" s="517"/>
      <c r="N21" s="542">
        <v>0</v>
      </c>
      <c r="O21" s="543">
        <v>0</v>
      </c>
      <c r="P21" s="543">
        <v>0</v>
      </c>
      <c r="Q21" s="517"/>
      <c r="R21" s="520">
        <v>0</v>
      </c>
      <c r="S21" s="520">
        <v>0</v>
      </c>
      <c r="T21" s="520">
        <v>0</v>
      </c>
      <c r="U21" s="517"/>
      <c r="V21" s="542">
        <v>0</v>
      </c>
      <c r="W21" s="543">
        <v>0</v>
      </c>
    </row>
    <row r="22" spans="1:23" x14ac:dyDescent="0.25">
      <c r="A22">
        <v>17</v>
      </c>
      <c r="B22" t="s">
        <v>42</v>
      </c>
      <c r="C22" t="s">
        <v>22</v>
      </c>
      <c r="D22" t="s">
        <v>43</v>
      </c>
      <c r="F22" s="520">
        <v>1</v>
      </c>
      <c r="G22" s="520">
        <v>2000</v>
      </c>
      <c r="H22" s="520">
        <v>7</v>
      </c>
      <c r="I22" s="517"/>
      <c r="J22" s="520">
        <v>0</v>
      </c>
      <c r="K22" s="520">
        <v>0</v>
      </c>
      <c r="L22" s="520">
        <v>0</v>
      </c>
      <c r="M22" s="517"/>
      <c r="N22" s="542">
        <v>1</v>
      </c>
      <c r="O22" s="543">
        <v>2000</v>
      </c>
      <c r="P22" s="543">
        <v>7</v>
      </c>
      <c r="Q22" s="517"/>
      <c r="R22" s="520">
        <v>0</v>
      </c>
      <c r="S22" s="520">
        <v>0</v>
      </c>
      <c r="T22" s="520">
        <v>0</v>
      </c>
      <c r="U22" s="517"/>
      <c r="V22" s="542">
        <v>1</v>
      </c>
      <c r="W22" s="543">
        <v>2000</v>
      </c>
    </row>
    <row r="23" spans="1:23" x14ac:dyDescent="0.25">
      <c r="A23">
        <v>18</v>
      </c>
      <c r="B23" t="s">
        <v>44</v>
      </c>
      <c r="C23" t="s">
        <v>15</v>
      </c>
      <c r="D23" t="s">
        <v>45</v>
      </c>
      <c r="F23" s="520">
        <v>599</v>
      </c>
      <c r="G23" s="520">
        <v>12391963.719999997</v>
      </c>
      <c r="H23" s="520">
        <v>10080</v>
      </c>
      <c r="I23" s="517"/>
      <c r="J23" s="520">
        <v>0</v>
      </c>
      <c r="K23" s="520">
        <v>0</v>
      </c>
      <c r="L23" s="520">
        <v>0</v>
      </c>
      <c r="M23" s="517"/>
      <c r="N23" s="542">
        <v>599</v>
      </c>
      <c r="O23" s="543">
        <v>12391963.719999997</v>
      </c>
      <c r="P23" s="543">
        <v>10080</v>
      </c>
      <c r="Q23" s="517"/>
      <c r="R23" s="520">
        <v>0</v>
      </c>
      <c r="S23" s="520">
        <v>0</v>
      </c>
      <c r="T23" s="520">
        <v>0</v>
      </c>
      <c r="U23" s="517"/>
      <c r="V23" s="542">
        <v>599</v>
      </c>
      <c r="W23" s="543">
        <v>12391963.719999997</v>
      </c>
    </row>
    <row r="24" spans="1:23" x14ac:dyDescent="0.25">
      <c r="A24">
        <v>19</v>
      </c>
      <c r="B24" t="s">
        <v>46</v>
      </c>
      <c r="C24" t="s">
        <v>22</v>
      </c>
      <c r="D24" t="s">
        <v>16</v>
      </c>
      <c r="F24" s="520">
        <v>0</v>
      </c>
      <c r="G24" s="520">
        <v>0</v>
      </c>
      <c r="H24" s="520">
        <v>0</v>
      </c>
      <c r="I24" s="517"/>
      <c r="J24" s="520">
        <v>0</v>
      </c>
      <c r="K24" s="520">
        <v>0</v>
      </c>
      <c r="L24" s="520">
        <v>0</v>
      </c>
      <c r="M24" s="517"/>
      <c r="N24" s="542">
        <v>0</v>
      </c>
      <c r="O24" s="543">
        <v>0</v>
      </c>
      <c r="P24" s="543">
        <v>0</v>
      </c>
      <c r="Q24" s="517"/>
      <c r="R24" s="520">
        <v>0</v>
      </c>
      <c r="S24" s="520">
        <v>0</v>
      </c>
      <c r="T24" s="520">
        <v>0</v>
      </c>
      <c r="U24" s="517"/>
      <c r="V24" s="542">
        <v>0</v>
      </c>
      <c r="W24" s="543">
        <v>0</v>
      </c>
    </row>
    <row r="25" spans="1:23" x14ac:dyDescent="0.25">
      <c r="A25">
        <v>20</v>
      </c>
      <c r="B25" t="s">
        <v>47</v>
      </c>
      <c r="D25" t="s">
        <v>16</v>
      </c>
      <c r="F25" s="520">
        <v>0</v>
      </c>
      <c r="G25" s="520">
        <v>0</v>
      </c>
      <c r="H25" s="520">
        <v>0</v>
      </c>
      <c r="I25" s="517"/>
      <c r="J25" s="520">
        <v>0</v>
      </c>
      <c r="K25" s="520">
        <v>0</v>
      </c>
      <c r="L25" s="520">
        <v>0</v>
      </c>
      <c r="M25" s="517"/>
      <c r="N25" s="542">
        <v>0</v>
      </c>
      <c r="O25" s="543">
        <v>0</v>
      </c>
      <c r="P25" s="543">
        <v>0</v>
      </c>
      <c r="Q25" s="517"/>
      <c r="R25" s="520">
        <v>0</v>
      </c>
      <c r="S25" s="520">
        <v>0</v>
      </c>
      <c r="T25" s="520">
        <v>0</v>
      </c>
      <c r="U25" s="517"/>
      <c r="V25" s="542">
        <v>0</v>
      </c>
      <c r="W25" s="543">
        <v>0</v>
      </c>
    </row>
    <row r="26" spans="1:23" x14ac:dyDescent="0.25">
      <c r="A26">
        <v>21</v>
      </c>
      <c r="B26" t="s">
        <v>48</v>
      </c>
      <c r="C26" t="s">
        <v>18</v>
      </c>
      <c r="D26" t="s">
        <v>16</v>
      </c>
      <c r="F26" s="520">
        <v>1</v>
      </c>
      <c r="G26" s="520">
        <v>7700</v>
      </c>
      <c r="H26" s="520">
        <v>30</v>
      </c>
      <c r="I26" s="517"/>
      <c r="J26" s="520">
        <v>0</v>
      </c>
      <c r="K26" s="520">
        <v>0</v>
      </c>
      <c r="L26" s="520">
        <v>0</v>
      </c>
      <c r="M26" s="517"/>
      <c r="N26" s="542">
        <v>1</v>
      </c>
      <c r="O26" s="543">
        <v>7700</v>
      </c>
      <c r="P26" s="543">
        <v>30</v>
      </c>
      <c r="Q26" s="517"/>
      <c r="R26" s="520">
        <v>0</v>
      </c>
      <c r="S26" s="520">
        <v>0</v>
      </c>
      <c r="T26" s="520">
        <v>0</v>
      </c>
      <c r="U26" s="517"/>
      <c r="V26" s="542">
        <v>1</v>
      </c>
      <c r="W26" s="543">
        <v>7700</v>
      </c>
    </row>
    <row r="27" spans="1:23" x14ac:dyDescent="0.25">
      <c r="A27">
        <v>22</v>
      </c>
      <c r="B27" t="s">
        <v>50</v>
      </c>
      <c r="C27" t="s">
        <v>51</v>
      </c>
      <c r="D27" t="s">
        <v>16</v>
      </c>
      <c r="F27" s="520">
        <v>0</v>
      </c>
      <c r="G27" s="520">
        <v>0</v>
      </c>
      <c r="H27" s="520">
        <v>0</v>
      </c>
      <c r="I27" s="517"/>
      <c r="J27" s="520">
        <v>0</v>
      </c>
      <c r="K27" s="520">
        <v>0</v>
      </c>
      <c r="L27" s="520">
        <v>0</v>
      </c>
      <c r="M27" s="517"/>
      <c r="N27" s="542">
        <v>0</v>
      </c>
      <c r="O27" s="543">
        <v>0</v>
      </c>
      <c r="P27" s="543">
        <v>0</v>
      </c>
      <c r="Q27" s="517"/>
      <c r="R27" s="520">
        <v>0</v>
      </c>
      <c r="S27" s="520">
        <v>0</v>
      </c>
      <c r="T27" s="520">
        <v>0</v>
      </c>
      <c r="U27" s="517"/>
      <c r="V27" s="542">
        <v>0</v>
      </c>
      <c r="W27" s="543">
        <v>0</v>
      </c>
    </row>
    <row r="28" spans="1:23" x14ac:dyDescent="0.25">
      <c r="A28">
        <v>23</v>
      </c>
      <c r="B28" t="s">
        <v>52</v>
      </c>
      <c r="C28" t="s">
        <v>18</v>
      </c>
      <c r="D28" t="s">
        <v>16</v>
      </c>
      <c r="F28" s="520">
        <v>0</v>
      </c>
      <c r="G28" s="520">
        <v>0</v>
      </c>
      <c r="H28" s="520">
        <v>0</v>
      </c>
      <c r="I28" s="517"/>
      <c r="J28" s="520">
        <v>0</v>
      </c>
      <c r="K28" s="520">
        <v>0</v>
      </c>
      <c r="L28" s="520">
        <v>0</v>
      </c>
      <c r="M28" s="517"/>
      <c r="N28" s="542">
        <v>0</v>
      </c>
      <c r="O28" s="543">
        <v>0</v>
      </c>
      <c r="P28" s="543">
        <v>0</v>
      </c>
      <c r="Q28" s="517"/>
      <c r="R28" s="520">
        <v>0</v>
      </c>
      <c r="S28" s="520">
        <v>0</v>
      </c>
      <c r="T28" s="520">
        <v>0</v>
      </c>
      <c r="U28" s="517"/>
      <c r="V28" s="542">
        <v>0</v>
      </c>
      <c r="W28" s="543">
        <v>0</v>
      </c>
    </row>
    <row r="29" spans="1:23" x14ac:dyDescent="0.25">
      <c r="A29">
        <v>24</v>
      </c>
      <c r="B29" t="s">
        <v>53</v>
      </c>
      <c r="C29" t="s">
        <v>24</v>
      </c>
      <c r="D29" t="s">
        <v>16</v>
      </c>
      <c r="F29" s="520">
        <v>5</v>
      </c>
      <c r="G29" s="520">
        <v>395290</v>
      </c>
      <c r="H29" s="520">
        <v>250</v>
      </c>
      <c r="I29" s="517"/>
      <c r="J29" s="520">
        <v>0</v>
      </c>
      <c r="K29" s="520">
        <v>0</v>
      </c>
      <c r="L29" s="520">
        <v>0</v>
      </c>
      <c r="M29" s="517"/>
      <c r="N29" s="542">
        <v>5</v>
      </c>
      <c r="O29" s="543">
        <v>395290</v>
      </c>
      <c r="P29" s="543">
        <v>250</v>
      </c>
      <c r="Q29" s="517"/>
      <c r="R29" s="520">
        <v>0</v>
      </c>
      <c r="S29" s="520">
        <v>0</v>
      </c>
      <c r="T29" s="520">
        <v>0</v>
      </c>
      <c r="U29" s="517"/>
      <c r="V29" s="542">
        <v>5</v>
      </c>
      <c r="W29" s="543">
        <v>395290</v>
      </c>
    </row>
    <row r="30" spans="1:23" x14ac:dyDescent="0.25">
      <c r="A30">
        <v>25</v>
      </c>
      <c r="B30" t="s">
        <v>54</v>
      </c>
      <c r="C30" t="s">
        <v>25</v>
      </c>
      <c r="D30" t="s">
        <v>16</v>
      </c>
      <c r="F30" s="520">
        <v>2</v>
      </c>
      <c r="G30" s="520">
        <v>9079</v>
      </c>
      <c r="H30" s="520">
        <v>60</v>
      </c>
      <c r="I30" s="517"/>
      <c r="J30" s="520">
        <v>0</v>
      </c>
      <c r="K30" s="520">
        <v>0</v>
      </c>
      <c r="L30" s="520">
        <v>0</v>
      </c>
      <c r="M30" s="517"/>
      <c r="N30" s="542">
        <v>2</v>
      </c>
      <c r="O30" s="543">
        <v>9079</v>
      </c>
      <c r="P30" s="543">
        <v>60</v>
      </c>
      <c r="Q30" s="517"/>
      <c r="R30" s="520">
        <v>0</v>
      </c>
      <c r="S30" s="520">
        <v>0</v>
      </c>
      <c r="T30" s="520">
        <v>0</v>
      </c>
      <c r="U30" s="517"/>
      <c r="V30" s="542">
        <v>2</v>
      </c>
      <c r="W30" s="543">
        <v>9079</v>
      </c>
    </row>
    <row r="31" spans="1:23" x14ac:dyDescent="0.25">
      <c r="A31">
        <v>26</v>
      </c>
      <c r="B31" t="s">
        <v>55</v>
      </c>
      <c r="D31" t="s">
        <v>26</v>
      </c>
      <c r="F31" s="520">
        <v>0</v>
      </c>
      <c r="G31" s="520">
        <v>0</v>
      </c>
      <c r="H31" s="520">
        <v>0</v>
      </c>
      <c r="I31" s="517"/>
      <c r="J31" s="520">
        <v>0</v>
      </c>
      <c r="K31" s="520">
        <v>0</v>
      </c>
      <c r="L31" s="520">
        <v>0</v>
      </c>
      <c r="M31" s="517"/>
      <c r="N31" s="542">
        <v>0</v>
      </c>
      <c r="O31" s="543">
        <v>0</v>
      </c>
      <c r="P31" s="543">
        <v>0</v>
      </c>
      <c r="Q31" s="517"/>
      <c r="R31" s="520">
        <v>0</v>
      </c>
      <c r="S31" s="520">
        <v>0</v>
      </c>
      <c r="T31" s="520">
        <v>0</v>
      </c>
      <c r="U31" s="517"/>
      <c r="V31" s="542">
        <v>0</v>
      </c>
      <c r="W31" s="543">
        <v>0</v>
      </c>
    </row>
    <row r="32" spans="1:23" x14ac:dyDescent="0.25">
      <c r="A32">
        <v>27</v>
      </c>
      <c r="B32" t="s">
        <v>56</v>
      </c>
      <c r="C32" t="s">
        <v>39</v>
      </c>
      <c r="D32" t="s">
        <v>16</v>
      </c>
      <c r="F32" s="520">
        <v>8</v>
      </c>
      <c r="G32" s="520">
        <v>2636.05</v>
      </c>
      <c r="H32" s="520">
        <v>80</v>
      </c>
      <c r="I32" s="517"/>
      <c r="J32" s="520">
        <v>0</v>
      </c>
      <c r="K32" s="520">
        <v>0</v>
      </c>
      <c r="L32" s="520">
        <v>0</v>
      </c>
      <c r="M32" s="517"/>
      <c r="N32" s="542">
        <v>8</v>
      </c>
      <c r="O32" s="543">
        <v>2636.05</v>
      </c>
      <c r="P32" s="543">
        <v>80</v>
      </c>
      <c r="Q32" s="517"/>
      <c r="R32" s="520">
        <v>0</v>
      </c>
      <c r="S32" s="520">
        <v>0</v>
      </c>
      <c r="T32" s="520">
        <v>0</v>
      </c>
      <c r="U32" s="517"/>
      <c r="V32" s="542">
        <v>8</v>
      </c>
      <c r="W32" s="543">
        <v>2636.05</v>
      </c>
    </row>
    <row r="33" spans="1:23" x14ac:dyDescent="0.25">
      <c r="A33">
        <v>28</v>
      </c>
      <c r="B33" t="s">
        <v>57</v>
      </c>
      <c r="C33" t="s">
        <v>18</v>
      </c>
      <c r="D33" t="s">
        <v>20</v>
      </c>
      <c r="F33" s="520">
        <v>0</v>
      </c>
      <c r="G33" s="520">
        <v>0</v>
      </c>
      <c r="H33" s="520">
        <v>0</v>
      </c>
      <c r="I33" s="517"/>
      <c r="J33" s="520">
        <v>0</v>
      </c>
      <c r="K33" s="520">
        <v>0</v>
      </c>
      <c r="L33" s="520">
        <v>0</v>
      </c>
      <c r="M33" s="517"/>
      <c r="N33" s="542">
        <v>0</v>
      </c>
      <c r="O33" s="543">
        <v>0</v>
      </c>
      <c r="P33" s="543">
        <v>0</v>
      </c>
      <c r="Q33" s="517"/>
      <c r="R33" s="520">
        <v>0</v>
      </c>
      <c r="S33" s="520">
        <v>0</v>
      </c>
      <c r="T33" s="520">
        <v>0</v>
      </c>
      <c r="U33" s="517"/>
      <c r="V33" s="542">
        <v>0</v>
      </c>
      <c r="W33" s="543">
        <v>0</v>
      </c>
    </row>
    <row r="34" spans="1:23" x14ac:dyDescent="0.25">
      <c r="A34">
        <v>29</v>
      </c>
      <c r="B34" t="s">
        <v>58</v>
      </c>
      <c r="D34" t="s">
        <v>16</v>
      </c>
      <c r="F34" s="520">
        <v>0</v>
      </c>
      <c r="G34" s="520">
        <v>0</v>
      </c>
      <c r="H34" s="520">
        <v>0</v>
      </c>
      <c r="I34" s="517"/>
      <c r="J34" s="520">
        <v>0</v>
      </c>
      <c r="K34" s="520">
        <v>0</v>
      </c>
      <c r="L34" s="520">
        <v>0</v>
      </c>
      <c r="M34" s="517"/>
      <c r="N34" s="542">
        <v>0</v>
      </c>
      <c r="O34" s="543">
        <v>0</v>
      </c>
      <c r="P34" s="543">
        <v>0</v>
      </c>
      <c r="Q34" s="517"/>
      <c r="R34" s="520">
        <v>0</v>
      </c>
      <c r="S34" s="520">
        <v>0</v>
      </c>
      <c r="T34" s="520">
        <v>0</v>
      </c>
      <c r="U34" s="517"/>
      <c r="V34" s="542">
        <v>0</v>
      </c>
      <c r="W34" s="543">
        <v>0</v>
      </c>
    </row>
    <row r="35" spans="1:23" x14ac:dyDescent="0.25">
      <c r="A35">
        <v>30</v>
      </c>
      <c r="B35" t="s">
        <v>59</v>
      </c>
      <c r="D35" t="s">
        <v>16</v>
      </c>
      <c r="F35" s="520">
        <v>0</v>
      </c>
      <c r="G35" s="520">
        <v>0</v>
      </c>
      <c r="H35" s="520">
        <v>0</v>
      </c>
      <c r="I35" s="517"/>
      <c r="J35" s="520">
        <v>0</v>
      </c>
      <c r="K35" s="520">
        <v>0</v>
      </c>
      <c r="L35" s="520">
        <v>0</v>
      </c>
      <c r="M35" s="517"/>
      <c r="N35" s="542">
        <v>0</v>
      </c>
      <c r="O35" s="543">
        <v>0</v>
      </c>
      <c r="P35" s="543">
        <v>0</v>
      </c>
      <c r="Q35" s="517"/>
      <c r="R35" s="520">
        <v>0</v>
      </c>
      <c r="S35" s="520">
        <v>0</v>
      </c>
      <c r="T35" s="520">
        <v>0</v>
      </c>
      <c r="U35" s="517"/>
      <c r="V35" s="542">
        <v>0</v>
      </c>
      <c r="W35" s="543">
        <v>0</v>
      </c>
    </row>
    <row r="36" spans="1:23" x14ac:dyDescent="0.25">
      <c r="A36">
        <v>31</v>
      </c>
      <c r="B36" t="s">
        <v>60</v>
      </c>
      <c r="D36" t="s">
        <v>26</v>
      </c>
      <c r="F36" s="520">
        <v>0</v>
      </c>
      <c r="G36" s="520">
        <v>0</v>
      </c>
      <c r="H36" s="520">
        <v>0</v>
      </c>
      <c r="I36" s="517"/>
      <c r="J36" s="520">
        <v>0</v>
      </c>
      <c r="K36" s="520">
        <v>0</v>
      </c>
      <c r="L36" s="520">
        <v>0</v>
      </c>
      <c r="M36" s="517"/>
      <c r="N36" s="542">
        <v>0</v>
      </c>
      <c r="O36" s="543">
        <v>0</v>
      </c>
      <c r="P36" s="543">
        <v>0</v>
      </c>
      <c r="Q36" s="517"/>
      <c r="R36" s="520">
        <v>0</v>
      </c>
      <c r="S36" s="520">
        <v>0</v>
      </c>
      <c r="T36" s="520">
        <v>0</v>
      </c>
      <c r="U36" s="517"/>
      <c r="V36" s="542">
        <v>0</v>
      </c>
      <c r="W36" s="543">
        <v>0</v>
      </c>
    </row>
    <row r="37" spans="1:23" x14ac:dyDescent="0.25">
      <c r="A37">
        <v>32</v>
      </c>
      <c r="B37" t="s">
        <v>61</v>
      </c>
      <c r="C37" t="s">
        <v>15</v>
      </c>
      <c r="D37" t="s">
        <v>43</v>
      </c>
      <c r="F37" s="520">
        <v>0</v>
      </c>
      <c r="G37" s="520">
        <v>0</v>
      </c>
      <c r="H37" s="520">
        <v>0</v>
      </c>
      <c r="I37" s="517"/>
      <c r="J37" s="520">
        <v>0</v>
      </c>
      <c r="K37" s="520">
        <v>0</v>
      </c>
      <c r="L37" s="520">
        <v>0</v>
      </c>
      <c r="M37" s="517"/>
      <c r="N37" s="542">
        <v>0</v>
      </c>
      <c r="O37" s="543">
        <v>0</v>
      </c>
      <c r="P37" s="543">
        <v>0</v>
      </c>
      <c r="Q37" s="517"/>
      <c r="R37" s="520">
        <v>0</v>
      </c>
      <c r="S37" s="520">
        <v>0</v>
      </c>
      <c r="T37" s="520">
        <v>0</v>
      </c>
      <c r="U37" s="517"/>
      <c r="V37" s="542">
        <v>0</v>
      </c>
      <c r="W37" s="543">
        <v>0</v>
      </c>
    </row>
    <row r="38" spans="1:23" x14ac:dyDescent="0.25">
      <c r="A38">
        <v>33</v>
      </c>
      <c r="B38" t="s">
        <v>62</v>
      </c>
      <c r="C38" t="s">
        <v>41</v>
      </c>
      <c r="D38" t="s">
        <v>16</v>
      </c>
      <c r="F38" s="520">
        <v>2</v>
      </c>
      <c r="G38" s="520">
        <v>22435</v>
      </c>
      <c r="H38" s="520">
        <v>60</v>
      </c>
      <c r="I38" s="517"/>
      <c r="J38" s="520">
        <v>0</v>
      </c>
      <c r="K38" s="520">
        <v>0</v>
      </c>
      <c r="L38" s="520">
        <v>0</v>
      </c>
      <c r="M38" s="517"/>
      <c r="N38" s="542">
        <v>2</v>
      </c>
      <c r="O38" s="543">
        <v>22435</v>
      </c>
      <c r="P38" s="543">
        <v>60</v>
      </c>
      <c r="Q38" s="517"/>
      <c r="R38" s="520">
        <v>0</v>
      </c>
      <c r="S38" s="520">
        <v>0</v>
      </c>
      <c r="T38" s="520">
        <v>0</v>
      </c>
      <c r="U38" s="517"/>
      <c r="V38" s="542">
        <v>2</v>
      </c>
      <c r="W38" s="543">
        <v>22435</v>
      </c>
    </row>
    <row r="39" spans="1:23" x14ac:dyDescent="0.25">
      <c r="A39">
        <v>34</v>
      </c>
      <c r="B39" t="s">
        <v>63</v>
      </c>
      <c r="C39" t="s">
        <v>41</v>
      </c>
      <c r="D39" t="s">
        <v>16</v>
      </c>
      <c r="F39" s="520">
        <v>0</v>
      </c>
      <c r="G39" s="520">
        <v>0</v>
      </c>
      <c r="H39" s="520">
        <v>0</v>
      </c>
      <c r="I39" s="517"/>
      <c r="J39" s="520">
        <v>0</v>
      </c>
      <c r="K39" s="520">
        <v>0</v>
      </c>
      <c r="L39" s="520">
        <v>0</v>
      </c>
      <c r="M39" s="517"/>
      <c r="N39" s="542">
        <v>0</v>
      </c>
      <c r="O39" s="543">
        <v>0</v>
      </c>
      <c r="P39" s="543">
        <v>0</v>
      </c>
      <c r="Q39" s="517"/>
      <c r="R39" s="520">
        <v>0</v>
      </c>
      <c r="S39" s="520">
        <v>0</v>
      </c>
      <c r="T39" s="520">
        <v>0</v>
      </c>
      <c r="U39" s="517"/>
      <c r="V39" s="542">
        <v>0</v>
      </c>
      <c r="W39" s="543">
        <v>0</v>
      </c>
    </row>
    <row r="40" spans="1:23" x14ac:dyDescent="0.25">
      <c r="A40">
        <v>35</v>
      </c>
      <c r="B40" t="s">
        <v>64</v>
      </c>
      <c r="C40" t="s">
        <v>41</v>
      </c>
      <c r="D40" t="s">
        <v>16</v>
      </c>
      <c r="F40" s="520">
        <v>0</v>
      </c>
      <c r="G40" s="520">
        <v>0</v>
      </c>
      <c r="H40" s="520">
        <v>0</v>
      </c>
      <c r="I40" s="517"/>
      <c r="J40" s="520">
        <v>0</v>
      </c>
      <c r="K40" s="520">
        <v>0</v>
      </c>
      <c r="L40" s="520">
        <v>0</v>
      </c>
      <c r="M40" s="517"/>
      <c r="N40" s="542">
        <v>0</v>
      </c>
      <c r="O40" s="543">
        <v>0</v>
      </c>
      <c r="P40" s="543">
        <v>0</v>
      </c>
      <c r="Q40" s="517"/>
      <c r="R40" s="520">
        <v>0</v>
      </c>
      <c r="S40" s="520">
        <v>0</v>
      </c>
      <c r="T40" s="520">
        <v>0</v>
      </c>
      <c r="U40" s="517"/>
      <c r="V40" s="542">
        <v>0</v>
      </c>
      <c r="W40" s="543">
        <v>0</v>
      </c>
    </row>
    <row r="41" spans="1:23" x14ac:dyDescent="0.25">
      <c r="A41">
        <v>36</v>
      </c>
      <c r="B41" t="s">
        <v>65</v>
      </c>
      <c r="C41" t="s">
        <v>41</v>
      </c>
      <c r="D41" t="s">
        <v>16</v>
      </c>
      <c r="F41" s="520">
        <v>0</v>
      </c>
      <c r="G41" s="520">
        <v>0</v>
      </c>
      <c r="H41" s="520">
        <v>0</v>
      </c>
      <c r="I41" s="517"/>
      <c r="J41" s="520">
        <v>0</v>
      </c>
      <c r="K41" s="520">
        <v>0</v>
      </c>
      <c r="L41" s="520">
        <v>0</v>
      </c>
      <c r="M41" s="517"/>
      <c r="N41" s="542">
        <v>0</v>
      </c>
      <c r="O41" s="543">
        <v>0</v>
      </c>
      <c r="P41" s="543">
        <v>0</v>
      </c>
      <c r="Q41" s="517"/>
      <c r="R41" s="520">
        <v>0</v>
      </c>
      <c r="S41" s="520">
        <v>0</v>
      </c>
      <c r="T41" s="520">
        <v>0</v>
      </c>
      <c r="U41" s="517"/>
      <c r="V41" s="542">
        <v>0</v>
      </c>
      <c r="W41" s="543">
        <v>0</v>
      </c>
    </row>
    <row r="42" spans="1:23" x14ac:dyDescent="0.25">
      <c r="A42">
        <v>37</v>
      </c>
      <c r="B42" t="s">
        <v>66</v>
      </c>
      <c r="C42" t="s">
        <v>41</v>
      </c>
      <c r="D42" t="s">
        <v>16</v>
      </c>
      <c r="F42" s="520">
        <v>0</v>
      </c>
      <c r="G42" s="520">
        <v>0</v>
      </c>
      <c r="H42" s="520">
        <v>0</v>
      </c>
      <c r="I42" s="517"/>
      <c r="J42" s="520">
        <v>0</v>
      </c>
      <c r="K42" s="520">
        <v>0</v>
      </c>
      <c r="L42" s="520">
        <v>0</v>
      </c>
      <c r="M42" s="517"/>
      <c r="N42" s="542">
        <v>0</v>
      </c>
      <c r="O42" s="543">
        <v>0</v>
      </c>
      <c r="P42" s="543">
        <v>0</v>
      </c>
      <c r="Q42" s="517"/>
      <c r="R42" s="520">
        <v>0</v>
      </c>
      <c r="S42" s="520">
        <v>0</v>
      </c>
      <c r="T42" s="520">
        <v>0</v>
      </c>
      <c r="U42" s="517"/>
      <c r="V42" s="542">
        <v>0</v>
      </c>
      <c r="W42" s="543">
        <v>0</v>
      </c>
    </row>
    <row r="43" spans="1:23" x14ac:dyDescent="0.25">
      <c r="A43">
        <v>38</v>
      </c>
      <c r="B43" t="s">
        <v>67</v>
      </c>
      <c r="C43" t="s">
        <v>41</v>
      </c>
      <c r="D43" t="s">
        <v>16</v>
      </c>
      <c r="F43" s="520">
        <v>0</v>
      </c>
      <c r="G43" s="520">
        <v>0</v>
      </c>
      <c r="H43" s="520">
        <v>0</v>
      </c>
      <c r="I43" s="517"/>
      <c r="J43" s="520">
        <v>0</v>
      </c>
      <c r="K43" s="520">
        <v>0</v>
      </c>
      <c r="L43" s="520">
        <v>0</v>
      </c>
      <c r="M43" s="517"/>
      <c r="N43" s="542">
        <v>0</v>
      </c>
      <c r="O43" s="543">
        <v>0</v>
      </c>
      <c r="P43" s="543">
        <v>0</v>
      </c>
      <c r="Q43" s="517"/>
      <c r="R43" s="520">
        <v>0</v>
      </c>
      <c r="S43" s="520">
        <v>0</v>
      </c>
      <c r="T43" s="520">
        <v>0</v>
      </c>
      <c r="U43" s="517"/>
      <c r="V43" s="542">
        <v>0</v>
      </c>
      <c r="W43" s="543">
        <v>0</v>
      </c>
    </row>
    <row r="44" spans="1:23" x14ac:dyDescent="0.25">
      <c r="A44">
        <v>39</v>
      </c>
      <c r="B44" t="s">
        <v>68</v>
      </c>
      <c r="C44" t="s">
        <v>15</v>
      </c>
      <c r="D44" t="s">
        <v>16</v>
      </c>
      <c r="F44" s="520">
        <v>0</v>
      </c>
      <c r="G44" s="520">
        <v>0</v>
      </c>
      <c r="H44" s="520">
        <v>0</v>
      </c>
      <c r="I44" s="517"/>
      <c r="J44" s="520">
        <v>0</v>
      </c>
      <c r="K44" s="520">
        <v>0</v>
      </c>
      <c r="L44" s="520">
        <v>0</v>
      </c>
      <c r="M44" s="517"/>
      <c r="N44" s="542">
        <v>0</v>
      </c>
      <c r="O44" s="543">
        <v>0</v>
      </c>
      <c r="P44" s="543">
        <v>0</v>
      </c>
      <c r="Q44" s="517"/>
      <c r="R44" s="520">
        <v>0</v>
      </c>
      <c r="S44" s="520">
        <v>0</v>
      </c>
      <c r="T44" s="520">
        <v>0</v>
      </c>
      <c r="U44" s="517"/>
      <c r="V44" s="542">
        <v>0</v>
      </c>
      <c r="W44" s="543">
        <v>0</v>
      </c>
    </row>
    <row r="45" spans="1:23" x14ac:dyDescent="0.25">
      <c r="A45">
        <v>40</v>
      </c>
      <c r="B45" t="s">
        <v>69</v>
      </c>
      <c r="C45" t="s">
        <v>25</v>
      </c>
      <c r="D45" t="s">
        <v>16</v>
      </c>
      <c r="F45" s="520">
        <v>0</v>
      </c>
      <c r="G45" s="520">
        <v>0</v>
      </c>
      <c r="H45" s="520">
        <v>0</v>
      </c>
      <c r="I45" s="517"/>
      <c r="J45" s="520">
        <v>0</v>
      </c>
      <c r="K45" s="520">
        <v>0</v>
      </c>
      <c r="L45" s="520">
        <v>0</v>
      </c>
      <c r="M45" s="517"/>
      <c r="N45" s="542">
        <v>0</v>
      </c>
      <c r="O45" s="543">
        <v>0</v>
      </c>
      <c r="P45" s="543">
        <v>0</v>
      </c>
      <c r="Q45" s="517"/>
      <c r="R45" s="520">
        <v>0</v>
      </c>
      <c r="S45" s="520">
        <v>0</v>
      </c>
      <c r="T45" s="520">
        <v>0</v>
      </c>
      <c r="U45" s="517"/>
      <c r="V45" s="542">
        <v>0</v>
      </c>
      <c r="W45" s="543">
        <v>0</v>
      </c>
    </row>
    <row r="46" spans="1:23" x14ac:dyDescent="0.25">
      <c r="A46">
        <v>41</v>
      </c>
      <c r="B46" t="s">
        <v>70</v>
      </c>
      <c r="C46" t="s">
        <v>51</v>
      </c>
      <c r="D46" t="s">
        <v>16</v>
      </c>
      <c r="F46" s="520">
        <v>0</v>
      </c>
      <c r="G46" s="520">
        <v>0</v>
      </c>
      <c r="H46" s="520">
        <v>0</v>
      </c>
      <c r="I46" s="517"/>
      <c r="J46" s="520">
        <v>0</v>
      </c>
      <c r="K46" s="520">
        <v>0</v>
      </c>
      <c r="L46" s="520">
        <v>0</v>
      </c>
      <c r="M46" s="517"/>
      <c r="N46" s="542">
        <v>0</v>
      </c>
      <c r="O46" s="543">
        <v>0</v>
      </c>
      <c r="P46" s="543">
        <v>0</v>
      </c>
      <c r="Q46" s="517"/>
      <c r="R46" s="520">
        <v>0</v>
      </c>
      <c r="S46" s="520">
        <v>0</v>
      </c>
      <c r="T46" s="520">
        <v>0</v>
      </c>
      <c r="U46" s="517"/>
      <c r="V46" s="542">
        <v>0</v>
      </c>
      <c r="W46" s="543">
        <v>0</v>
      </c>
    </row>
    <row r="47" spans="1:23" x14ac:dyDescent="0.25">
      <c r="A47">
        <v>42</v>
      </c>
      <c r="B47" t="s">
        <v>71</v>
      </c>
      <c r="C47" t="s">
        <v>41</v>
      </c>
      <c r="D47" t="s">
        <v>16</v>
      </c>
      <c r="F47" s="520">
        <v>19</v>
      </c>
      <c r="G47" s="520">
        <v>221322</v>
      </c>
      <c r="H47" s="520">
        <v>570</v>
      </c>
      <c r="I47" s="517"/>
      <c r="J47" s="520">
        <v>0</v>
      </c>
      <c r="K47" s="520">
        <v>0</v>
      </c>
      <c r="L47" s="520">
        <v>0</v>
      </c>
      <c r="M47" s="517"/>
      <c r="N47" s="542">
        <v>19</v>
      </c>
      <c r="O47" s="543">
        <v>221322</v>
      </c>
      <c r="P47" s="543">
        <v>570</v>
      </c>
      <c r="Q47" s="517"/>
      <c r="R47" s="520">
        <v>0</v>
      </c>
      <c r="S47" s="520">
        <v>0</v>
      </c>
      <c r="T47" s="520">
        <v>0</v>
      </c>
      <c r="U47" s="517"/>
      <c r="V47" s="542">
        <v>19</v>
      </c>
      <c r="W47" s="543">
        <v>221322</v>
      </c>
    </row>
    <row r="48" spans="1:23" x14ac:dyDescent="0.25">
      <c r="A48">
        <v>43</v>
      </c>
      <c r="B48" t="s">
        <v>72</v>
      </c>
      <c r="C48" t="s">
        <v>41</v>
      </c>
      <c r="D48" t="s">
        <v>16</v>
      </c>
      <c r="F48" s="520">
        <v>16</v>
      </c>
      <c r="G48" s="520">
        <v>183296</v>
      </c>
      <c r="H48" s="520">
        <v>480</v>
      </c>
      <c r="I48" s="517"/>
      <c r="J48" s="520">
        <v>0</v>
      </c>
      <c r="K48" s="520">
        <v>0</v>
      </c>
      <c r="L48" s="520">
        <v>0</v>
      </c>
      <c r="M48" s="517"/>
      <c r="N48" s="542">
        <v>16</v>
      </c>
      <c r="O48" s="543">
        <v>183296</v>
      </c>
      <c r="P48" s="543">
        <v>480</v>
      </c>
      <c r="Q48" s="517"/>
      <c r="R48" s="520">
        <v>0</v>
      </c>
      <c r="S48" s="520">
        <v>0</v>
      </c>
      <c r="T48" s="520">
        <v>0</v>
      </c>
      <c r="U48" s="517"/>
      <c r="V48" s="542">
        <v>16</v>
      </c>
      <c r="W48" s="543">
        <v>183296</v>
      </c>
    </row>
    <row r="49" spans="1:23" x14ac:dyDescent="0.25">
      <c r="A49">
        <v>44</v>
      </c>
      <c r="B49" t="s">
        <v>73</v>
      </c>
      <c r="C49" t="s">
        <v>18</v>
      </c>
      <c r="D49" t="s">
        <v>16</v>
      </c>
      <c r="F49" s="520">
        <v>0</v>
      </c>
      <c r="G49" s="520">
        <v>0</v>
      </c>
      <c r="H49" s="520">
        <v>0</v>
      </c>
      <c r="I49" s="517"/>
      <c r="J49" s="520">
        <v>0</v>
      </c>
      <c r="K49" s="520">
        <v>0</v>
      </c>
      <c r="L49" s="520">
        <v>0</v>
      </c>
      <c r="M49" s="517"/>
      <c r="N49" s="542">
        <v>0</v>
      </c>
      <c r="O49" s="543">
        <v>0</v>
      </c>
      <c r="P49" s="543">
        <v>0</v>
      </c>
      <c r="Q49" s="517"/>
      <c r="R49" s="520">
        <v>0</v>
      </c>
      <c r="S49" s="520">
        <v>0</v>
      </c>
      <c r="T49" s="520">
        <v>0</v>
      </c>
      <c r="U49" s="517"/>
      <c r="V49" s="542">
        <v>0</v>
      </c>
      <c r="W49" s="543">
        <v>0</v>
      </c>
    </row>
    <row r="50" spans="1:23" x14ac:dyDescent="0.25">
      <c r="A50">
        <v>45</v>
      </c>
      <c r="B50" t="s">
        <v>74</v>
      </c>
      <c r="C50" t="s">
        <v>51</v>
      </c>
      <c r="D50" t="s">
        <v>16</v>
      </c>
      <c r="F50" s="520">
        <v>0</v>
      </c>
      <c r="G50" s="520">
        <v>0</v>
      </c>
      <c r="H50" s="520">
        <v>0</v>
      </c>
      <c r="I50" s="517"/>
      <c r="J50" s="520">
        <v>0</v>
      </c>
      <c r="K50" s="520">
        <v>0</v>
      </c>
      <c r="L50" s="520">
        <v>0</v>
      </c>
      <c r="M50" s="517"/>
      <c r="N50" s="542">
        <v>0</v>
      </c>
      <c r="O50" s="543">
        <v>0</v>
      </c>
      <c r="P50" s="543">
        <v>0</v>
      </c>
      <c r="Q50" s="517"/>
      <c r="R50" s="520">
        <v>0</v>
      </c>
      <c r="S50" s="520">
        <v>0</v>
      </c>
      <c r="T50" s="520">
        <v>0</v>
      </c>
      <c r="U50" s="517"/>
      <c r="V50" s="542">
        <v>0</v>
      </c>
      <c r="W50" s="543">
        <v>0</v>
      </c>
    </row>
    <row r="51" spans="1:23" x14ac:dyDescent="0.25">
      <c r="A51">
        <v>46</v>
      </c>
      <c r="B51" t="s">
        <v>75</v>
      </c>
      <c r="C51" t="s">
        <v>41</v>
      </c>
      <c r="D51" t="s">
        <v>16</v>
      </c>
      <c r="F51" s="520">
        <v>0</v>
      </c>
      <c r="G51" s="520">
        <v>0</v>
      </c>
      <c r="H51" s="520">
        <v>0</v>
      </c>
      <c r="I51" s="517"/>
      <c r="J51" s="520">
        <v>0</v>
      </c>
      <c r="K51" s="520">
        <v>0</v>
      </c>
      <c r="L51" s="520">
        <v>0</v>
      </c>
      <c r="M51" s="517"/>
      <c r="N51" s="542">
        <v>0</v>
      </c>
      <c r="O51" s="543">
        <v>0</v>
      </c>
      <c r="P51" s="543">
        <v>0</v>
      </c>
      <c r="Q51" s="517"/>
      <c r="R51" s="520">
        <v>0</v>
      </c>
      <c r="S51" s="520">
        <v>0</v>
      </c>
      <c r="T51" s="520">
        <v>0</v>
      </c>
      <c r="U51" s="517"/>
      <c r="V51" s="542">
        <v>0</v>
      </c>
      <c r="W51" s="543">
        <v>0</v>
      </c>
    </row>
    <row r="52" spans="1:23" x14ac:dyDescent="0.25">
      <c r="A52">
        <v>47</v>
      </c>
      <c r="B52" t="s">
        <v>76</v>
      </c>
      <c r="C52" t="s">
        <v>41</v>
      </c>
      <c r="D52" t="s">
        <v>16</v>
      </c>
      <c r="F52" s="520">
        <v>0</v>
      </c>
      <c r="G52" s="520">
        <v>0</v>
      </c>
      <c r="H52" s="520">
        <v>0</v>
      </c>
      <c r="I52" s="517"/>
      <c r="J52" s="520">
        <v>0</v>
      </c>
      <c r="K52" s="520">
        <v>0</v>
      </c>
      <c r="L52" s="520">
        <v>0</v>
      </c>
      <c r="M52" s="517"/>
      <c r="N52" s="542">
        <v>0</v>
      </c>
      <c r="O52" s="543">
        <v>0</v>
      </c>
      <c r="P52" s="543">
        <v>0</v>
      </c>
      <c r="Q52" s="517"/>
      <c r="R52" s="520">
        <v>0</v>
      </c>
      <c r="S52" s="520">
        <v>0</v>
      </c>
      <c r="T52" s="520">
        <v>0</v>
      </c>
      <c r="U52" s="517"/>
      <c r="V52" s="542">
        <v>0</v>
      </c>
      <c r="W52" s="543">
        <v>0</v>
      </c>
    </row>
    <row r="53" spans="1:23" x14ac:dyDescent="0.25">
      <c r="A53">
        <v>48</v>
      </c>
      <c r="B53" t="s">
        <v>77</v>
      </c>
      <c r="C53" t="s">
        <v>78</v>
      </c>
      <c r="D53" t="s">
        <v>16</v>
      </c>
      <c r="F53" s="520">
        <v>0</v>
      </c>
      <c r="G53" s="520">
        <v>0</v>
      </c>
      <c r="H53" s="520">
        <v>0</v>
      </c>
      <c r="I53" s="517"/>
      <c r="J53" s="520">
        <v>0</v>
      </c>
      <c r="K53" s="520">
        <v>0</v>
      </c>
      <c r="L53" s="520">
        <v>0</v>
      </c>
      <c r="M53" s="517"/>
      <c r="N53" s="542">
        <v>0</v>
      </c>
      <c r="O53" s="543">
        <v>0</v>
      </c>
      <c r="P53" s="543">
        <v>0</v>
      </c>
      <c r="Q53" s="517"/>
      <c r="R53" s="520">
        <v>0</v>
      </c>
      <c r="S53" s="520">
        <v>0</v>
      </c>
      <c r="T53" s="520">
        <v>0</v>
      </c>
      <c r="U53" s="517"/>
      <c r="V53" s="542">
        <v>0</v>
      </c>
      <c r="W53" s="543">
        <v>0</v>
      </c>
    </row>
    <row r="54" spans="1:23" x14ac:dyDescent="0.25">
      <c r="A54">
        <v>49</v>
      </c>
      <c r="B54" t="s">
        <v>79</v>
      </c>
      <c r="C54" t="s">
        <v>15</v>
      </c>
      <c r="D54" t="s">
        <v>16</v>
      </c>
      <c r="F54" s="520">
        <v>1</v>
      </c>
      <c r="G54" s="520">
        <v>1000</v>
      </c>
      <c r="H54" s="520">
        <v>50</v>
      </c>
      <c r="I54" s="517"/>
      <c r="J54" s="520">
        <v>0</v>
      </c>
      <c r="K54" s="520">
        <v>0</v>
      </c>
      <c r="L54" s="520">
        <v>0</v>
      </c>
      <c r="M54" s="517"/>
      <c r="N54" s="542">
        <v>1</v>
      </c>
      <c r="O54" s="543">
        <v>1000</v>
      </c>
      <c r="P54" s="543">
        <v>50</v>
      </c>
      <c r="Q54" s="517"/>
      <c r="R54" s="520">
        <v>0</v>
      </c>
      <c r="S54" s="520">
        <v>0</v>
      </c>
      <c r="T54" s="520">
        <v>0</v>
      </c>
      <c r="U54" s="517"/>
      <c r="V54" s="542">
        <v>1</v>
      </c>
      <c r="W54" s="543">
        <v>1000</v>
      </c>
    </row>
    <row r="55" spans="1:23" x14ac:dyDescent="0.25">
      <c r="A55">
        <v>50</v>
      </c>
      <c r="B55" t="s">
        <v>80</v>
      </c>
      <c r="D55" t="s">
        <v>16</v>
      </c>
      <c r="F55" s="520">
        <v>0</v>
      </c>
      <c r="G55" s="520">
        <v>0</v>
      </c>
      <c r="H55" s="520">
        <v>0</v>
      </c>
      <c r="I55" s="517"/>
      <c r="J55" s="520">
        <v>0</v>
      </c>
      <c r="K55" s="520">
        <v>0</v>
      </c>
      <c r="L55" s="520">
        <v>0</v>
      </c>
      <c r="M55" s="517"/>
      <c r="N55" s="542">
        <v>0</v>
      </c>
      <c r="O55" s="543">
        <v>0</v>
      </c>
      <c r="P55" s="543">
        <v>0</v>
      </c>
      <c r="Q55" s="517"/>
      <c r="R55" s="520">
        <v>0</v>
      </c>
      <c r="S55" s="520">
        <v>0</v>
      </c>
      <c r="T55" s="520">
        <v>0</v>
      </c>
      <c r="U55" s="517"/>
      <c r="V55" s="542">
        <v>0</v>
      </c>
      <c r="W55" s="543">
        <v>0</v>
      </c>
    </row>
    <row r="56" spans="1:23" x14ac:dyDescent="0.25">
      <c r="A56">
        <v>51</v>
      </c>
      <c r="B56" t="s">
        <v>81</v>
      </c>
      <c r="C56" t="s">
        <v>18</v>
      </c>
      <c r="D56" t="s">
        <v>16</v>
      </c>
      <c r="F56" s="520">
        <v>1</v>
      </c>
      <c r="G56" s="520">
        <v>3000</v>
      </c>
      <c r="H56" s="520">
        <v>50</v>
      </c>
      <c r="I56" s="517"/>
      <c r="J56" s="520">
        <v>0</v>
      </c>
      <c r="K56" s="520">
        <v>0</v>
      </c>
      <c r="L56" s="520">
        <v>0</v>
      </c>
      <c r="M56" s="517"/>
      <c r="N56" s="542">
        <v>1</v>
      </c>
      <c r="O56" s="543">
        <v>3000</v>
      </c>
      <c r="P56" s="543">
        <v>50</v>
      </c>
      <c r="Q56" s="517"/>
      <c r="R56" s="520">
        <v>0</v>
      </c>
      <c r="S56" s="520">
        <v>0</v>
      </c>
      <c r="T56" s="520">
        <v>0</v>
      </c>
      <c r="U56" s="517"/>
      <c r="V56" s="542">
        <v>1</v>
      </c>
      <c r="W56" s="543">
        <v>3000</v>
      </c>
    </row>
    <row r="57" spans="1:23" x14ac:dyDescent="0.25">
      <c r="A57">
        <v>52</v>
      </c>
      <c r="B57" t="s">
        <v>82</v>
      </c>
      <c r="C57" t="s">
        <v>51</v>
      </c>
      <c r="D57" t="s">
        <v>16</v>
      </c>
      <c r="F57" s="520">
        <v>0</v>
      </c>
      <c r="G57" s="520">
        <v>0</v>
      </c>
      <c r="H57" s="520">
        <v>0</v>
      </c>
      <c r="I57" s="517"/>
      <c r="J57" s="520">
        <v>0</v>
      </c>
      <c r="K57" s="520">
        <v>0</v>
      </c>
      <c r="L57" s="520">
        <v>0</v>
      </c>
      <c r="M57" s="517"/>
      <c r="N57" s="542">
        <v>0</v>
      </c>
      <c r="O57" s="543">
        <v>0</v>
      </c>
      <c r="P57" s="543">
        <v>0</v>
      </c>
      <c r="Q57" s="517"/>
      <c r="R57" s="520">
        <v>0</v>
      </c>
      <c r="S57" s="520">
        <v>0</v>
      </c>
      <c r="T57" s="520">
        <v>0</v>
      </c>
      <c r="U57" s="517"/>
      <c r="V57" s="542">
        <v>0</v>
      </c>
      <c r="W57" s="543">
        <v>0</v>
      </c>
    </row>
    <row r="58" spans="1:23" x14ac:dyDescent="0.25">
      <c r="A58">
        <v>53</v>
      </c>
      <c r="B58" t="s">
        <v>83</v>
      </c>
      <c r="D58" t="s">
        <v>16</v>
      </c>
      <c r="F58" s="520">
        <v>0</v>
      </c>
      <c r="G58" s="520">
        <v>0</v>
      </c>
      <c r="H58" s="520">
        <v>0</v>
      </c>
      <c r="I58" s="517"/>
      <c r="J58" s="520">
        <v>0</v>
      </c>
      <c r="K58" s="520">
        <v>0</v>
      </c>
      <c r="L58" s="520">
        <v>0</v>
      </c>
      <c r="M58" s="517"/>
      <c r="N58" s="542">
        <v>0</v>
      </c>
      <c r="O58" s="543">
        <v>0</v>
      </c>
      <c r="P58" s="543">
        <v>0</v>
      </c>
      <c r="Q58" s="517"/>
      <c r="R58" s="520">
        <v>0</v>
      </c>
      <c r="S58" s="520">
        <v>0</v>
      </c>
      <c r="T58" s="520">
        <v>0</v>
      </c>
      <c r="U58" s="517"/>
      <c r="V58" s="542">
        <v>0</v>
      </c>
      <c r="W58" s="543">
        <v>0</v>
      </c>
    </row>
    <row r="59" spans="1:23" x14ac:dyDescent="0.25">
      <c r="A59">
        <v>54</v>
      </c>
      <c r="B59" t="s">
        <v>84</v>
      </c>
      <c r="C59" t="s">
        <v>18</v>
      </c>
      <c r="D59" t="s">
        <v>20</v>
      </c>
      <c r="F59" s="520">
        <v>3</v>
      </c>
      <c r="G59" s="520">
        <v>119314</v>
      </c>
      <c r="H59" s="520">
        <v>150</v>
      </c>
      <c r="I59" s="517"/>
      <c r="J59" s="520">
        <v>0</v>
      </c>
      <c r="K59" s="520">
        <v>0</v>
      </c>
      <c r="L59" s="520">
        <v>0</v>
      </c>
      <c r="M59" s="517"/>
      <c r="N59" s="542">
        <v>3</v>
      </c>
      <c r="O59" s="543">
        <v>119314</v>
      </c>
      <c r="P59" s="543">
        <v>150</v>
      </c>
      <c r="Q59" s="517"/>
      <c r="R59" s="520">
        <v>0</v>
      </c>
      <c r="S59" s="520">
        <v>0</v>
      </c>
      <c r="T59" s="520">
        <v>0</v>
      </c>
      <c r="U59" s="517"/>
      <c r="V59" s="542">
        <v>3</v>
      </c>
      <c r="W59" s="543">
        <v>119314</v>
      </c>
    </row>
    <row r="60" spans="1:23" x14ac:dyDescent="0.25">
      <c r="A60">
        <v>55</v>
      </c>
      <c r="B60" t="s">
        <v>85</v>
      </c>
      <c r="C60" t="s">
        <v>86</v>
      </c>
      <c r="D60" t="s">
        <v>87</v>
      </c>
      <c r="F60" s="520">
        <v>6</v>
      </c>
      <c r="G60" s="520">
        <v>27144</v>
      </c>
      <c r="H60" s="520">
        <v>120</v>
      </c>
      <c r="I60" s="517"/>
      <c r="J60" s="520">
        <v>0</v>
      </c>
      <c r="K60" s="520">
        <v>0</v>
      </c>
      <c r="L60" s="520">
        <v>0</v>
      </c>
      <c r="M60" s="517"/>
      <c r="N60" s="542">
        <v>6</v>
      </c>
      <c r="O60" s="543">
        <v>27144</v>
      </c>
      <c r="P60" s="543">
        <v>120</v>
      </c>
      <c r="Q60" s="517"/>
      <c r="R60" s="520">
        <v>0</v>
      </c>
      <c r="S60" s="520">
        <v>0</v>
      </c>
      <c r="T60" s="520">
        <v>0</v>
      </c>
      <c r="U60" s="517"/>
      <c r="V60" s="542">
        <v>6</v>
      </c>
      <c r="W60" s="543">
        <v>27144</v>
      </c>
    </row>
    <row r="61" spans="1:23" x14ac:dyDescent="0.25">
      <c r="A61">
        <v>56</v>
      </c>
      <c r="B61" t="s">
        <v>2961</v>
      </c>
      <c r="C61" t="s">
        <v>25</v>
      </c>
      <c r="D61" t="s">
        <v>16</v>
      </c>
      <c r="F61" s="520">
        <v>1</v>
      </c>
      <c r="G61" s="520">
        <v>10000</v>
      </c>
      <c r="H61" s="520">
        <v>50</v>
      </c>
      <c r="I61" s="517"/>
      <c r="J61" s="520">
        <v>0</v>
      </c>
      <c r="K61" s="520">
        <v>0</v>
      </c>
      <c r="L61" s="520">
        <v>0</v>
      </c>
      <c r="M61" s="517"/>
      <c r="N61" s="542">
        <v>1</v>
      </c>
      <c r="O61" s="543">
        <v>10000</v>
      </c>
      <c r="P61" s="543">
        <v>50</v>
      </c>
      <c r="Q61" s="517"/>
      <c r="R61" s="520">
        <v>0</v>
      </c>
      <c r="S61" s="520">
        <v>0</v>
      </c>
      <c r="T61" s="520">
        <v>0</v>
      </c>
      <c r="U61" s="517"/>
      <c r="V61" s="542">
        <v>1</v>
      </c>
      <c r="W61" s="543">
        <v>10000</v>
      </c>
    </row>
    <row r="62" spans="1:23" x14ac:dyDescent="0.25">
      <c r="A62">
        <v>57</v>
      </c>
      <c r="B62" t="s">
        <v>88</v>
      </c>
      <c r="D62" t="s">
        <v>16</v>
      </c>
      <c r="F62" s="520">
        <v>0</v>
      </c>
      <c r="G62" s="520">
        <v>0</v>
      </c>
      <c r="H62" s="520">
        <v>0</v>
      </c>
      <c r="I62" s="517"/>
      <c r="J62" s="520">
        <v>0</v>
      </c>
      <c r="K62" s="520">
        <v>0</v>
      </c>
      <c r="L62" s="520">
        <v>0</v>
      </c>
      <c r="M62" s="517"/>
      <c r="N62" s="542">
        <v>0</v>
      </c>
      <c r="O62" s="543">
        <v>0</v>
      </c>
      <c r="P62" s="543">
        <v>0</v>
      </c>
      <c r="Q62" s="517"/>
      <c r="R62" s="520">
        <v>0</v>
      </c>
      <c r="S62" s="520">
        <v>0</v>
      </c>
      <c r="T62" s="520">
        <v>0</v>
      </c>
      <c r="U62" s="517"/>
      <c r="V62" s="542">
        <v>0</v>
      </c>
      <c r="W62" s="543">
        <v>0</v>
      </c>
    </row>
    <row r="63" spans="1:23" x14ac:dyDescent="0.25">
      <c r="A63">
        <v>58</v>
      </c>
      <c r="B63" t="s">
        <v>89</v>
      </c>
      <c r="C63" t="s">
        <v>90</v>
      </c>
      <c r="D63" t="s">
        <v>16</v>
      </c>
      <c r="F63" s="520">
        <v>0</v>
      </c>
      <c r="G63" s="520">
        <v>0</v>
      </c>
      <c r="H63" s="520">
        <v>0</v>
      </c>
      <c r="I63" s="517"/>
      <c r="J63" s="520">
        <v>0</v>
      </c>
      <c r="K63" s="520">
        <v>0</v>
      </c>
      <c r="L63" s="520">
        <v>0</v>
      </c>
      <c r="M63" s="517"/>
      <c r="N63" s="542">
        <v>0</v>
      </c>
      <c r="O63" s="543">
        <v>0</v>
      </c>
      <c r="P63" s="543">
        <v>0</v>
      </c>
      <c r="Q63" s="517"/>
      <c r="R63" s="520">
        <v>0</v>
      </c>
      <c r="S63" s="520">
        <v>0</v>
      </c>
      <c r="T63" s="520">
        <v>0</v>
      </c>
      <c r="U63" s="517"/>
      <c r="V63" s="542">
        <v>0</v>
      </c>
      <c r="W63" s="543">
        <v>0</v>
      </c>
    </row>
    <row r="64" spans="1:23" x14ac:dyDescent="0.25">
      <c r="A64">
        <v>59</v>
      </c>
      <c r="B64" t="s">
        <v>91</v>
      </c>
      <c r="C64" t="s">
        <v>92</v>
      </c>
      <c r="D64" t="s">
        <v>16</v>
      </c>
      <c r="F64" s="520">
        <v>64</v>
      </c>
      <c r="G64" s="520">
        <v>113436.43</v>
      </c>
      <c r="H64" s="520">
        <v>640</v>
      </c>
      <c r="I64" s="517"/>
      <c r="J64" s="520">
        <v>0</v>
      </c>
      <c r="K64" s="520">
        <v>0</v>
      </c>
      <c r="L64" s="520">
        <v>0</v>
      </c>
      <c r="M64" s="517"/>
      <c r="N64" s="542">
        <v>64</v>
      </c>
      <c r="O64" s="543">
        <v>113436.43</v>
      </c>
      <c r="P64" s="543">
        <v>640</v>
      </c>
      <c r="Q64" s="517"/>
      <c r="R64" s="520">
        <v>0</v>
      </c>
      <c r="S64" s="520">
        <v>0</v>
      </c>
      <c r="T64" s="520">
        <v>0</v>
      </c>
      <c r="U64" s="517"/>
      <c r="V64" s="542">
        <v>64</v>
      </c>
      <c r="W64" s="543">
        <v>113436.43</v>
      </c>
    </row>
    <row r="65" spans="1:23" x14ac:dyDescent="0.25">
      <c r="A65">
        <v>60</v>
      </c>
      <c r="B65" t="s">
        <v>93</v>
      </c>
      <c r="C65" t="s">
        <v>18</v>
      </c>
      <c r="D65" t="s">
        <v>16</v>
      </c>
      <c r="F65" s="520">
        <v>18</v>
      </c>
      <c r="G65" s="520">
        <v>18467.37</v>
      </c>
      <c r="H65" s="520">
        <v>90</v>
      </c>
      <c r="I65" s="517"/>
      <c r="J65" s="520">
        <v>0</v>
      </c>
      <c r="K65" s="520">
        <v>0</v>
      </c>
      <c r="L65" s="520">
        <v>0</v>
      </c>
      <c r="M65" s="517"/>
      <c r="N65" s="542">
        <v>18</v>
      </c>
      <c r="O65" s="543">
        <v>18467.37</v>
      </c>
      <c r="P65" s="543">
        <v>90</v>
      </c>
      <c r="Q65" s="517"/>
      <c r="R65" s="520">
        <v>0</v>
      </c>
      <c r="S65" s="520">
        <v>0</v>
      </c>
      <c r="T65" s="520">
        <v>0</v>
      </c>
      <c r="U65" s="517"/>
      <c r="V65" s="542">
        <v>18</v>
      </c>
      <c r="W65" s="543">
        <v>18467.37</v>
      </c>
    </row>
    <row r="66" spans="1:23" x14ac:dyDescent="0.25">
      <c r="A66">
        <v>61</v>
      </c>
      <c r="B66" t="s">
        <v>94</v>
      </c>
      <c r="C66" t="s">
        <v>92</v>
      </c>
      <c r="D66" t="s">
        <v>16</v>
      </c>
      <c r="F66" s="520">
        <v>226</v>
      </c>
      <c r="G66" s="520">
        <v>735809.19</v>
      </c>
      <c r="H66" s="520">
        <v>2260</v>
      </c>
      <c r="I66" s="517"/>
      <c r="J66" s="520">
        <v>0</v>
      </c>
      <c r="K66" s="520">
        <v>0</v>
      </c>
      <c r="L66" s="520">
        <v>0</v>
      </c>
      <c r="M66" s="517"/>
      <c r="N66" s="542">
        <v>226</v>
      </c>
      <c r="O66" s="543">
        <v>735809.19</v>
      </c>
      <c r="P66" s="543">
        <v>2260</v>
      </c>
      <c r="Q66" s="517"/>
      <c r="R66" s="520">
        <v>0</v>
      </c>
      <c r="S66" s="520">
        <v>0</v>
      </c>
      <c r="T66" s="520">
        <v>0</v>
      </c>
      <c r="U66" s="517"/>
      <c r="V66" s="542">
        <v>226</v>
      </c>
      <c r="W66" s="543">
        <v>735809.19</v>
      </c>
    </row>
    <row r="67" spans="1:23" x14ac:dyDescent="0.25">
      <c r="A67">
        <v>62</v>
      </c>
      <c r="B67" t="s">
        <v>95</v>
      </c>
      <c r="D67" t="s">
        <v>16</v>
      </c>
      <c r="F67" s="520">
        <v>0</v>
      </c>
      <c r="G67" s="520">
        <v>0</v>
      </c>
      <c r="H67" s="520">
        <v>0</v>
      </c>
      <c r="I67" s="517"/>
      <c r="J67" s="520">
        <v>0</v>
      </c>
      <c r="K67" s="520">
        <v>0</v>
      </c>
      <c r="L67" s="520">
        <v>0</v>
      </c>
      <c r="M67" s="517"/>
      <c r="N67" s="542">
        <v>0</v>
      </c>
      <c r="O67" s="543">
        <v>0</v>
      </c>
      <c r="P67" s="543">
        <v>0</v>
      </c>
      <c r="Q67" s="517"/>
      <c r="R67" s="520">
        <v>0</v>
      </c>
      <c r="S67" s="520">
        <v>0</v>
      </c>
      <c r="T67" s="520">
        <v>0</v>
      </c>
      <c r="U67" s="517"/>
      <c r="V67" s="542">
        <v>0</v>
      </c>
      <c r="W67" s="543">
        <v>0</v>
      </c>
    </row>
    <row r="68" spans="1:23" x14ac:dyDescent="0.25">
      <c r="A68">
        <v>63</v>
      </c>
      <c r="B68" t="s">
        <v>96</v>
      </c>
      <c r="C68" t="s">
        <v>92</v>
      </c>
      <c r="D68" t="s">
        <v>16</v>
      </c>
      <c r="F68" s="520">
        <v>47</v>
      </c>
      <c r="G68" s="520">
        <v>40562.559999999998</v>
      </c>
      <c r="H68" s="520">
        <v>470</v>
      </c>
      <c r="I68" s="517"/>
      <c r="J68" s="520">
        <v>0</v>
      </c>
      <c r="K68" s="520">
        <v>0</v>
      </c>
      <c r="L68" s="520">
        <v>0</v>
      </c>
      <c r="M68" s="517"/>
      <c r="N68" s="542">
        <v>47</v>
      </c>
      <c r="O68" s="543">
        <v>40562.559999999998</v>
      </c>
      <c r="P68" s="543">
        <v>470</v>
      </c>
      <c r="Q68" s="517"/>
      <c r="R68" s="520">
        <v>0</v>
      </c>
      <c r="S68" s="520">
        <v>0</v>
      </c>
      <c r="T68" s="520">
        <v>0</v>
      </c>
      <c r="U68" s="517"/>
      <c r="V68" s="542">
        <v>47</v>
      </c>
      <c r="W68" s="543">
        <v>40562.559999999998</v>
      </c>
    </row>
    <row r="69" spans="1:23" x14ac:dyDescent="0.25">
      <c r="A69">
        <v>64</v>
      </c>
      <c r="B69" t="s">
        <v>97</v>
      </c>
      <c r="C69" t="s">
        <v>98</v>
      </c>
      <c r="D69" t="s">
        <v>20</v>
      </c>
      <c r="F69" s="520">
        <v>0</v>
      </c>
      <c r="G69" s="520">
        <v>0</v>
      </c>
      <c r="H69" s="520">
        <v>0</v>
      </c>
      <c r="I69" s="517"/>
      <c r="J69" s="520">
        <v>0</v>
      </c>
      <c r="K69" s="520">
        <v>0</v>
      </c>
      <c r="L69" s="520">
        <v>0</v>
      </c>
      <c r="M69" s="517"/>
      <c r="N69" s="542">
        <v>0</v>
      </c>
      <c r="O69" s="543">
        <v>0</v>
      </c>
      <c r="P69" s="543">
        <v>0</v>
      </c>
      <c r="Q69" s="517"/>
      <c r="R69" s="520">
        <v>0</v>
      </c>
      <c r="S69" s="520">
        <v>0</v>
      </c>
      <c r="T69" s="520">
        <v>0</v>
      </c>
      <c r="U69" s="517"/>
      <c r="V69" s="542">
        <v>0</v>
      </c>
      <c r="W69" s="543">
        <v>0</v>
      </c>
    </row>
    <row r="70" spans="1:23" x14ac:dyDescent="0.25">
      <c r="A70">
        <v>65</v>
      </c>
      <c r="B70" t="s">
        <v>99</v>
      </c>
      <c r="C70" t="s">
        <v>24</v>
      </c>
      <c r="D70" t="s">
        <v>16</v>
      </c>
      <c r="F70" s="520">
        <v>0</v>
      </c>
      <c r="G70" s="520">
        <v>0</v>
      </c>
      <c r="H70" s="520">
        <v>0</v>
      </c>
      <c r="I70" s="517"/>
      <c r="J70" s="520">
        <v>0</v>
      </c>
      <c r="K70" s="520">
        <v>0</v>
      </c>
      <c r="L70" s="520">
        <v>0</v>
      </c>
      <c r="M70" s="517"/>
      <c r="N70" s="542">
        <v>0</v>
      </c>
      <c r="O70" s="543">
        <v>0</v>
      </c>
      <c r="P70" s="543">
        <v>0</v>
      </c>
      <c r="Q70" s="517"/>
      <c r="R70" s="520">
        <v>0</v>
      </c>
      <c r="S70" s="520">
        <v>0</v>
      </c>
      <c r="T70" s="520">
        <v>0</v>
      </c>
      <c r="U70" s="517"/>
      <c r="V70" s="542">
        <v>0</v>
      </c>
      <c r="W70" s="543">
        <v>0</v>
      </c>
    </row>
    <row r="71" spans="1:23" x14ac:dyDescent="0.25">
      <c r="A71">
        <v>66</v>
      </c>
      <c r="B71" t="s">
        <v>100</v>
      </c>
      <c r="C71" t="s">
        <v>25</v>
      </c>
      <c r="D71" t="s">
        <v>20</v>
      </c>
      <c r="F71" s="520">
        <v>2</v>
      </c>
      <c r="G71" s="520">
        <v>17398</v>
      </c>
      <c r="H71" s="520">
        <v>60</v>
      </c>
      <c r="I71" s="517"/>
      <c r="J71" s="520">
        <v>0</v>
      </c>
      <c r="K71" s="520">
        <v>0</v>
      </c>
      <c r="L71" s="520">
        <v>0</v>
      </c>
      <c r="M71" s="517"/>
      <c r="N71" s="542">
        <v>2</v>
      </c>
      <c r="O71" s="543">
        <v>17398</v>
      </c>
      <c r="P71" s="543">
        <v>60</v>
      </c>
      <c r="Q71" s="517"/>
      <c r="R71" s="520">
        <v>0</v>
      </c>
      <c r="S71" s="520">
        <v>0</v>
      </c>
      <c r="T71" s="520">
        <v>0</v>
      </c>
      <c r="U71" s="517"/>
      <c r="V71" s="542">
        <v>2</v>
      </c>
      <c r="W71" s="543">
        <v>17398</v>
      </c>
    </row>
    <row r="72" spans="1:23" x14ac:dyDescent="0.25">
      <c r="A72">
        <v>67</v>
      </c>
      <c r="B72" t="s">
        <v>2958</v>
      </c>
      <c r="C72" t="s">
        <v>27</v>
      </c>
      <c r="D72" t="s">
        <v>2959</v>
      </c>
      <c r="F72" s="520">
        <v>0</v>
      </c>
      <c r="G72" s="520">
        <v>0</v>
      </c>
      <c r="H72" s="520">
        <v>0</v>
      </c>
      <c r="I72" s="517"/>
      <c r="J72" s="520">
        <v>0</v>
      </c>
      <c r="K72" s="520">
        <v>0</v>
      </c>
      <c r="L72" s="520">
        <v>0</v>
      </c>
      <c r="M72" s="517"/>
      <c r="N72" s="542">
        <v>0</v>
      </c>
      <c r="O72" s="543">
        <v>0</v>
      </c>
      <c r="P72" s="543">
        <v>0</v>
      </c>
      <c r="Q72" s="517"/>
      <c r="R72" s="520">
        <v>0</v>
      </c>
      <c r="S72" s="520">
        <v>0</v>
      </c>
      <c r="T72" s="520">
        <v>0</v>
      </c>
      <c r="U72" s="517"/>
      <c r="V72" s="542">
        <v>0</v>
      </c>
      <c r="W72" s="543">
        <v>0</v>
      </c>
    </row>
    <row r="73" spans="1:23" x14ac:dyDescent="0.25">
      <c r="A73">
        <v>68</v>
      </c>
      <c r="B73" t="s">
        <v>2417</v>
      </c>
      <c r="C73" t="s">
        <v>92</v>
      </c>
      <c r="D73" t="s">
        <v>20</v>
      </c>
      <c r="F73" s="520">
        <v>15</v>
      </c>
      <c r="G73" s="520">
        <v>780407.9</v>
      </c>
      <c r="H73" s="520">
        <v>960</v>
      </c>
      <c r="I73" s="517"/>
      <c r="J73" s="520">
        <v>0</v>
      </c>
      <c r="K73" s="520">
        <v>0</v>
      </c>
      <c r="L73" s="520">
        <v>0</v>
      </c>
      <c r="M73" s="517"/>
      <c r="N73" s="542">
        <v>15</v>
      </c>
      <c r="O73" s="543">
        <v>780407.9</v>
      </c>
      <c r="P73" s="543">
        <v>960</v>
      </c>
      <c r="Q73" s="517"/>
      <c r="R73" s="520">
        <v>0</v>
      </c>
      <c r="S73" s="520">
        <v>0</v>
      </c>
      <c r="T73" s="520">
        <v>0</v>
      </c>
      <c r="U73" s="517"/>
      <c r="V73" s="542">
        <v>15</v>
      </c>
      <c r="W73" s="543">
        <v>780407.9</v>
      </c>
    </row>
    <row r="74" spans="1:23" x14ac:dyDescent="0.25">
      <c r="A74">
        <v>69</v>
      </c>
      <c r="B74" t="s">
        <v>2418</v>
      </c>
      <c r="C74" t="s">
        <v>136</v>
      </c>
      <c r="D74" t="s">
        <v>20</v>
      </c>
      <c r="F74" s="520">
        <v>64</v>
      </c>
      <c r="G74" s="520">
        <v>1953740.5599999996</v>
      </c>
      <c r="H74" s="520">
        <v>3120</v>
      </c>
      <c r="I74" s="517"/>
      <c r="J74" s="520">
        <v>0</v>
      </c>
      <c r="K74" s="520">
        <v>0</v>
      </c>
      <c r="L74" s="520">
        <v>0</v>
      </c>
      <c r="M74" s="517"/>
      <c r="N74" s="542">
        <v>64</v>
      </c>
      <c r="O74" s="543">
        <v>1953740.5599999996</v>
      </c>
      <c r="P74" s="543">
        <v>3120</v>
      </c>
      <c r="Q74" s="517"/>
      <c r="R74" s="520">
        <v>0</v>
      </c>
      <c r="S74" s="520">
        <v>0</v>
      </c>
      <c r="T74" s="520">
        <v>0</v>
      </c>
      <c r="U74" s="517"/>
      <c r="V74" s="542">
        <v>64</v>
      </c>
      <c r="W74" s="543">
        <v>1953740.5599999996</v>
      </c>
    </row>
    <row r="75" spans="1:23" x14ac:dyDescent="0.25">
      <c r="A75">
        <v>70</v>
      </c>
      <c r="B75" t="s">
        <v>102</v>
      </c>
      <c r="C75" t="s">
        <v>15</v>
      </c>
      <c r="D75" t="s">
        <v>45</v>
      </c>
      <c r="F75" s="520">
        <v>124</v>
      </c>
      <c r="G75" s="520">
        <v>84182.91</v>
      </c>
      <c r="H75" s="520">
        <v>992</v>
      </c>
      <c r="I75" s="517"/>
      <c r="J75" s="520">
        <v>0</v>
      </c>
      <c r="K75" s="520">
        <v>0</v>
      </c>
      <c r="L75" s="520">
        <v>0</v>
      </c>
      <c r="M75" s="517"/>
      <c r="N75" s="542">
        <v>124</v>
      </c>
      <c r="O75" s="543">
        <v>84182.91</v>
      </c>
      <c r="P75" s="543">
        <v>992</v>
      </c>
      <c r="Q75" s="517"/>
      <c r="R75" s="520">
        <v>0</v>
      </c>
      <c r="S75" s="520">
        <v>0</v>
      </c>
      <c r="T75" s="520">
        <v>0</v>
      </c>
      <c r="U75" s="517"/>
      <c r="V75" s="542">
        <v>124</v>
      </c>
      <c r="W75" s="543">
        <v>84182.91</v>
      </c>
    </row>
    <row r="76" spans="1:23" x14ac:dyDescent="0.25">
      <c r="A76">
        <v>71</v>
      </c>
      <c r="B76" t="s">
        <v>103</v>
      </c>
      <c r="C76" t="s">
        <v>18</v>
      </c>
      <c r="D76" t="s">
        <v>20</v>
      </c>
      <c r="F76" s="520">
        <v>21</v>
      </c>
      <c r="G76" s="520">
        <v>558886.85</v>
      </c>
      <c r="H76" s="520">
        <v>630</v>
      </c>
      <c r="I76" s="517"/>
      <c r="J76" s="520">
        <v>0</v>
      </c>
      <c r="K76" s="520">
        <v>0</v>
      </c>
      <c r="L76" s="520">
        <v>0</v>
      </c>
      <c r="M76" s="517"/>
      <c r="N76" s="542">
        <v>21</v>
      </c>
      <c r="O76" s="543">
        <v>558886.85</v>
      </c>
      <c r="P76" s="543">
        <v>630</v>
      </c>
      <c r="Q76" s="517"/>
      <c r="R76" s="520">
        <v>0</v>
      </c>
      <c r="S76" s="520">
        <v>0</v>
      </c>
      <c r="T76" s="520">
        <v>0</v>
      </c>
      <c r="U76" s="517"/>
      <c r="V76" s="542">
        <v>21</v>
      </c>
      <c r="W76" s="543">
        <v>558886.85</v>
      </c>
    </row>
    <row r="77" spans="1:23" x14ac:dyDescent="0.25">
      <c r="A77">
        <v>72</v>
      </c>
      <c r="B77" t="s">
        <v>104</v>
      </c>
      <c r="C77" t="s">
        <v>18</v>
      </c>
      <c r="D77" t="s">
        <v>20</v>
      </c>
      <c r="F77" s="520">
        <v>0</v>
      </c>
      <c r="G77" s="520">
        <v>0</v>
      </c>
      <c r="H77" s="520">
        <v>0</v>
      </c>
      <c r="I77" s="517"/>
      <c r="J77" s="520">
        <v>0</v>
      </c>
      <c r="K77" s="520">
        <v>0</v>
      </c>
      <c r="L77" s="520">
        <v>0</v>
      </c>
      <c r="M77" s="517"/>
      <c r="N77" s="542">
        <v>0</v>
      </c>
      <c r="O77" s="543">
        <v>0</v>
      </c>
      <c r="P77" s="543">
        <v>0</v>
      </c>
      <c r="Q77" s="517"/>
      <c r="R77" s="520">
        <v>0</v>
      </c>
      <c r="S77" s="520">
        <v>0</v>
      </c>
      <c r="T77" s="520">
        <v>0</v>
      </c>
      <c r="U77" s="517"/>
      <c r="V77" s="542">
        <v>0</v>
      </c>
      <c r="W77" s="543">
        <v>0</v>
      </c>
    </row>
    <row r="78" spans="1:23" x14ac:dyDescent="0.25">
      <c r="A78">
        <v>73</v>
      </c>
      <c r="B78" t="s">
        <v>105</v>
      </c>
      <c r="C78" t="s">
        <v>24</v>
      </c>
      <c r="D78" t="s">
        <v>20</v>
      </c>
      <c r="F78" s="520">
        <v>30</v>
      </c>
      <c r="G78" s="520">
        <v>111261</v>
      </c>
      <c r="H78" s="520">
        <v>900</v>
      </c>
      <c r="I78" s="517"/>
      <c r="J78" s="520">
        <v>0</v>
      </c>
      <c r="K78" s="520">
        <v>0</v>
      </c>
      <c r="L78" s="520">
        <v>0</v>
      </c>
      <c r="M78" s="517"/>
      <c r="N78" s="542">
        <v>30</v>
      </c>
      <c r="O78" s="543">
        <v>111261</v>
      </c>
      <c r="P78" s="543">
        <v>900</v>
      </c>
      <c r="Q78" s="517"/>
      <c r="R78" s="520">
        <v>0</v>
      </c>
      <c r="S78" s="520">
        <v>0</v>
      </c>
      <c r="T78" s="520">
        <v>0</v>
      </c>
      <c r="U78" s="517"/>
      <c r="V78" s="542">
        <v>30</v>
      </c>
      <c r="W78" s="543">
        <v>111261</v>
      </c>
    </row>
    <row r="79" spans="1:23" x14ac:dyDescent="0.25">
      <c r="A79">
        <v>74</v>
      </c>
      <c r="B79" t="s">
        <v>106</v>
      </c>
      <c r="C79" t="s">
        <v>18</v>
      </c>
      <c r="D79" t="s">
        <v>16</v>
      </c>
      <c r="F79" s="520">
        <v>33</v>
      </c>
      <c r="G79" s="520">
        <v>351912</v>
      </c>
      <c r="H79" s="520">
        <v>1320</v>
      </c>
      <c r="I79" s="517"/>
      <c r="J79" s="520">
        <v>0</v>
      </c>
      <c r="K79" s="520">
        <v>0</v>
      </c>
      <c r="L79" s="520">
        <v>0</v>
      </c>
      <c r="M79" s="517"/>
      <c r="N79" s="542">
        <v>33</v>
      </c>
      <c r="O79" s="543">
        <v>351912</v>
      </c>
      <c r="P79" s="543">
        <v>1320</v>
      </c>
      <c r="Q79" s="517"/>
      <c r="R79" s="520">
        <v>0</v>
      </c>
      <c r="S79" s="520">
        <v>0</v>
      </c>
      <c r="T79" s="520">
        <v>0</v>
      </c>
      <c r="U79" s="517"/>
      <c r="V79" s="542">
        <v>33</v>
      </c>
      <c r="W79" s="543">
        <v>351912</v>
      </c>
    </row>
    <row r="80" spans="1:23" x14ac:dyDescent="0.25">
      <c r="A80">
        <v>75</v>
      </c>
      <c r="B80" t="s">
        <v>107</v>
      </c>
      <c r="C80" t="s">
        <v>108</v>
      </c>
      <c r="D80" t="s">
        <v>16</v>
      </c>
      <c r="F80" s="520">
        <v>0</v>
      </c>
      <c r="G80" s="520">
        <v>0</v>
      </c>
      <c r="H80" s="520">
        <v>0</v>
      </c>
      <c r="I80" s="517"/>
      <c r="J80" s="520">
        <v>0</v>
      </c>
      <c r="K80" s="520">
        <v>0</v>
      </c>
      <c r="L80" s="520">
        <v>0</v>
      </c>
      <c r="M80" s="517"/>
      <c r="N80" s="542">
        <v>0</v>
      </c>
      <c r="O80" s="543">
        <v>0</v>
      </c>
      <c r="P80" s="543">
        <v>0</v>
      </c>
      <c r="Q80" s="517"/>
      <c r="R80" s="520">
        <v>0</v>
      </c>
      <c r="S80" s="520">
        <v>0</v>
      </c>
      <c r="T80" s="520">
        <v>0</v>
      </c>
      <c r="U80" s="517"/>
      <c r="V80" s="542">
        <v>0</v>
      </c>
      <c r="W80" s="543">
        <v>0</v>
      </c>
    </row>
    <row r="81" spans="1:23" x14ac:dyDescent="0.25">
      <c r="A81">
        <v>76</v>
      </c>
      <c r="B81" t="s">
        <v>109</v>
      </c>
      <c r="C81" t="s">
        <v>25</v>
      </c>
      <c r="D81" t="s">
        <v>16</v>
      </c>
      <c r="F81" s="520">
        <v>3</v>
      </c>
      <c r="G81" s="520">
        <v>4098</v>
      </c>
      <c r="H81" s="520">
        <v>30</v>
      </c>
      <c r="I81" s="517"/>
      <c r="J81" s="520">
        <v>0</v>
      </c>
      <c r="K81" s="520">
        <v>0</v>
      </c>
      <c r="L81" s="520">
        <v>0</v>
      </c>
      <c r="M81" s="517"/>
      <c r="N81" s="542">
        <v>3</v>
      </c>
      <c r="O81" s="543">
        <v>4098</v>
      </c>
      <c r="P81" s="543">
        <v>30</v>
      </c>
      <c r="Q81" s="517"/>
      <c r="R81" s="520">
        <v>0</v>
      </c>
      <c r="S81" s="520">
        <v>0</v>
      </c>
      <c r="T81" s="520">
        <v>0</v>
      </c>
      <c r="U81" s="517"/>
      <c r="V81" s="542">
        <v>3</v>
      </c>
      <c r="W81" s="543">
        <v>4098</v>
      </c>
    </row>
    <row r="82" spans="1:23" x14ac:dyDescent="0.25">
      <c r="A82">
        <v>77</v>
      </c>
      <c r="B82" t="s">
        <v>110</v>
      </c>
      <c r="C82" t="s">
        <v>25</v>
      </c>
      <c r="D82" t="s">
        <v>45</v>
      </c>
      <c r="F82" s="520">
        <v>0</v>
      </c>
      <c r="G82" s="520">
        <v>0</v>
      </c>
      <c r="H82" s="520">
        <v>0</v>
      </c>
      <c r="I82" s="517"/>
      <c r="J82" s="520">
        <v>0</v>
      </c>
      <c r="K82" s="520">
        <v>0</v>
      </c>
      <c r="L82" s="520">
        <v>0</v>
      </c>
      <c r="M82" s="517"/>
      <c r="N82" s="542">
        <v>0</v>
      </c>
      <c r="O82" s="543">
        <v>0</v>
      </c>
      <c r="P82" s="543">
        <v>0</v>
      </c>
      <c r="Q82" s="517"/>
      <c r="R82" s="520">
        <v>0</v>
      </c>
      <c r="S82" s="520">
        <v>0</v>
      </c>
      <c r="T82" s="520">
        <v>0</v>
      </c>
      <c r="U82" s="517"/>
      <c r="V82" s="542">
        <v>0</v>
      </c>
      <c r="W82" s="543">
        <v>0</v>
      </c>
    </row>
    <row r="83" spans="1:23" x14ac:dyDescent="0.25">
      <c r="A83">
        <v>78</v>
      </c>
      <c r="B83" t="s">
        <v>111</v>
      </c>
      <c r="C83" t="s">
        <v>98</v>
      </c>
      <c r="D83" t="s">
        <v>43</v>
      </c>
      <c r="F83" s="520">
        <v>0</v>
      </c>
      <c r="G83" s="520">
        <v>0</v>
      </c>
      <c r="H83" s="520">
        <v>0</v>
      </c>
      <c r="I83" s="517"/>
      <c r="J83" s="520">
        <v>0</v>
      </c>
      <c r="K83" s="520">
        <v>0</v>
      </c>
      <c r="L83" s="520">
        <v>0</v>
      </c>
      <c r="M83" s="517"/>
      <c r="N83" s="542">
        <v>0</v>
      </c>
      <c r="O83" s="543">
        <v>0</v>
      </c>
      <c r="P83" s="543">
        <v>0</v>
      </c>
      <c r="Q83" s="517"/>
      <c r="R83" s="520">
        <v>0</v>
      </c>
      <c r="S83" s="520">
        <v>0</v>
      </c>
      <c r="T83" s="520">
        <v>0</v>
      </c>
      <c r="U83" s="517"/>
      <c r="V83" s="542">
        <v>0</v>
      </c>
      <c r="W83" s="543">
        <v>0</v>
      </c>
    </row>
    <row r="84" spans="1:23" x14ac:dyDescent="0.25">
      <c r="A84">
        <v>79</v>
      </c>
      <c r="B84" t="s">
        <v>113</v>
      </c>
      <c r="C84" t="s">
        <v>98</v>
      </c>
      <c r="D84" t="s">
        <v>43</v>
      </c>
      <c r="F84" s="520">
        <v>2</v>
      </c>
      <c r="G84" s="520">
        <v>660</v>
      </c>
      <c r="H84" s="520">
        <v>20</v>
      </c>
      <c r="I84" s="517"/>
      <c r="J84" s="520">
        <v>0</v>
      </c>
      <c r="K84" s="520">
        <v>0</v>
      </c>
      <c r="L84" s="520">
        <v>0</v>
      </c>
      <c r="M84" s="517"/>
      <c r="N84" s="542">
        <v>2</v>
      </c>
      <c r="O84" s="543">
        <v>660</v>
      </c>
      <c r="P84" s="543">
        <v>20</v>
      </c>
      <c r="Q84" s="517"/>
      <c r="R84" s="520">
        <v>0</v>
      </c>
      <c r="S84" s="520">
        <v>0</v>
      </c>
      <c r="T84" s="520">
        <v>0</v>
      </c>
      <c r="U84" s="517"/>
      <c r="V84" s="542">
        <v>2</v>
      </c>
      <c r="W84" s="543">
        <v>660</v>
      </c>
    </row>
    <row r="85" spans="1:23" x14ac:dyDescent="0.25">
      <c r="A85">
        <v>80</v>
      </c>
      <c r="B85" t="s">
        <v>114</v>
      </c>
      <c r="C85" t="s">
        <v>18</v>
      </c>
      <c r="D85" t="s">
        <v>45</v>
      </c>
      <c r="F85" s="520">
        <v>21</v>
      </c>
      <c r="G85" s="520">
        <v>21910.68</v>
      </c>
      <c r="H85" s="520">
        <v>147</v>
      </c>
      <c r="I85" s="517"/>
      <c r="J85" s="520">
        <v>0</v>
      </c>
      <c r="K85" s="520">
        <v>0</v>
      </c>
      <c r="L85" s="520">
        <v>0</v>
      </c>
      <c r="M85" s="517"/>
      <c r="N85" s="542">
        <v>21</v>
      </c>
      <c r="O85" s="543">
        <v>21910.68</v>
      </c>
      <c r="P85" s="543">
        <v>147</v>
      </c>
      <c r="Q85" s="517"/>
      <c r="R85" s="520">
        <v>0</v>
      </c>
      <c r="S85" s="520">
        <v>0</v>
      </c>
      <c r="T85" s="520">
        <v>0</v>
      </c>
      <c r="U85" s="517"/>
      <c r="V85" s="542">
        <v>21</v>
      </c>
      <c r="W85" s="543">
        <v>21910.68</v>
      </c>
    </row>
    <row r="86" spans="1:23" x14ac:dyDescent="0.25">
      <c r="A86">
        <v>81</v>
      </c>
      <c r="B86" t="s">
        <v>2992</v>
      </c>
      <c r="C86" t="s">
        <v>135</v>
      </c>
      <c r="D86" t="s">
        <v>16</v>
      </c>
      <c r="F86" s="520">
        <v>0</v>
      </c>
      <c r="G86" s="520">
        <v>0</v>
      </c>
      <c r="H86" s="520">
        <v>0</v>
      </c>
      <c r="I86" s="517"/>
      <c r="J86" s="520">
        <v>0</v>
      </c>
      <c r="K86" s="520">
        <v>0</v>
      </c>
      <c r="L86" s="520">
        <v>0</v>
      </c>
      <c r="M86" s="517"/>
      <c r="N86" s="542">
        <v>0</v>
      </c>
      <c r="O86" s="543">
        <v>0</v>
      </c>
      <c r="P86" s="543">
        <v>0</v>
      </c>
      <c r="Q86" s="517"/>
      <c r="R86" s="520">
        <v>0</v>
      </c>
      <c r="S86" s="520">
        <v>0</v>
      </c>
      <c r="T86" s="520">
        <v>0</v>
      </c>
      <c r="U86" s="517"/>
      <c r="V86" s="542">
        <v>0</v>
      </c>
      <c r="W86" s="543">
        <v>0</v>
      </c>
    </row>
    <row r="87" spans="1:23" x14ac:dyDescent="0.25">
      <c r="A87">
        <v>82</v>
      </c>
      <c r="B87" t="s">
        <v>115</v>
      </c>
      <c r="C87" t="s">
        <v>41</v>
      </c>
      <c r="D87" t="s">
        <v>16</v>
      </c>
      <c r="F87" s="520">
        <v>0</v>
      </c>
      <c r="G87" s="520">
        <v>0</v>
      </c>
      <c r="H87" s="520">
        <v>0</v>
      </c>
      <c r="I87" s="517"/>
      <c r="J87" s="520">
        <v>0</v>
      </c>
      <c r="K87" s="520">
        <v>0</v>
      </c>
      <c r="L87" s="520">
        <v>0</v>
      </c>
      <c r="M87" s="517"/>
      <c r="N87" s="542">
        <v>0</v>
      </c>
      <c r="O87" s="543">
        <v>0</v>
      </c>
      <c r="P87" s="543">
        <v>0</v>
      </c>
      <c r="Q87" s="517"/>
      <c r="R87" s="520">
        <v>0</v>
      </c>
      <c r="S87" s="520">
        <v>0</v>
      </c>
      <c r="T87" s="520">
        <v>0</v>
      </c>
      <c r="U87" s="517"/>
      <c r="V87" s="542">
        <v>0</v>
      </c>
      <c r="W87" s="543">
        <v>0</v>
      </c>
    </row>
    <row r="88" spans="1:23" x14ac:dyDescent="0.25">
      <c r="A88">
        <v>83</v>
      </c>
      <c r="B88" t="s">
        <v>116</v>
      </c>
      <c r="C88" t="s">
        <v>39</v>
      </c>
      <c r="D88" t="s">
        <v>16</v>
      </c>
      <c r="F88" s="520">
        <v>0</v>
      </c>
      <c r="G88" s="520">
        <v>0</v>
      </c>
      <c r="H88" s="520">
        <v>0</v>
      </c>
      <c r="I88" s="517"/>
      <c r="J88" s="520">
        <v>0</v>
      </c>
      <c r="K88" s="520">
        <v>0</v>
      </c>
      <c r="L88" s="520">
        <v>0</v>
      </c>
      <c r="M88" s="517"/>
      <c r="N88" s="542">
        <v>0</v>
      </c>
      <c r="O88" s="543">
        <v>0</v>
      </c>
      <c r="P88" s="543">
        <v>0</v>
      </c>
      <c r="Q88" s="517"/>
      <c r="R88" s="520">
        <v>0</v>
      </c>
      <c r="S88" s="520">
        <v>0</v>
      </c>
      <c r="T88" s="520">
        <v>0</v>
      </c>
      <c r="U88" s="517"/>
      <c r="V88" s="542">
        <v>0</v>
      </c>
      <c r="W88" s="543">
        <v>0</v>
      </c>
    </row>
    <row r="89" spans="1:23" x14ac:dyDescent="0.25">
      <c r="A89">
        <v>84</v>
      </c>
      <c r="B89" t="s">
        <v>117</v>
      </c>
      <c r="C89" t="s">
        <v>25</v>
      </c>
      <c r="D89" t="s">
        <v>20</v>
      </c>
      <c r="F89" s="520">
        <v>4</v>
      </c>
      <c r="G89" s="520">
        <v>163115.25</v>
      </c>
      <c r="H89" s="520">
        <v>120</v>
      </c>
      <c r="I89" s="517"/>
      <c r="J89" s="520">
        <v>0</v>
      </c>
      <c r="K89" s="520">
        <v>0</v>
      </c>
      <c r="L89" s="520">
        <v>0</v>
      </c>
      <c r="M89" s="517"/>
      <c r="N89" s="542">
        <v>4</v>
      </c>
      <c r="O89" s="543">
        <v>163115.25</v>
      </c>
      <c r="P89" s="543">
        <v>120</v>
      </c>
      <c r="Q89" s="517"/>
      <c r="R89" s="520">
        <v>0</v>
      </c>
      <c r="S89" s="520">
        <v>0</v>
      </c>
      <c r="T89" s="520">
        <v>0</v>
      </c>
      <c r="U89" s="517"/>
      <c r="V89" s="542">
        <v>4</v>
      </c>
      <c r="W89" s="543">
        <v>163115.25</v>
      </c>
    </row>
    <row r="90" spans="1:23" x14ac:dyDescent="0.25">
      <c r="A90">
        <v>85</v>
      </c>
      <c r="B90" t="s">
        <v>118</v>
      </c>
      <c r="C90" t="s">
        <v>25</v>
      </c>
      <c r="D90" t="s">
        <v>20</v>
      </c>
      <c r="F90" s="520">
        <v>6</v>
      </c>
      <c r="G90" s="520">
        <v>19470</v>
      </c>
      <c r="H90" s="520">
        <v>60</v>
      </c>
      <c r="I90" s="517"/>
      <c r="J90" s="520">
        <v>0</v>
      </c>
      <c r="K90" s="520">
        <v>0</v>
      </c>
      <c r="L90" s="520">
        <v>0</v>
      </c>
      <c r="M90" s="517"/>
      <c r="N90" s="542">
        <v>6</v>
      </c>
      <c r="O90" s="543">
        <v>19470</v>
      </c>
      <c r="P90" s="543">
        <v>60</v>
      </c>
      <c r="Q90" s="517"/>
      <c r="R90" s="520">
        <v>0</v>
      </c>
      <c r="S90" s="520">
        <v>0</v>
      </c>
      <c r="T90" s="520">
        <v>0</v>
      </c>
      <c r="U90" s="517"/>
      <c r="V90" s="542">
        <v>6</v>
      </c>
      <c r="W90" s="543">
        <v>19470</v>
      </c>
    </row>
    <row r="91" spans="1:23" x14ac:dyDescent="0.25">
      <c r="A91">
        <v>86</v>
      </c>
      <c r="B91" t="s">
        <v>119</v>
      </c>
      <c r="C91" t="s">
        <v>25</v>
      </c>
      <c r="D91" t="s">
        <v>20</v>
      </c>
      <c r="F91" s="520">
        <v>0</v>
      </c>
      <c r="G91" s="520">
        <v>0</v>
      </c>
      <c r="H91" s="520">
        <v>0</v>
      </c>
      <c r="I91" s="517"/>
      <c r="J91" s="520">
        <v>0</v>
      </c>
      <c r="K91" s="520">
        <v>0</v>
      </c>
      <c r="L91" s="520">
        <v>0</v>
      </c>
      <c r="M91" s="517"/>
      <c r="N91" s="542">
        <v>0</v>
      </c>
      <c r="O91" s="543">
        <v>0</v>
      </c>
      <c r="P91" s="543">
        <v>0</v>
      </c>
      <c r="Q91" s="517"/>
      <c r="R91" s="520">
        <v>0</v>
      </c>
      <c r="S91" s="520">
        <v>0</v>
      </c>
      <c r="T91" s="520">
        <v>0</v>
      </c>
      <c r="U91" s="517"/>
      <c r="V91" s="542">
        <v>0</v>
      </c>
      <c r="W91" s="543">
        <v>0</v>
      </c>
    </row>
    <row r="92" spans="1:23" x14ac:dyDescent="0.25">
      <c r="A92">
        <v>87</v>
      </c>
      <c r="B92" t="s">
        <v>120</v>
      </c>
      <c r="C92" t="s">
        <v>39</v>
      </c>
      <c r="D92" t="s">
        <v>16</v>
      </c>
      <c r="F92" s="520">
        <v>9</v>
      </c>
      <c r="G92" s="520">
        <v>5069.12</v>
      </c>
      <c r="H92" s="520">
        <v>90</v>
      </c>
      <c r="I92" s="517"/>
      <c r="J92" s="520">
        <v>0</v>
      </c>
      <c r="K92" s="520">
        <v>0</v>
      </c>
      <c r="L92" s="520">
        <v>0</v>
      </c>
      <c r="M92" s="517"/>
      <c r="N92" s="542">
        <v>9</v>
      </c>
      <c r="O92" s="543">
        <v>5069.12</v>
      </c>
      <c r="P92" s="543">
        <v>90</v>
      </c>
      <c r="Q92" s="517"/>
      <c r="R92" s="520">
        <v>0</v>
      </c>
      <c r="S92" s="520">
        <v>0</v>
      </c>
      <c r="T92" s="520">
        <v>0</v>
      </c>
      <c r="U92" s="517"/>
      <c r="V92" s="542">
        <v>9</v>
      </c>
      <c r="W92" s="543">
        <v>5069.12</v>
      </c>
    </row>
    <row r="93" spans="1:23" x14ac:dyDescent="0.25">
      <c r="A93">
        <v>88</v>
      </c>
      <c r="B93" t="s">
        <v>121</v>
      </c>
      <c r="C93" t="s">
        <v>18</v>
      </c>
      <c r="D93" t="s">
        <v>16</v>
      </c>
      <c r="F93" s="520">
        <v>54</v>
      </c>
      <c r="G93" s="520">
        <v>73144.419999999984</v>
      </c>
      <c r="H93" s="520">
        <v>540</v>
      </c>
      <c r="I93" s="517"/>
      <c r="J93" s="520">
        <v>0</v>
      </c>
      <c r="K93" s="520">
        <v>0</v>
      </c>
      <c r="L93" s="520">
        <v>0</v>
      </c>
      <c r="M93" s="517"/>
      <c r="N93" s="542">
        <v>54</v>
      </c>
      <c r="O93" s="543">
        <v>73144.419999999984</v>
      </c>
      <c r="P93" s="543">
        <v>540</v>
      </c>
      <c r="Q93" s="517"/>
      <c r="R93" s="520">
        <v>0</v>
      </c>
      <c r="S93" s="520">
        <v>0</v>
      </c>
      <c r="T93" s="520">
        <v>0</v>
      </c>
      <c r="U93" s="517"/>
      <c r="V93" s="542">
        <v>54</v>
      </c>
      <c r="W93" s="543">
        <v>73144.419999999984</v>
      </c>
    </row>
    <row r="94" spans="1:23" x14ac:dyDescent="0.25">
      <c r="A94">
        <v>89</v>
      </c>
      <c r="B94" t="s">
        <v>122</v>
      </c>
      <c r="C94" t="s">
        <v>39</v>
      </c>
      <c r="D94" t="s">
        <v>16</v>
      </c>
      <c r="F94" s="520">
        <v>42</v>
      </c>
      <c r="G94" s="520">
        <v>52592.800000000003</v>
      </c>
      <c r="H94" s="520">
        <v>336</v>
      </c>
      <c r="I94" s="517"/>
      <c r="J94" s="520">
        <v>0</v>
      </c>
      <c r="K94" s="520">
        <v>0</v>
      </c>
      <c r="L94" s="520">
        <v>0</v>
      </c>
      <c r="M94" s="517"/>
      <c r="N94" s="542">
        <v>42</v>
      </c>
      <c r="O94" s="543">
        <v>52592.800000000003</v>
      </c>
      <c r="P94" s="543">
        <v>336</v>
      </c>
      <c r="Q94" s="517"/>
      <c r="R94" s="520">
        <v>0</v>
      </c>
      <c r="S94" s="520">
        <v>0</v>
      </c>
      <c r="T94" s="520">
        <v>0</v>
      </c>
      <c r="U94" s="517"/>
      <c r="V94" s="542">
        <v>42</v>
      </c>
      <c r="W94" s="543">
        <v>52592.800000000003</v>
      </c>
    </row>
    <row r="95" spans="1:23" x14ac:dyDescent="0.25">
      <c r="A95">
        <v>90</v>
      </c>
      <c r="B95" t="s">
        <v>123</v>
      </c>
      <c r="C95" t="s">
        <v>18</v>
      </c>
      <c r="D95" t="s">
        <v>16</v>
      </c>
      <c r="F95" s="520">
        <v>27</v>
      </c>
      <c r="G95" s="520">
        <v>272706</v>
      </c>
      <c r="H95" s="520">
        <v>270</v>
      </c>
      <c r="I95" s="517"/>
      <c r="J95" s="520">
        <v>0</v>
      </c>
      <c r="K95" s="520">
        <v>0</v>
      </c>
      <c r="L95" s="520">
        <v>0</v>
      </c>
      <c r="M95" s="517"/>
      <c r="N95" s="542">
        <v>27</v>
      </c>
      <c r="O95" s="543">
        <v>272706</v>
      </c>
      <c r="P95" s="543">
        <v>270</v>
      </c>
      <c r="Q95" s="517"/>
      <c r="R95" s="520">
        <v>0</v>
      </c>
      <c r="S95" s="520">
        <v>0</v>
      </c>
      <c r="T95" s="520">
        <v>0</v>
      </c>
      <c r="U95" s="517"/>
      <c r="V95" s="542">
        <v>27</v>
      </c>
      <c r="W95" s="543">
        <v>272706</v>
      </c>
    </row>
    <row r="96" spans="1:23" x14ac:dyDescent="0.25">
      <c r="A96">
        <v>91</v>
      </c>
      <c r="B96" t="s">
        <v>124</v>
      </c>
      <c r="C96" t="s">
        <v>18</v>
      </c>
      <c r="D96" t="s">
        <v>20</v>
      </c>
      <c r="F96" s="520">
        <v>1</v>
      </c>
      <c r="G96" s="520">
        <v>825</v>
      </c>
      <c r="H96" s="520">
        <v>10</v>
      </c>
      <c r="I96" s="517"/>
      <c r="J96" s="520">
        <v>0</v>
      </c>
      <c r="K96" s="520">
        <v>0</v>
      </c>
      <c r="L96" s="520">
        <v>0</v>
      </c>
      <c r="M96" s="517"/>
      <c r="N96" s="542">
        <v>1</v>
      </c>
      <c r="O96" s="543">
        <v>825</v>
      </c>
      <c r="P96" s="543">
        <v>10</v>
      </c>
      <c r="Q96" s="517"/>
      <c r="R96" s="520">
        <v>0</v>
      </c>
      <c r="S96" s="520">
        <v>0</v>
      </c>
      <c r="T96" s="520">
        <v>0</v>
      </c>
      <c r="U96" s="517"/>
      <c r="V96" s="542">
        <v>1</v>
      </c>
      <c r="W96" s="543">
        <v>825</v>
      </c>
    </row>
    <row r="97" spans="1:23" x14ac:dyDescent="0.25">
      <c r="A97">
        <v>92</v>
      </c>
      <c r="B97" t="s">
        <v>125</v>
      </c>
      <c r="C97" t="s">
        <v>18</v>
      </c>
      <c r="D97" t="s">
        <v>20</v>
      </c>
      <c r="F97" s="520">
        <v>0</v>
      </c>
      <c r="G97" s="520">
        <v>0</v>
      </c>
      <c r="H97" s="520">
        <v>0</v>
      </c>
      <c r="I97" s="517"/>
      <c r="J97" s="520">
        <v>0</v>
      </c>
      <c r="K97" s="520">
        <v>0</v>
      </c>
      <c r="L97" s="520">
        <v>0</v>
      </c>
      <c r="M97" s="517"/>
      <c r="N97" s="542">
        <v>0</v>
      </c>
      <c r="O97" s="543">
        <v>0</v>
      </c>
      <c r="P97" s="543">
        <v>0</v>
      </c>
      <c r="Q97" s="517"/>
      <c r="R97" s="520">
        <v>0</v>
      </c>
      <c r="S97" s="520">
        <v>0</v>
      </c>
      <c r="T97" s="520">
        <v>0</v>
      </c>
      <c r="U97" s="517"/>
      <c r="V97" s="542">
        <v>0</v>
      </c>
      <c r="W97" s="543">
        <v>0</v>
      </c>
    </row>
    <row r="98" spans="1:23" x14ac:dyDescent="0.25">
      <c r="A98">
        <v>93</v>
      </c>
      <c r="B98" t="s">
        <v>126</v>
      </c>
      <c r="C98" t="s">
        <v>39</v>
      </c>
      <c r="D98" t="s">
        <v>16</v>
      </c>
      <c r="F98" s="520">
        <v>53</v>
      </c>
      <c r="G98" s="520">
        <v>239359.9</v>
      </c>
      <c r="H98" s="520">
        <v>1105</v>
      </c>
      <c r="I98" s="517"/>
      <c r="J98" s="520">
        <v>0</v>
      </c>
      <c r="K98" s="520">
        <v>0</v>
      </c>
      <c r="L98" s="520">
        <v>0</v>
      </c>
      <c r="M98" s="517"/>
      <c r="N98" s="542">
        <v>53</v>
      </c>
      <c r="O98" s="543">
        <v>239359.9</v>
      </c>
      <c r="P98" s="543">
        <v>1105</v>
      </c>
      <c r="Q98" s="517"/>
      <c r="R98" s="520">
        <v>0</v>
      </c>
      <c r="S98" s="520">
        <v>0</v>
      </c>
      <c r="T98" s="520">
        <v>0</v>
      </c>
      <c r="U98" s="517"/>
      <c r="V98" s="542">
        <v>53</v>
      </c>
      <c r="W98" s="543">
        <v>239359.9</v>
      </c>
    </row>
    <row r="99" spans="1:23" x14ac:dyDescent="0.25">
      <c r="A99">
        <v>94</v>
      </c>
      <c r="B99" t="s">
        <v>127</v>
      </c>
      <c r="C99" t="s">
        <v>15</v>
      </c>
      <c r="D99" t="s">
        <v>16</v>
      </c>
      <c r="F99" s="520">
        <v>0</v>
      </c>
      <c r="G99" s="520">
        <v>0</v>
      </c>
      <c r="H99" s="520">
        <v>0</v>
      </c>
      <c r="I99" s="517"/>
      <c r="J99" s="520">
        <v>0</v>
      </c>
      <c r="K99" s="520">
        <v>0</v>
      </c>
      <c r="L99" s="520">
        <v>0</v>
      </c>
      <c r="M99" s="517"/>
      <c r="N99" s="542">
        <v>0</v>
      </c>
      <c r="O99" s="543">
        <v>0</v>
      </c>
      <c r="P99" s="543">
        <v>0</v>
      </c>
      <c r="Q99" s="517"/>
      <c r="R99" s="520">
        <v>0</v>
      </c>
      <c r="S99" s="520">
        <v>0</v>
      </c>
      <c r="T99" s="520">
        <v>0</v>
      </c>
      <c r="U99" s="517"/>
      <c r="V99" s="542">
        <v>0</v>
      </c>
      <c r="W99" s="543">
        <v>0</v>
      </c>
    </row>
    <row r="100" spans="1:23" x14ac:dyDescent="0.25">
      <c r="A100">
        <v>95</v>
      </c>
      <c r="B100" t="s">
        <v>128</v>
      </c>
      <c r="C100" t="s">
        <v>25</v>
      </c>
      <c r="D100" t="s">
        <v>45</v>
      </c>
      <c r="F100" s="520">
        <v>0</v>
      </c>
      <c r="G100" s="520">
        <v>0</v>
      </c>
      <c r="H100" s="520">
        <v>0</v>
      </c>
      <c r="I100" s="517"/>
      <c r="J100" s="520">
        <v>0</v>
      </c>
      <c r="K100" s="520">
        <v>0</v>
      </c>
      <c r="L100" s="520">
        <v>0</v>
      </c>
      <c r="M100" s="517"/>
      <c r="N100" s="542">
        <v>0</v>
      </c>
      <c r="O100" s="543">
        <v>0</v>
      </c>
      <c r="P100" s="543">
        <v>0</v>
      </c>
      <c r="Q100" s="517"/>
      <c r="R100" s="520">
        <v>0</v>
      </c>
      <c r="S100" s="520">
        <v>0</v>
      </c>
      <c r="T100" s="520">
        <v>0</v>
      </c>
      <c r="U100" s="517"/>
      <c r="V100" s="542">
        <v>0</v>
      </c>
      <c r="W100" s="543">
        <v>0</v>
      </c>
    </row>
    <row r="101" spans="1:23" x14ac:dyDescent="0.25">
      <c r="A101">
        <v>96</v>
      </c>
      <c r="B101" t="s">
        <v>2419</v>
      </c>
      <c r="C101" t="s">
        <v>135</v>
      </c>
      <c r="D101" t="s">
        <v>16</v>
      </c>
      <c r="F101" s="520">
        <v>10</v>
      </c>
      <c r="G101" s="520">
        <v>7042.82</v>
      </c>
      <c r="H101" s="520">
        <v>100</v>
      </c>
      <c r="I101" s="517"/>
      <c r="J101" s="520">
        <v>0</v>
      </c>
      <c r="K101" s="520">
        <v>0</v>
      </c>
      <c r="L101" s="520">
        <v>0</v>
      </c>
      <c r="M101" s="517"/>
      <c r="N101" s="542">
        <v>10</v>
      </c>
      <c r="O101" s="543">
        <v>7042.82</v>
      </c>
      <c r="P101" s="543">
        <v>100</v>
      </c>
      <c r="Q101" s="517"/>
      <c r="R101" s="520">
        <v>0</v>
      </c>
      <c r="S101" s="520">
        <v>0</v>
      </c>
      <c r="T101" s="520">
        <v>0</v>
      </c>
      <c r="U101" s="517"/>
      <c r="V101" s="542">
        <v>10</v>
      </c>
      <c r="W101" s="543">
        <v>7042.82</v>
      </c>
    </row>
    <row r="102" spans="1:23" x14ac:dyDescent="0.25">
      <c r="A102">
        <v>97</v>
      </c>
      <c r="B102" t="s">
        <v>129</v>
      </c>
      <c r="C102" t="s">
        <v>25</v>
      </c>
      <c r="D102" t="s">
        <v>16</v>
      </c>
      <c r="F102" s="520">
        <v>16</v>
      </c>
      <c r="G102" s="520">
        <v>179517.57</v>
      </c>
      <c r="H102" s="520">
        <v>400</v>
      </c>
      <c r="I102" s="517"/>
      <c r="J102" s="520">
        <v>0</v>
      </c>
      <c r="K102" s="520">
        <v>0</v>
      </c>
      <c r="L102" s="520">
        <v>0</v>
      </c>
      <c r="M102" s="517"/>
      <c r="N102" s="542">
        <v>16</v>
      </c>
      <c r="O102" s="543">
        <v>179517.57</v>
      </c>
      <c r="P102" s="543">
        <v>400</v>
      </c>
      <c r="Q102" s="517"/>
      <c r="R102" s="520">
        <v>0</v>
      </c>
      <c r="S102" s="520">
        <v>0</v>
      </c>
      <c r="T102" s="520">
        <v>0</v>
      </c>
      <c r="U102" s="517"/>
      <c r="V102" s="542">
        <v>16</v>
      </c>
      <c r="W102" s="543">
        <v>179517.57</v>
      </c>
    </row>
    <row r="103" spans="1:23" x14ac:dyDescent="0.25">
      <c r="A103">
        <v>98</v>
      </c>
      <c r="B103" t="s">
        <v>130</v>
      </c>
      <c r="C103" t="s">
        <v>27</v>
      </c>
      <c r="D103" t="s">
        <v>16</v>
      </c>
      <c r="F103" s="520">
        <v>3</v>
      </c>
      <c r="G103" s="520">
        <v>21700</v>
      </c>
      <c r="H103" s="520">
        <v>75</v>
      </c>
      <c r="I103" s="517"/>
      <c r="J103" s="520">
        <v>0</v>
      </c>
      <c r="K103" s="520">
        <v>0</v>
      </c>
      <c r="L103" s="520">
        <v>0</v>
      </c>
      <c r="M103" s="517"/>
      <c r="N103" s="542">
        <v>3</v>
      </c>
      <c r="O103" s="543">
        <v>21700</v>
      </c>
      <c r="P103" s="543">
        <v>75</v>
      </c>
      <c r="Q103" s="517"/>
      <c r="R103" s="520">
        <v>0</v>
      </c>
      <c r="S103" s="520">
        <v>0</v>
      </c>
      <c r="T103" s="520">
        <v>0</v>
      </c>
      <c r="U103" s="517"/>
      <c r="V103" s="542">
        <v>3</v>
      </c>
      <c r="W103" s="543">
        <v>21700</v>
      </c>
    </row>
    <row r="104" spans="1:23" x14ac:dyDescent="0.25">
      <c r="A104">
        <v>99</v>
      </c>
      <c r="B104" t="s">
        <v>131</v>
      </c>
      <c r="C104" t="s">
        <v>98</v>
      </c>
      <c r="D104" t="s">
        <v>20</v>
      </c>
      <c r="F104" s="520">
        <v>71</v>
      </c>
      <c r="G104" s="520">
        <v>757393.4</v>
      </c>
      <c r="H104" s="520">
        <v>2130</v>
      </c>
      <c r="I104" s="517"/>
      <c r="J104" s="520">
        <v>0</v>
      </c>
      <c r="K104" s="520">
        <v>0</v>
      </c>
      <c r="L104" s="520">
        <v>0</v>
      </c>
      <c r="M104" s="517"/>
      <c r="N104" s="542">
        <v>71</v>
      </c>
      <c r="O104" s="543">
        <v>757393.4</v>
      </c>
      <c r="P104" s="543">
        <v>2130</v>
      </c>
      <c r="Q104" s="517"/>
      <c r="R104" s="520">
        <v>0</v>
      </c>
      <c r="S104" s="520">
        <v>0</v>
      </c>
      <c r="T104" s="520">
        <v>0</v>
      </c>
      <c r="U104" s="517"/>
      <c r="V104" s="542">
        <v>71</v>
      </c>
      <c r="W104" s="543">
        <v>757393.4</v>
      </c>
    </row>
    <row r="105" spans="1:23" x14ac:dyDescent="0.25">
      <c r="A105">
        <v>100</v>
      </c>
      <c r="B105" t="s">
        <v>132</v>
      </c>
      <c r="C105" t="s">
        <v>25</v>
      </c>
      <c r="D105" t="s">
        <v>16</v>
      </c>
      <c r="F105" s="520">
        <v>0</v>
      </c>
      <c r="G105" s="520">
        <v>0</v>
      </c>
      <c r="H105" s="520">
        <v>0</v>
      </c>
      <c r="I105" s="517"/>
      <c r="J105" s="520">
        <v>0</v>
      </c>
      <c r="K105" s="520">
        <v>0</v>
      </c>
      <c r="L105" s="520">
        <v>0</v>
      </c>
      <c r="M105" s="517"/>
      <c r="N105" s="542">
        <v>0</v>
      </c>
      <c r="O105" s="543">
        <v>0</v>
      </c>
      <c r="P105" s="543">
        <v>0</v>
      </c>
      <c r="Q105" s="517"/>
      <c r="R105" s="520">
        <v>0</v>
      </c>
      <c r="S105" s="520">
        <v>0</v>
      </c>
      <c r="T105" s="520">
        <v>0</v>
      </c>
      <c r="U105" s="517"/>
      <c r="V105" s="542">
        <v>0</v>
      </c>
      <c r="W105" s="543">
        <v>0</v>
      </c>
    </row>
    <row r="106" spans="1:23" x14ac:dyDescent="0.25">
      <c r="A106">
        <v>101</v>
      </c>
      <c r="B106" t="s">
        <v>2141</v>
      </c>
      <c r="C106" t="s">
        <v>18</v>
      </c>
      <c r="D106" t="s">
        <v>16</v>
      </c>
      <c r="F106" s="520">
        <v>0</v>
      </c>
      <c r="G106" s="520">
        <v>0</v>
      </c>
      <c r="H106" s="520">
        <v>0</v>
      </c>
      <c r="I106" s="517"/>
      <c r="J106" s="520">
        <v>0</v>
      </c>
      <c r="K106" s="520">
        <v>0</v>
      </c>
      <c r="L106" s="520">
        <v>0</v>
      </c>
      <c r="M106" s="517"/>
      <c r="N106" s="542">
        <v>0</v>
      </c>
      <c r="O106" s="543">
        <v>0</v>
      </c>
      <c r="P106" s="543">
        <v>0</v>
      </c>
      <c r="Q106" s="517"/>
      <c r="R106" s="520">
        <v>0</v>
      </c>
      <c r="S106" s="520">
        <v>0</v>
      </c>
      <c r="T106" s="520">
        <v>0</v>
      </c>
      <c r="U106" s="517"/>
      <c r="V106" s="542">
        <v>0</v>
      </c>
      <c r="W106" s="543">
        <v>0</v>
      </c>
    </row>
    <row r="107" spans="1:23" x14ac:dyDescent="0.25">
      <c r="A107">
        <v>102</v>
      </c>
      <c r="B107" t="s">
        <v>133</v>
      </c>
      <c r="C107" t="s">
        <v>51</v>
      </c>
      <c r="D107" t="s">
        <v>16</v>
      </c>
      <c r="F107" s="520">
        <v>7</v>
      </c>
      <c r="G107" s="520">
        <v>264407.33999999997</v>
      </c>
      <c r="H107" s="520">
        <v>295</v>
      </c>
      <c r="I107" s="517"/>
      <c r="J107" s="520">
        <v>0</v>
      </c>
      <c r="K107" s="520">
        <v>0</v>
      </c>
      <c r="L107" s="520">
        <v>0</v>
      </c>
      <c r="M107" s="517"/>
      <c r="N107" s="542">
        <v>7</v>
      </c>
      <c r="O107" s="543">
        <v>264407.33999999997</v>
      </c>
      <c r="P107" s="543">
        <v>295</v>
      </c>
      <c r="Q107" s="517"/>
      <c r="R107" s="520">
        <v>0</v>
      </c>
      <c r="S107" s="520">
        <v>0</v>
      </c>
      <c r="T107" s="520">
        <v>0</v>
      </c>
      <c r="U107" s="517"/>
      <c r="V107" s="542">
        <v>7</v>
      </c>
      <c r="W107" s="543">
        <v>264407.33999999997</v>
      </c>
    </row>
    <row r="108" spans="1:23" x14ac:dyDescent="0.25">
      <c r="A108">
        <v>103</v>
      </c>
      <c r="B108" t="s">
        <v>134</v>
      </c>
      <c r="C108" t="s">
        <v>135</v>
      </c>
      <c r="D108" t="s">
        <v>16</v>
      </c>
      <c r="F108" s="520">
        <v>4</v>
      </c>
      <c r="G108" s="520">
        <v>145642.33000000002</v>
      </c>
      <c r="H108" s="520">
        <v>170</v>
      </c>
      <c r="I108" s="517"/>
      <c r="J108" s="520">
        <v>0</v>
      </c>
      <c r="K108" s="520">
        <v>0</v>
      </c>
      <c r="L108" s="520">
        <v>0</v>
      </c>
      <c r="M108" s="517"/>
      <c r="N108" s="542">
        <v>4</v>
      </c>
      <c r="O108" s="543">
        <v>145642.33000000002</v>
      </c>
      <c r="P108" s="543">
        <v>170</v>
      </c>
      <c r="Q108" s="517"/>
      <c r="R108" s="520">
        <v>0</v>
      </c>
      <c r="S108" s="520">
        <v>0</v>
      </c>
      <c r="T108" s="520">
        <v>0</v>
      </c>
      <c r="U108" s="517"/>
      <c r="V108" s="542">
        <v>4</v>
      </c>
      <c r="W108" s="543">
        <v>145642.33000000002</v>
      </c>
    </row>
    <row r="109" spans="1:23" x14ac:dyDescent="0.25">
      <c r="A109">
        <v>104</v>
      </c>
      <c r="B109" t="s">
        <v>137</v>
      </c>
      <c r="C109" t="s">
        <v>15</v>
      </c>
      <c r="D109" t="s">
        <v>16</v>
      </c>
      <c r="F109" s="520">
        <v>3</v>
      </c>
      <c r="G109" s="520">
        <v>65199</v>
      </c>
      <c r="H109" s="520">
        <v>75</v>
      </c>
      <c r="I109" s="517"/>
      <c r="J109" s="520">
        <v>0</v>
      </c>
      <c r="K109" s="520">
        <v>0</v>
      </c>
      <c r="L109" s="520">
        <v>0</v>
      </c>
      <c r="M109" s="517"/>
      <c r="N109" s="542">
        <v>3</v>
      </c>
      <c r="O109" s="543">
        <v>65199</v>
      </c>
      <c r="P109" s="543">
        <v>75</v>
      </c>
      <c r="Q109" s="517"/>
      <c r="R109" s="520">
        <v>0</v>
      </c>
      <c r="S109" s="520">
        <v>0</v>
      </c>
      <c r="T109" s="520">
        <v>0</v>
      </c>
      <c r="U109" s="517"/>
      <c r="V109" s="542">
        <v>3</v>
      </c>
      <c r="W109" s="543">
        <v>65199</v>
      </c>
    </row>
    <row r="110" spans="1:23" x14ac:dyDescent="0.25">
      <c r="A110">
        <v>105</v>
      </c>
      <c r="B110" t="s">
        <v>138</v>
      </c>
      <c r="C110" t="s">
        <v>15</v>
      </c>
      <c r="D110" t="s">
        <v>16</v>
      </c>
      <c r="F110" s="520">
        <v>0</v>
      </c>
      <c r="G110" s="520">
        <v>0</v>
      </c>
      <c r="H110" s="520">
        <v>0</v>
      </c>
      <c r="I110" s="517"/>
      <c r="J110" s="520">
        <v>0</v>
      </c>
      <c r="K110" s="520">
        <v>0</v>
      </c>
      <c r="L110" s="520">
        <v>0</v>
      </c>
      <c r="M110" s="517"/>
      <c r="N110" s="542">
        <v>0</v>
      </c>
      <c r="O110" s="543">
        <v>0</v>
      </c>
      <c r="P110" s="543">
        <v>0</v>
      </c>
      <c r="Q110" s="517"/>
      <c r="R110" s="520">
        <v>0</v>
      </c>
      <c r="S110" s="520">
        <v>0</v>
      </c>
      <c r="T110" s="520">
        <v>0</v>
      </c>
      <c r="U110" s="517"/>
      <c r="V110" s="542">
        <v>0</v>
      </c>
      <c r="W110" s="543">
        <v>0</v>
      </c>
    </row>
    <row r="111" spans="1:23" x14ac:dyDescent="0.25">
      <c r="A111">
        <v>106</v>
      </c>
      <c r="B111" t="s">
        <v>139</v>
      </c>
      <c r="C111" t="s">
        <v>15</v>
      </c>
      <c r="D111" t="s">
        <v>16</v>
      </c>
      <c r="F111" s="520">
        <v>5</v>
      </c>
      <c r="G111" s="520">
        <v>76098</v>
      </c>
      <c r="H111" s="520">
        <v>125</v>
      </c>
      <c r="I111" s="517"/>
      <c r="J111" s="520">
        <v>0</v>
      </c>
      <c r="K111" s="520">
        <v>0</v>
      </c>
      <c r="L111" s="520">
        <v>0</v>
      </c>
      <c r="M111" s="517"/>
      <c r="N111" s="542">
        <v>5</v>
      </c>
      <c r="O111" s="543">
        <v>76098</v>
      </c>
      <c r="P111" s="543">
        <v>125</v>
      </c>
      <c r="Q111" s="517"/>
      <c r="R111" s="520">
        <v>0</v>
      </c>
      <c r="S111" s="520">
        <v>0</v>
      </c>
      <c r="T111" s="520">
        <v>0</v>
      </c>
      <c r="U111" s="517"/>
      <c r="V111" s="542">
        <v>5</v>
      </c>
      <c r="W111" s="543">
        <v>76098</v>
      </c>
    </row>
    <row r="112" spans="1:23" x14ac:dyDescent="0.25">
      <c r="A112">
        <v>107</v>
      </c>
      <c r="B112" t="s">
        <v>140</v>
      </c>
      <c r="C112" t="s">
        <v>141</v>
      </c>
      <c r="D112" t="s">
        <v>16</v>
      </c>
      <c r="F112" s="520">
        <v>0</v>
      </c>
      <c r="G112" s="520">
        <v>0</v>
      </c>
      <c r="H112" s="520">
        <v>0</v>
      </c>
      <c r="I112" s="517"/>
      <c r="J112" s="520">
        <v>0</v>
      </c>
      <c r="K112" s="520">
        <v>0</v>
      </c>
      <c r="L112" s="520">
        <v>0</v>
      </c>
      <c r="M112" s="517"/>
      <c r="N112" s="542">
        <v>0</v>
      </c>
      <c r="O112" s="543">
        <v>0</v>
      </c>
      <c r="P112" s="543">
        <v>0</v>
      </c>
      <c r="Q112" s="517"/>
      <c r="R112" s="520">
        <v>0</v>
      </c>
      <c r="S112" s="520">
        <v>0</v>
      </c>
      <c r="T112" s="520">
        <v>0</v>
      </c>
      <c r="U112" s="517"/>
      <c r="V112" s="542">
        <v>0</v>
      </c>
      <c r="W112" s="543">
        <v>0</v>
      </c>
    </row>
    <row r="113" spans="1:23" x14ac:dyDescent="0.25">
      <c r="A113">
        <v>108</v>
      </c>
      <c r="B113" t="s">
        <v>142</v>
      </c>
      <c r="D113" t="s">
        <v>16</v>
      </c>
      <c r="F113" s="520">
        <v>0</v>
      </c>
      <c r="G113" s="520">
        <v>0</v>
      </c>
      <c r="H113" s="520">
        <v>0</v>
      </c>
      <c r="I113" s="517"/>
      <c r="J113" s="520">
        <v>0</v>
      </c>
      <c r="K113" s="520">
        <v>0</v>
      </c>
      <c r="L113" s="520">
        <v>0</v>
      </c>
      <c r="M113" s="517"/>
      <c r="N113" s="542">
        <v>0</v>
      </c>
      <c r="O113" s="543">
        <v>0</v>
      </c>
      <c r="P113" s="543">
        <v>0</v>
      </c>
      <c r="Q113" s="517"/>
      <c r="R113" s="520">
        <v>0</v>
      </c>
      <c r="S113" s="520">
        <v>0</v>
      </c>
      <c r="T113" s="520">
        <v>0</v>
      </c>
      <c r="U113" s="517"/>
      <c r="V113" s="542">
        <v>0</v>
      </c>
      <c r="W113" s="543">
        <v>0</v>
      </c>
    </row>
    <row r="114" spans="1:23" x14ac:dyDescent="0.25">
      <c r="A114">
        <v>109</v>
      </c>
      <c r="B114" t="s">
        <v>143</v>
      </c>
      <c r="C114" t="s">
        <v>25</v>
      </c>
      <c r="D114" t="s">
        <v>16</v>
      </c>
      <c r="F114" s="520">
        <v>3</v>
      </c>
      <c r="G114" s="520">
        <v>2283</v>
      </c>
      <c r="H114" s="520">
        <v>30</v>
      </c>
      <c r="I114" s="517"/>
      <c r="J114" s="520">
        <v>0</v>
      </c>
      <c r="K114" s="520">
        <v>0</v>
      </c>
      <c r="L114" s="520">
        <v>0</v>
      </c>
      <c r="M114" s="517"/>
      <c r="N114" s="542">
        <v>3</v>
      </c>
      <c r="O114" s="543">
        <v>2283</v>
      </c>
      <c r="P114" s="543">
        <v>30</v>
      </c>
      <c r="Q114" s="517"/>
      <c r="R114" s="520">
        <v>0</v>
      </c>
      <c r="S114" s="520">
        <v>0</v>
      </c>
      <c r="T114" s="520">
        <v>0</v>
      </c>
      <c r="U114" s="517"/>
      <c r="V114" s="542">
        <v>3</v>
      </c>
      <c r="W114" s="543">
        <v>2283</v>
      </c>
    </row>
    <row r="115" spans="1:23" x14ac:dyDescent="0.25">
      <c r="A115">
        <v>110</v>
      </c>
      <c r="B115" t="s">
        <v>2420</v>
      </c>
      <c r="C115" t="s">
        <v>92</v>
      </c>
      <c r="D115" t="s">
        <v>20</v>
      </c>
      <c r="F115" s="520">
        <v>0</v>
      </c>
      <c r="G115" s="520">
        <v>0</v>
      </c>
      <c r="H115" s="520">
        <v>0</v>
      </c>
      <c r="I115" s="517"/>
      <c r="J115" s="520">
        <v>0</v>
      </c>
      <c r="K115" s="520">
        <v>0</v>
      </c>
      <c r="L115" s="520">
        <v>0</v>
      </c>
      <c r="M115" s="517"/>
      <c r="N115" s="542">
        <v>0</v>
      </c>
      <c r="O115" s="543">
        <v>0</v>
      </c>
      <c r="P115" s="543">
        <v>0</v>
      </c>
      <c r="Q115" s="517"/>
      <c r="R115" s="520">
        <v>0</v>
      </c>
      <c r="S115" s="520">
        <v>0</v>
      </c>
      <c r="T115" s="520">
        <v>0</v>
      </c>
      <c r="U115" s="517"/>
      <c r="V115" s="542">
        <v>0</v>
      </c>
      <c r="W115" s="543">
        <v>0</v>
      </c>
    </row>
    <row r="116" spans="1:23" x14ac:dyDescent="0.25">
      <c r="A116">
        <v>111</v>
      </c>
      <c r="B116" t="s">
        <v>2993</v>
      </c>
      <c r="C116" t="s">
        <v>24</v>
      </c>
      <c r="D116" t="s">
        <v>20</v>
      </c>
      <c r="F116" s="520">
        <v>63</v>
      </c>
      <c r="G116" s="520">
        <v>1717273</v>
      </c>
      <c r="H116" s="520">
        <v>2520</v>
      </c>
      <c r="I116" s="517"/>
      <c r="J116" s="520">
        <v>0</v>
      </c>
      <c r="K116" s="520">
        <v>0</v>
      </c>
      <c r="L116" s="520">
        <v>0</v>
      </c>
      <c r="M116" s="517"/>
      <c r="N116" s="542">
        <v>63</v>
      </c>
      <c r="O116" s="543">
        <v>1717273</v>
      </c>
      <c r="P116" s="543">
        <v>2520</v>
      </c>
      <c r="Q116" s="517"/>
      <c r="R116" s="520">
        <v>0</v>
      </c>
      <c r="S116" s="520">
        <v>0</v>
      </c>
      <c r="T116" s="520">
        <v>0</v>
      </c>
      <c r="U116" s="517"/>
      <c r="V116" s="542">
        <v>63</v>
      </c>
      <c r="W116" s="543">
        <v>1717273</v>
      </c>
    </row>
    <row r="117" spans="1:23" x14ac:dyDescent="0.25">
      <c r="A117">
        <v>112</v>
      </c>
      <c r="B117" t="s">
        <v>144</v>
      </c>
      <c r="C117" t="s">
        <v>15</v>
      </c>
      <c r="D117" t="s">
        <v>20</v>
      </c>
      <c r="F117" s="520">
        <v>0</v>
      </c>
      <c r="G117" s="520">
        <v>0</v>
      </c>
      <c r="H117" s="520">
        <v>0</v>
      </c>
      <c r="I117" s="517"/>
      <c r="J117" s="520">
        <v>0</v>
      </c>
      <c r="K117" s="520">
        <v>0</v>
      </c>
      <c r="L117" s="520">
        <v>0</v>
      </c>
      <c r="M117" s="517"/>
      <c r="N117" s="542">
        <v>0</v>
      </c>
      <c r="O117" s="543">
        <v>0</v>
      </c>
      <c r="P117" s="543">
        <v>0</v>
      </c>
      <c r="Q117" s="517"/>
      <c r="R117" s="520">
        <v>0</v>
      </c>
      <c r="S117" s="520">
        <v>0</v>
      </c>
      <c r="T117" s="520">
        <v>0</v>
      </c>
      <c r="U117" s="517"/>
      <c r="V117" s="542">
        <v>0</v>
      </c>
      <c r="W117" s="543">
        <v>0</v>
      </c>
    </row>
    <row r="118" spans="1:23" x14ac:dyDescent="0.25">
      <c r="A118">
        <v>113</v>
      </c>
      <c r="B118" t="s">
        <v>145</v>
      </c>
      <c r="C118" t="s">
        <v>24</v>
      </c>
      <c r="D118" t="s">
        <v>87</v>
      </c>
      <c r="F118" s="520">
        <v>301</v>
      </c>
      <c r="G118" s="520">
        <v>6348719.790000001</v>
      </c>
      <c r="H118" s="520">
        <v>12360</v>
      </c>
      <c r="I118" s="517"/>
      <c r="J118" s="520">
        <v>0</v>
      </c>
      <c r="K118" s="520">
        <v>0</v>
      </c>
      <c r="L118" s="520">
        <v>0</v>
      </c>
      <c r="M118" s="517"/>
      <c r="N118" s="542">
        <v>301</v>
      </c>
      <c r="O118" s="543">
        <v>6348719.790000001</v>
      </c>
      <c r="P118" s="543">
        <v>12360</v>
      </c>
      <c r="Q118" s="517"/>
      <c r="R118" s="520">
        <v>0</v>
      </c>
      <c r="S118" s="520">
        <v>0</v>
      </c>
      <c r="T118" s="520">
        <v>0</v>
      </c>
      <c r="U118" s="517"/>
      <c r="V118" s="542">
        <v>301</v>
      </c>
      <c r="W118" s="543">
        <v>6348719.790000001</v>
      </c>
    </row>
    <row r="119" spans="1:23" x14ac:dyDescent="0.25">
      <c r="A119">
        <v>114</v>
      </c>
      <c r="B119" t="s">
        <v>146</v>
      </c>
      <c r="C119" t="s">
        <v>15</v>
      </c>
      <c r="D119" t="s">
        <v>45</v>
      </c>
      <c r="F119" s="520">
        <v>2507</v>
      </c>
      <c r="G119" s="520">
        <v>4850349.3400000036</v>
      </c>
      <c r="H119" s="520">
        <v>14068.5</v>
      </c>
      <c r="I119" s="517"/>
      <c r="J119" s="520">
        <v>0</v>
      </c>
      <c r="K119" s="520">
        <v>0</v>
      </c>
      <c r="L119" s="520">
        <v>0</v>
      </c>
      <c r="M119" s="517"/>
      <c r="N119" s="542">
        <v>2507</v>
      </c>
      <c r="O119" s="543">
        <v>4850349.3400000036</v>
      </c>
      <c r="P119" s="543">
        <v>14068.5</v>
      </c>
      <c r="Q119" s="517"/>
      <c r="R119" s="520">
        <v>0</v>
      </c>
      <c r="S119" s="520">
        <v>0</v>
      </c>
      <c r="T119" s="520">
        <v>0</v>
      </c>
      <c r="U119" s="517"/>
      <c r="V119" s="542">
        <v>2507</v>
      </c>
      <c r="W119" s="543">
        <v>4850349.3400000036</v>
      </c>
    </row>
    <row r="120" spans="1:23" x14ac:dyDescent="0.25">
      <c r="A120">
        <v>115</v>
      </c>
      <c r="B120" t="s">
        <v>147</v>
      </c>
      <c r="C120" t="s">
        <v>148</v>
      </c>
      <c r="D120" t="s">
        <v>45</v>
      </c>
      <c r="F120" s="520">
        <v>775</v>
      </c>
      <c r="G120" s="520">
        <v>4126207.0100000002</v>
      </c>
      <c r="H120" s="520">
        <v>38750</v>
      </c>
      <c r="I120" s="517"/>
      <c r="J120" s="520">
        <v>0</v>
      </c>
      <c r="K120" s="520">
        <v>0</v>
      </c>
      <c r="L120" s="520">
        <v>0</v>
      </c>
      <c r="M120" s="517"/>
      <c r="N120" s="542">
        <v>775</v>
      </c>
      <c r="O120" s="543">
        <v>4126207.0100000002</v>
      </c>
      <c r="P120" s="543">
        <v>38750</v>
      </c>
      <c r="Q120" s="517"/>
      <c r="R120" s="520">
        <v>0</v>
      </c>
      <c r="S120" s="520">
        <v>0</v>
      </c>
      <c r="T120" s="520">
        <v>0</v>
      </c>
      <c r="U120" s="517"/>
      <c r="V120" s="542">
        <v>775</v>
      </c>
      <c r="W120" s="543">
        <v>4126207.0100000002</v>
      </c>
    </row>
    <row r="121" spans="1:23" x14ac:dyDescent="0.25">
      <c r="A121">
        <v>116</v>
      </c>
      <c r="B121" t="s">
        <v>149</v>
      </c>
      <c r="C121" t="s">
        <v>18</v>
      </c>
      <c r="D121" t="s">
        <v>16</v>
      </c>
      <c r="F121" s="520">
        <v>3</v>
      </c>
      <c r="G121" s="520">
        <v>3950</v>
      </c>
      <c r="H121" s="520">
        <v>60</v>
      </c>
      <c r="I121" s="517"/>
      <c r="J121" s="520">
        <v>0</v>
      </c>
      <c r="K121" s="520">
        <v>0</v>
      </c>
      <c r="L121" s="520">
        <v>0</v>
      </c>
      <c r="M121" s="517"/>
      <c r="N121" s="542">
        <v>3</v>
      </c>
      <c r="O121" s="543">
        <v>3950</v>
      </c>
      <c r="P121" s="543">
        <v>60</v>
      </c>
      <c r="Q121" s="517"/>
      <c r="R121" s="520">
        <v>0</v>
      </c>
      <c r="S121" s="520">
        <v>0</v>
      </c>
      <c r="T121" s="520">
        <v>0</v>
      </c>
      <c r="U121" s="517"/>
      <c r="V121" s="542">
        <v>3</v>
      </c>
      <c r="W121" s="543">
        <v>3950</v>
      </c>
    </row>
    <row r="122" spans="1:23" x14ac:dyDescent="0.25">
      <c r="A122">
        <v>117</v>
      </c>
      <c r="B122" t="s">
        <v>150</v>
      </c>
      <c r="D122" t="s">
        <v>16</v>
      </c>
      <c r="F122" s="520">
        <v>0</v>
      </c>
      <c r="G122" s="520">
        <v>0</v>
      </c>
      <c r="H122" s="520">
        <v>0</v>
      </c>
      <c r="I122" s="517"/>
      <c r="J122" s="520">
        <v>0</v>
      </c>
      <c r="K122" s="520">
        <v>0</v>
      </c>
      <c r="L122" s="520">
        <v>0</v>
      </c>
      <c r="M122" s="517"/>
      <c r="N122" s="542">
        <v>0</v>
      </c>
      <c r="O122" s="543">
        <v>0</v>
      </c>
      <c r="P122" s="543">
        <v>0</v>
      </c>
      <c r="Q122" s="517"/>
      <c r="R122" s="520">
        <v>0</v>
      </c>
      <c r="S122" s="520">
        <v>0</v>
      </c>
      <c r="T122" s="520">
        <v>0</v>
      </c>
      <c r="U122" s="517"/>
      <c r="V122" s="542">
        <v>0</v>
      </c>
      <c r="W122" s="543">
        <v>0</v>
      </c>
    </row>
    <row r="123" spans="1:23" x14ac:dyDescent="0.25">
      <c r="A123">
        <v>118</v>
      </c>
      <c r="B123" t="s">
        <v>151</v>
      </c>
      <c r="C123" t="s">
        <v>25</v>
      </c>
      <c r="D123" t="s">
        <v>16</v>
      </c>
      <c r="F123" s="520">
        <v>8</v>
      </c>
      <c r="G123" s="520">
        <v>128391.41</v>
      </c>
      <c r="H123" s="520">
        <v>240</v>
      </c>
      <c r="I123" s="517"/>
      <c r="J123" s="520">
        <v>0</v>
      </c>
      <c r="K123" s="520">
        <v>0</v>
      </c>
      <c r="L123" s="520">
        <v>0</v>
      </c>
      <c r="M123" s="517"/>
      <c r="N123" s="542">
        <v>8</v>
      </c>
      <c r="O123" s="543">
        <v>128391.41</v>
      </c>
      <c r="P123" s="543">
        <v>240</v>
      </c>
      <c r="Q123" s="517"/>
      <c r="R123" s="520">
        <v>0</v>
      </c>
      <c r="S123" s="520">
        <v>0</v>
      </c>
      <c r="T123" s="520">
        <v>0</v>
      </c>
      <c r="U123" s="517"/>
      <c r="V123" s="542">
        <v>8</v>
      </c>
      <c r="W123" s="543">
        <v>128391.41</v>
      </c>
    </row>
    <row r="124" spans="1:23" x14ac:dyDescent="0.25">
      <c r="A124">
        <v>119</v>
      </c>
      <c r="B124" t="s">
        <v>152</v>
      </c>
      <c r="C124" t="s">
        <v>18</v>
      </c>
      <c r="D124" t="s">
        <v>16</v>
      </c>
      <c r="F124" s="520">
        <v>0</v>
      </c>
      <c r="G124" s="520">
        <v>0</v>
      </c>
      <c r="H124" s="520">
        <v>0</v>
      </c>
      <c r="I124" s="517"/>
      <c r="J124" s="520">
        <v>0</v>
      </c>
      <c r="K124" s="520">
        <v>0</v>
      </c>
      <c r="L124" s="520">
        <v>0</v>
      </c>
      <c r="M124" s="517"/>
      <c r="N124" s="542">
        <v>0</v>
      </c>
      <c r="O124" s="543">
        <v>0</v>
      </c>
      <c r="P124" s="543">
        <v>0</v>
      </c>
      <c r="Q124" s="517"/>
      <c r="R124" s="520">
        <v>0</v>
      </c>
      <c r="S124" s="520">
        <v>0</v>
      </c>
      <c r="T124" s="520">
        <v>0</v>
      </c>
      <c r="U124" s="517"/>
      <c r="V124" s="542">
        <v>0</v>
      </c>
      <c r="W124" s="543">
        <v>0</v>
      </c>
    </row>
    <row r="125" spans="1:23" x14ac:dyDescent="0.25">
      <c r="A125">
        <v>120</v>
      </c>
      <c r="B125" t="s">
        <v>153</v>
      </c>
      <c r="C125" t="s">
        <v>154</v>
      </c>
      <c r="D125" t="s">
        <v>16</v>
      </c>
      <c r="F125" s="520">
        <v>0</v>
      </c>
      <c r="G125" s="520">
        <v>0</v>
      </c>
      <c r="H125" s="520">
        <v>0</v>
      </c>
      <c r="I125" s="517"/>
      <c r="J125" s="520">
        <v>0</v>
      </c>
      <c r="K125" s="520">
        <v>0</v>
      </c>
      <c r="L125" s="520">
        <v>0</v>
      </c>
      <c r="M125" s="517"/>
      <c r="N125" s="542">
        <v>0</v>
      </c>
      <c r="O125" s="543">
        <v>0</v>
      </c>
      <c r="P125" s="543">
        <v>0</v>
      </c>
      <c r="Q125" s="517"/>
      <c r="R125" s="520">
        <v>0</v>
      </c>
      <c r="S125" s="520">
        <v>0</v>
      </c>
      <c r="T125" s="520">
        <v>0</v>
      </c>
      <c r="U125" s="517"/>
      <c r="V125" s="542">
        <v>0</v>
      </c>
      <c r="W125" s="543">
        <v>0</v>
      </c>
    </row>
    <row r="126" spans="1:23" x14ac:dyDescent="0.25">
      <c r="A126">
        <v>121</v>
      </c>
      <c r="B126" t="s">
        <v>155</v>
      </c>
      <c r="C126" t="s">
        <v>25</v>
      </c>
      <c r="D126" t="s">
        <v>16</v>
      </c>
      <c r="F126" s="520">
        <v>0</v>
      </c>
      <c r="G126" s="520">
        <v>0</v>
      </c>
      <c r="H126" s="520">
        <v>0</v>
      </c>
      <c r="I126" s="517"/>
      <c r="J126" s="520">
        <v>0</v>
      </c>
      <c r="K126" s="520">
        <v>0</v>
      </c>
      <c r="L126" s="520">
        <v>0</v>
      </c>
      <c r="M126" s="517"/>
      <c r="N126" s="542">
        <v>0</v>
      </c>
      <c r="O126" s="543">
        <v>0</v>
      </c>
      <c r="P126" s="543">
        <v>0</v>
      </c>
      <c r="Q126" s="517"/>
      <c r="R126" s="520">
        <v>0</v>
      </c>
      <c r="S126" s="520">
        <v>0</v>
      </c>
      <c r="T126" s="520">
        <v>0</v>
      </c>
      <c r="U126" s="517"/>
      <c r="V126" s="542">
        <v>0</v>
      </c>
      <c r="W126" s="543">
        <v>0</v>
      </c>
    </row>
    <row r="127" spans="1:23" x14ac:dyDescent="0.25">
      <c r="A127">
        <v>122</v>
      </c>
      <c r="B127" t="s">
        <v>156</v>
      </c>
      <c r="C127" t="s">
        <v>18</v>
      </c>
      <c r="D127" t="s">
        <v>16</v>
      </c>
      <c r="F127" s="520">
        <v>0</v>
      </c>
      <c r="G127" s="520">
        <v>0</v>
      </c>
      <c r="H127" s="520">
        <v>0</v>
      </c>
      <c r="I127" s="517"/>
      <c r="J127" s="520">
        <v>0</v>
      </c>
      <c r="K127" s="520">
        <v>0</v>
      </c>
      <c r="L127" s="520">
        <v>0</v>
      </c>
      <c r="M127" s="517"/>
      <c r="N127" s="542">
        <v>0</v>
      </c>
      <c r="O127" s="543">
        <v>0</v>
      </c>
      <c r="P127" s="543">
        <v>0</v>
      </c>
      <c r="Q127" s="517"/>
      <c r="R127" s="520">
        <v>0</v>
      </c>
      <c r="S127" s="520">
        <v>0</v>
      </c>
      <c r="T127" s="520">
        <v>0</v>
      </c>
      <c r="U127" s="517"/>
      <c r="V127" s="542">
        <v>0</v>
      </c>
      <c r="W127" s="543">
        <v>0</v>
      </c>
    </row>
    <row r="128" spans="1:23" x14ac:dyDescent="0.25">
      <c r="A128">
        <v>123</v>
      </c>
      <c r="B128" t="s">
        <v>157</v>
      </c>
      <c r="C128" t="s">
        <v>158</v>
      </c>
      <c r="D128" t="s">
        <v>16</v>
      </c>
      <c r="F128" s="520">
        <v>8</v>
      </c>
      <c r="G128" s="520">
        <v>16347.55</v>
      </c>
      <c r="H128" s="520">
        <v>300</v>
      </c>
      <c r="I128" s="517"/>
      <c r="J128" s="520">
        <v>0</v>
      </c>
      <c r="K128" s="520">
        <v>0</v>
      </c>
      <c r="L128" s="520">
        <v>0</v>
      </c>
      <c r="M128" s="517"/>
      <c r="N128" s="542">
        <v>8</v>
      </c>
      <c r="O128" s="543">
        <v>16347.55</v>
      </c>
      <c r="P128" s="543">
        <v>300</v>
      </c>
      <c r="Q128" s="517"/>
      <c r="R128" s="520">
        <v>0</v>
      </c>
      <c r="S128" s="520">
        <v>0</v>
      </c>
      <c r="T128" s="520">
        <v>0</v>
      </c>
      <c r="U128" s="517"/>
      <c r="V128" s="542">
        <v>8</v>
      </c>
      <c r="W128" s="543">
        <v>16347.55</v>
      </c>
    </row>
    <row r="129" spans="1:23" x14ac:dyDescent="0.25">
      <c r="A129">
        <v>124</v>
      </c>
      <c r="B129" t="s">
        <v>159</v>
      </c>
      <c r="C129" t="s">
        <v>18</v>
      </c>
      <c r="D129" t="s">
        <v>16</v>
      </c>
      <c r="F129" s="520">
        <v>0</v>
      </c>
      <c r="G129" s="520">
        <v>0</v>
      </c>
      <c r="H129" s="520">
        <v>0</v>
      </c>
      <c r="I129" s="517"/>
      <c r="J129" s="520">
        <v>0</v>
      </c>
      <c r="K129" s="520">
        <v>0</v>
      </c>
      <c r="L129" s="520">
        <v>0</v>
      </c>
      <c r="M129" s="517"/>
      <c r="N129" s="542">
        <v>0</v>
      </c>
      <c r="O129" s="543">
        <v>0</v>
      </c>
      <c r="P129" s="543">
        <v>0</v>
      </c>
      <c r="Q129" s="517"/>
      <c r="R129" s="520">
        <v>0</v>
      </c>
      <c r="S129" s="520">
        <v>0</v>
      </c>
      <c r="T129" s="520">
        <v>0</v>
      </c>
      <c r="U129" s="517"/>
      <c r="V129" s="542">
        <v>0</v>
      </c>
      <c r="W129" s="543">
        <v>0</v>
      </c>
    </row>
    <row r="130" spans="1:23" x14ac:dyDescent="0.25">
      <c r="A130">
        <v>125</v>
      </c>
      <c r="B130" t="s">
        <v>160</v>
      </c>
      <c r="C130" t="s">
        <v>18</v>
      </c>
      <c r="D130" t="s">
        <v>16</v>
      </c>
      <c r="F130" s="520">
        <v>119</v>
      </c>
      <c r="G130" s="520">
        <v>194719.27000000002</v>
      </c>
      <c r="H130" s="520">
        <v>952</v>
      </c>
      <c r="I130" s="517"/>
      <c r="J130" s="520">
        <v>0</v>
      </c>
      <c r="K130" s="520">
        <v>0</v>
      </c>
      <c r="L130" s="520">
        <v>0</v>
      </c>
      <c r="M130" s="517"/>
      <c r="N130" s="542">
        <v>119</v>
      </c>
      <c r="O130" s="543">
        <v>194719.27000000002</v>
      </c>
      <c r="P130" s="543">
        <v>952</v>
      </c>
      <c r="Q130" s="517"/>
      <c r="R130" s="520">
        <v>0</v>
      </c>
      <c r="S130" s="520">
        <v>0</v>
      </c>
      <c r="T130" s="520">
        <v>0</v>
      </c>
      <c r="U130" s="517"/>
      <c r="V130" s="542">
        <v>119</v>
      </c>
      <c r="W130" s="543">
        <v>194719.27000000002</v>
      </c>
    </row>
    <row r="131" spans="1:23" x14ac:dyDescent="0.25">
      <c r="A131">
        <v>126</v>
      </c>
      <c r="B131" t="s">
        <v>161</v>
      </c>
      <c r="C131" t="s">
        <v>15</v>
      </c>
      <c r="D131" t="s">
        <v>45</v>
      </c>
      <c r="F131" s="520">
        <v>35</v>
      </c>
      <c r="G131" s="520">
        <v>46021.5</v>
      </c>
      <c r="H131" s="520">
        <v>315</v>
      </c>
      <c r="I131" s="517"/>
      <c r="J131" s="520">
        <v>0</v>
      </c>
      <c r="K131" s="520">
        <v>0</v>
      </c>
      <c r="L131" s="520">
        <v>0</v>
      </c>
      <c r="M131" s="517"/>
      <c r="N131" s="542">
        <v>35</v>
      </c>
      <c r="O131" s="543">
        <v>46021.5</v>
      </c>
      <c r="P131" s="543">
        <v>315</v>
      </c>
      <c r="Q131" s="517"/>
      <c r="R131" s="520">
        <v>0</v>
      </c>
      <c r="S131" s="520">
        <v>0</v>
      </c>
      <c r="T131" s="520">
        <v>0</v>
      </c>
      <c r="U131" s="517"/>
      <c r="V131" s="542">
        <v>35</v>
      </c>
      <c r="W131" s="543">
        <v>46021.5</v>
      </c>
    </row>
    <row r="132" spans="1:23" x14ac:dyDescent="0.25">
      <c r="A132">
        <v>127</v>
      </c>
      <c r="B132" t="s">
        <v>2421</v>
      </c>
      <c r="C132" t="s">
        <v>18</v>
      </c>
      <c r="D132" t="s">
        <v>16</v>
      </c>
      <c r="F132" s="520">
        <v>0</v>
      </c>
      <c r="G132" s="520">
        <v>0</v>
      </c>
      <c r="H132" s="520">
        <v>0</v>
      </c>
      <c r="I132" s="517"/>
      <c r="J132" s="520">
        <v>0</v>
      </c>
      <c r="K132" s="520">
        <v>0</v>
      </c>
      <c r="L132" s="520">
        <v>0</v>
      </c>
      <c r="M132" s="517"/>
      <c r="N132" s="542">
        <v>0</v>
      </c>
      <c r="O132" s="543">
        <v>0</v>
      </c>
      <c r="P132" s="543">
        <v>0</v>
      </c>
      <c r="Q132" s="517"/>
      <c r="R132" s="520">
        <v>0</v>
      </c>
      <c r="S132" s="520">
        <v>0</v>
      </c>
      <c r="T132" s="520">
        <v>0</v>
      </c>
      <c r="U132" s="517"/>
      <c r="V132" s="542">
        <v>0</v>
      </c>
      <c r="W132" s="543">
        <v>0</v>
      </c>
    </row>
    <row r="133" spans="1:23" x14ac:dyDescent="0.25">
      <c r="A133">
        <v>128</v>
      </c>
      <c r="B133" t="s">
        <v>162</v>
      </c>
      <c r="C133" t="s">
        <v>92</v>
      </c>
      <c r="D133" t="s">
        <v>16</v>
      </c>
      <c r="F133" s="520">
        <v>0</v>
      </c>
      <c r="G133" s="520">
        <v>0</v>
      </c>
      <c r="H133" s="520">
        <v>0</v>
      </c>
      <c r="I133" s="517"/>
      <c r="J133" s="520">
        <v>0</v>
      </c>
      <c r="K133" s="520">
        <v>0</v>
      </c>
      <c r="L133" s="520">
        <v>0</v>
      </c>
      <c r="M133" s="517"/>
      <c r="N133" s="542">
        <v>0</v>
      </c>
      <c r="O133" s="543">
        <v>0</v>
      </c>
      <c r="P133" s="543">
        <v>0</v>
      </c>
      <c r="Q133" s="517"/>
      <c r="R133" s="520">
        <v>0</v>
      </c>
      <c r="S133" s="520">
        <v>0</v>
      </c>
      <c r="T133" s="520">
        <v>0</v>
      </c>
      <c r="U133" s="517"/>
      <c r="V133" s="542">
        <v>0</v>
      </c>
      <c r="W133" s="543">
        <v>0</v>
      </c>
    </row>
    <row r="134" spans="1:23" x14ac:dyDescent="0.25">
      <c r="A134">
        <v>129</v>
      </c>
      <c r="B134" t="s">
        <v>163</v>
      </c>
      <c r="C134" t="s">
        <v>39</v>
      </c>
      <c r="D134" t="s">
        <v>16</v>
      </c>
      <c r="F134" s="520">
        <v>0</v>
      </c>
      <c r="G134" s="520">
        <v>0</v>
      </c>
      <c r="H134" s="520">
        <v>0</v>
      </c>
      <c r="I134" s="517"/>
      <c r="J134" s="520">
        <v>0</v>
      </c>
      <c r="K134" s="520">
        <v>0</v>
      </c>
      <c r="L134" s="520">
        <v>0</v>
      </c>
      <c r="M134" s="517"/>
      <c r="N134" s="542">
        <v>0</v>
      </c>
      <c r="O134" s="543">
        <v>0</v>
      </c>
      <c r="P134" s="543">
        <v>0</v>
      </c>
      <c r="Q134" s="517"/>
      <c r="R134" s="520">
        <v>0</v>
      </c>
      <c r="S134" s="520">
        <v>0</v>
      </c>
      <c r="T134" s="520">
        <v>0</v>
      </c>
      <c r="U134" s="517"/>
      <c r="V134" s="542">
        <v>0</v>
      </c>
      <c r="W134" s="543">
        <v>0</v>
      </c>
    </row>
    <row r="135" spans="1:23" x14ac:dyDescent="0.25">
      <c r="A135">
        <v>130</v>
      </c>
      <c r="B135" t="s">
        <v>164</v>
      </c>
      <c r="C135" t="s">
        <v>101</v>
      </c>
      <c r="D135" t="s">
        <v>87</v>
      </c>
      <c r="F135" s="520">
        <v>84</v>
      </c>
      <c r="G135" s="520">
        <v>1848108.45</v>
      </c>
      <c r="H135" s="520">
        <v>3640</v>
      </c>
      <c r="I135" s="517"/>
      <c r="J135" s="520">
        <v>0</v>
      </c>
      <c r="K135" s="520">
        <v>0</v>
      </c>
      <c r="L135" s="520">
        <v>0</v>
      </c>
      <c r="M135" s="517"/>
      <c r="N135" s="542">
        <v>84</v>
      </c>
      <c r="O135" s="543">
        <v>1848108.45</v>
      </c>
      <c r="P135" s="543">
        <v>3640</v>
      </c>
      <c r="Q135" s="517"/>
      <c r="R135" s="520">
        <v>0</v>
      </c>
      <c r="S135" s="520">
        <v>0</v>
      </c>
      <c r="T135" s="520">
        <v>0</v>
      </c>
      <c r="U135" s="517"/>
      <c r="V135" s="542">
        <v>84</v>
      </c>
      <c r="W135" s="543">
        <v>1848108.45</v>
      </c>
    </row>
    <row r="136" spans="1:23" x14ac:dyDescent="0.25">
      <c r="A136">
        <v>131</v>
      </c>
      <c r="B136" t="s">
        <v>165</v>
      </c>
      <c r="C136" t="s">
        <v>15</v>
      </c>
      <c r="D136" t="s">
        <v>45</v>
      </c>
      <c r="F136" s="520">
        <v>241</v>
      </c>
      <c r="G136" s="520">
        <v>578025.74</v>
      </c>
      <c r="H136" s="520">
        <v>2169</v>
      </c>
      <c r="I136" s="517"/>
      <c r="J136" s="520">
        <v>0</v>
      </c>
      <c r="K136" s="520">
        <v>0</v>
      </c>
      <c r="L136" s="520">
        <v>0</v>
      </c>
      <c r="M136" s="517"/>
      <c r="N136" s="542">
        <v>241</v>
      </c>
      <c r="O136" s="543">
        <v>578025.74</v>
      </c>
      <c r="P136" s="543">
        <v>2169</v>
      </c>
      <c r="Q136" s="517"/>
      <c r="R136" s="520">
        <v>0</v>
      </c>
      <c r="S136" s="520">
        <v>0</v>
      </c>
      <c r="T136" s="520">
        <v>0</v>
      </c>
      <c r="U136" s="517"/>
      <c r="V136" s="542">
        <v>241</v>
      </c>
      <c r="W136" s="543">
        <v>578025.74</v>
      </c>
    </row>
    <row r="137" spans="1:23" x14ac:dyDescent="0.25">
      <c r="A137">
        <v>132</v>
      </c>
      <c r="B137" t="s">
        <v>167</v>
      </c>
      <c r="C137" t="s">
        <v>135</v>
      </c>
      <c r="D137" t="s">
        <v>16</v>
      </c>
      <c r="F137" s="520">
        <v>0</v>
      </c>
      <c r="G137" s="520">
        <v>0</v>
      </c>
      <c r="H137" s="520">
        <v>0</v>
      </c>
      <c r="I137" s="517"/>
      <c r="J137" s="520">
        <v>0</v>
      </c>
      <c r="K137" s="520">
        <v>0</v>
      </c>
      <c r="L137" s="520">
        <v>0</v>
      </c>
      <c r="M137" s="517"/>
      <c r="N137" s="542">
        <v>0</v>
      </c>
      <c r="O137" s="543">
        <v>0</v>
      </c>
      <c r="P137" s="543">
        <v>0</v>
      </c>
      <c r="Q137" s="517"/>
      <c r="R137" s="520">
        <v>0</v>
      </c>
      <c r="S137" s="520">
        <v>0</v>
      </c>
      <c r="T137" s="520">
        <v>0</v>
      </c>
      <c r="U137" s="517"/>
      <c r="V137" s="542">
        <v>0</v>
      </c>
      <c r="W137" s="543">
        <v>0</v>
      </c>
    </row>
    <row r="138" spans="1:23" x14ac:dyDescent="0.25">
      <c r="A138">
        <v>133</v>
      </c>
      <c r="B138" t="s">
        <v>168</v>
      </c>
      <c r="C138" t="s">
        <v>18</v>
      </c>
      <c r="D138" t="s">
        <v>20</v>
      </c>
      <c r="F138" s="520">
        <v>10</v>
      </c>
      <c r="G138" s="520">
        <v>105903.5</v>
      </c>
      <c r="H138" s="520">
        <v>295</v>
      </c>
      <c r="I138" s="517"/>
      <c r="J138" s="520">
        <v>0</v>
      </c>
      <c r="K138" s="520">
        <v>0</v>
      </c>
      <c r="L138" s="520">
        <v>0</v>
      </c>
      <c r="M138" s="517"/>
      <c r="N138" s="542">
        <v>10</v>
      </c>
      <c r="O138" s="543">
        <v>105903.5</v>
      </c>
      <c r="P138" s="543">
        <v>295</v>
      </c>
      <c r="Q138" s="517"/>
      <c r="R138" s="520">
        <v>0</v>
      </c>
      <c r="S138" s="520">
        <v>0</v>
      </c>
      <c r="T138" s="520">
        <v>0</v>
      </c>
      <c r="U138" s="517"/>
      <c r="V138" s="542">
        <v>10</v>
      </c>
      <c r="W138" s="543">
        <v>105903.5</v>
      </c>
    </row>
    <row r="139" spans="1:23" x14ac:dyDescent="0.25">
      <c r="A139">
        <v>134</v>
      </c>
      <c r="B139" t="s">
        <v>169</v>
      </c>
      <c r="C139" t="s">
        <v>18</v>
      </c>
      <c r="D139" t="s">
        <v>16</v>
      </c>
      <c r="F139" s="520">
        <v>13</v>
      </c>
      <c r="G139" s="520">
        <v>132681</v>
      </c>
      <c r="H139" s="520">
        <v>340</v>
      </c>
      <c r="I139" s="517"/>
      <c r="J139" s="520">
        <v>0</v>
      </c>
      <c r="K139" s="520">
        <v>0</v>
      </c>
      <c r="L139" s="520">
        <v>0</v>
      </c>
      <c r="M139" s="517"/>
      <c r="N139" s="542">
        <v>13</v>
      </c>
      <c r="O139" s="543">
        <v>132681</v>
      </c>
      <c r="P139" s="543">
        <v>340</v>
      </c>
      <c r="Q139" s="517"/>
      <c r="R139" s="520">
        <v>0</v>
      </c>
      <c r="S139" s="520">
        <v>0</v>
      </c>
      <c r="T139" s="520">
        <v>0</v>
      </c>
      <c r="U139" s="517"/>
      <c r="V139" s="542">
        <v>13</v>
      </c>
      <c r="W139" s="543">
        <v>132681</v>
      </c>
    </row>
    <row r="140" spans="1:23" x14ac:dyDescent="0.25">
      <c r="A140">
        <v>135</v>
      </c>
      <c r="B140" t="s">
        <v>170</v>
      </c>
      <c r="C140" t="s">
        <v>18</v>
      </c>
      <c r="D140" t="s">
        <v>16</v>
      </c>
      <c r="F140" s="520">
        <v>225</v>
      </c>
      <c r="G140" s="520">
        <v>7610554.4699999997</v>
      </c>
      <c r="H140" s="520">
        <v>18250</v>
      </c>
      <c r="I140" s="517"/>
      <c r="J140" s="520">
        <v>0</v>
      </c>
      <c r="K140" s="520">
        <v>0</v>
      </c>
      <c r="L140" s="520">
        <v>0</v>
      </c>
      <c r="M140" s="517"/>
      <c r="N140" s="542">
        <v>225</v>
      </c>
      <c r="O140" s="543">
        <v>7610554.4699999997</v>
      </c>
      <c r="P140" s="543">
        <v>18250</v>
      </c>
      <c r="Q140" s="517"/>
      <c r="R140" s="520">
        <v>0</v>
      </c>
      <c r="S140" s="520">
        <v>0</v>
      </c>
      <c r="T140" s="520">
        <v>0</v>
      </c>
      <c r="U140" s="517"/>
      <c r="V140" s="542">
        <v>225</v>
      </c>
      <c r="W140" s="543">
        <v>7610554.4699999997</v>
      </c>
    </row>
    <row r="141" spans="1:23" x14ac:dyDescent="0.25">
      <c r="A141">
        <v>136</v>
      </c>
      <c r="B141" t="s">
        <v>171</v>
      </c>
      <c r="C141" t="s">
        <v>39</v>
      </c>
      <c r="D141" t="s">
        <v>16</v>
      </c>
      <c r="F141" s="520">
        <v>96</v>
      </c>
      <c r="G141" s="520">
        <v>48401.409999999989</v>
      </c>
      <c r="H141" s="520">
        <v>960</v>
      </c>
      <c r="I141" s="517"/>
      <c r="J141" s="520">
        <v>0</v>
      </c>
      <c r="K141" s="520">
        <v>0</v>
      </c>
      <c r="L141" s="520">
        <v>0</v>
      </c>
      <c r="M141" s="517"/>
      <c r="N141" s="542">
        <v>96</v>
      </c>
      <c r="O141" s="543">
        <v>48401.409999999989</v>
      </c>
      <c r="P141" s="543">
        <v>960</v>
      </c>
      <c r="Q141" s="517"/>
      <c r="R141" s="520">
        <v>0</v>
      </c>
      <c r="S141" s="520">
        <v>0</v>
      </c>
      <c r="T141" s="520">
        <v>0</v>
      </c>
      <c r="U141" s="517"/>
      <c r="V141" s="542">
        <v>96</v>
      </c>
      <c r="W141" s="543">
        <v>48401.409999999989</v>
      </c>
    </row>
    <row r="142" spans="1:23" x14ac:dyDescent="0.25">
      <c r="A142">
        <v>137</v>
      </c>
      <c r="B142" t="s">
        <v>2994</v>
      </c>
      <c r="C142" t="s">
        <v>189</v>
      </c>
      <c r="D142" t="s">
        <v>16</v>
      </c>
      <c r="F142" s="520">
        <v>3</v>
      </c>
      <c r="G142" s="520">
        <v>1441.94</v>
      </c>
      <c r="H142" s="520">
        <v>30</v>
      </c>
      <c r="I142" s="517"/>
      <c r="J142" s="520">
        <v>0</v>
      </c>
      <c r="K142" s="520">
        <v>0</v>
      </c>
      <c r="L142" s="520">
        <v>0</v>
      </c>
      <c r="M142" s="517"/>
      <c r="N142" s="542">
        <v>3</v>
      </c>
      <c r="O142" s="543">
        <v>1441.94</v>
      </c>
      <c r="P142" s="543">
        <v>30</v>
      </c>
      <c r="Q142" s="517"/>
      <c r="R142" s="520">
        <v>0</v>
      </c>
      <c r="S142" s="520">
        <v>0</v>
      </c>
      <c r="T142" s="520">
        <v>0</v>
      </c>
      <c r="U142" s="517"/>
      <c r="V142" s="542">
        <v>3</v>
      </c>
      <c r="W142" s="543">
        <v>1441.94</v>
      </c>
    </row>
    <row r="143" spans="1:23" x14ac:dyDescent="0.25">
      <c r="A143">
        <v>138</v>
      </c>
      <c r="B143" t="s">
        <v>172</v>
      </c>
      <c r="D143" t="s">
        <v>16</v>
      </c>
      <c r="F143" s="520">
        <v>1</v>
      </c>
      <c r="G143" s="520">
        <v>5000</v>
      </c>
      <c r="H143" s="520">
        <v>20</v>
      </c>
      <c r="I143" s="517"/>
      <c r="J143" s="520">
        <v>0</v>
      </c>
      <c r="K143" s="520">
        <v>0</v>
      </c>
      <c r="L143" s="520">
        <v>0</v>
      </c>
      <c r="M143" s="517"/>
      <c r="N143" s="542">
        <v>1</v>
      </c>
      <c r="O143" s="543">
        <v>5000</v>
      </c>
      <c r="P143" s="543">
        <v>20</v>
      </c>
      <c r="Q143" s="517"/>
      <c r="R143" s="520">
        <v>0</v>
      </c>
      <c r="S143" s="520">
        <v>0</v>
      </c>
      <c r="T143" s="520">
        <v>0</v>
      </c>
      <c r="U143" s="517"/>
      <c r="V143" s="542">
        <v>1</v>
      </c>
      <c r="W143" s="543">
        <v>5000</v>
      </c>
    </row>
    <row r="144" spans="1:23" x14ac:dyDescent="0.25">
      <c r="A144">
        <v>139</v>
      </c>
      <c r="B144" t="s">
        <v>2960</v>
      </c>
      <c r="C144" t="s">
        <v>136</v>
      </c>
      <c r="D144" t="s">
        <v>16</v>
      </c>
      <c r="F144" s="520">
        <v>5</v>
      </c>
      <c r="G144" s="520">
        <v>83117.5</v>
      </c>
      <c r="H144" s="520">
        <v>125</v>
      </c>
      <c r="I144" s="517"/>
      <c r="J144" s="520">
        <v>0</v>
      </c>
      <c r="K144" s="520">
        <v>0</v>
      </c>
      <c r="L144" s="520">
        <v>0</v>
      </c>
      <c r="M144" s="517"/>
      <c r="N144" s="542">
        <v>5</v>
      </c>
      <c r="O144" s="543">
        <v>83117.5</v>
      </c>
      <c r="P144" s="543">
        <v>125</v>
      </c>
      <c r="Q144" s="517"/>
      <c r="R144" s="520">
        <v>0</v>
      </c>
      <c r="S144" s="520">
        <v>0</v>
      </c>
      <c r="T144" s="520">
        <v>0</v>
      </c>
      <c r="U144" s="517"/>
      <c r="V144" s="542">
        <v>5</v>
      </c>
      <c r="W144" s="543">
        <v>83117.5</v>
      </c>
    </row>
    <row r="145" spans="1:23" x14ac:dyDescent="0.25">
      <c r="A145">
        <v>140</v>
      </c>
      <c r="B145" t="s">
        <v>173</v>
      </c>
      <c r="C145" t="s">
        <v>98</v>
      </c>
      <c r="D145" t="s">
        <v>16</v>
      </c>
      <c r="F145" s="520">
        <v>0</v>
      </c>
      <c r="G145" s="520">
        <v>0</v>
      </c>
      <c r="H145" s="520">
        <v>0</v>
      </c>
      <c r="I145" s="517"/>
      <c r="J145" s="520">
        <v>0</v>
      </c>
      <c r="K145" s="520">
        <v>0</v>
      </c>
      <c r="L145" s="520">
        <v>0</v>
      </c>
      <c r="M145" s="517"/>
      <c r="N145" s="542">
        <v>0</v>
      </c>
      <c r="O145" s="543">
        <v>0</v>
      </c>
      <c r="P145" s="543">
        <v>0</v>
      </c>
      <c r="Q145" s="517"/>
      <c r="R145" s="520">
        <v>0</v>
      </c>
      <c r="S145" s="520">
        <v>0</v>
      </c>
      <c r="T145" s="520">
        <v>0</v>
      </c>
      <c r="U145" s="517"/>
      <c r="V145" s="542">
        <v>0</v>
      </c>
      <c r="W145" s="543">
        <v>0</v>
      </c>
    </row>
    <row r="146" spans="1:23" x14ac:dyDescent="0.25">
      <c r="A146">
        <v>141</v>
      </c>
      <c r="B146" t="s">
        <v>174</v>
      </c>
      <c r="C146" t="s">
        <v>15</v>
      </c>
      <c r="D146" t="s">
        <v>45</v>
      </c>
      <c r="F146" s="520">
        <v>4483</v>
      </c>
      <c r="G146" s="520">
        <v>59085434.869999997</v>
      </c>
      <c r="H146" s="520">
        <v>2620</v>
      </c>
      <c r="I146" s="517"/>
      <c r="J146" s="520">
        <v>0</v>
      </c>
      <c r="K146" s="520">
        <v>0</v>
      </c>
      <c r="L146" s="520">
        <v>0</v>
      </c>
      <c r="M146" s="517"/>
      <c r="N146" s="542">
        <v>4483</v>
      </c>
      <c r="O146" s="543">
        <v>59085434.869999997</v>
      </c>
      <c r="P146" s="543">
        <v>2620</v>
      </c>
      <c r="Q146" s="517"/>
      <c r="R146" s="520">
        <v>0</v>
      </c>
      <c r="S146" s="520">
        <v>0</v>
      </c>
      <c r="T146" s="520">
        <v>0</v>
      </c>
      <c r="U146" s="517"/>
      <c r="V146" s="542">
        <v>4483</v>
      </c>
      <c r="W146" s="543">
        <v>59085434.869999997</v>
      </c>
    </row>
    <row r="147" spans="1:23" x14ac:dyDescent="0.25">
      <c r="A147">
        <v>142</v>
      </c>
      <c r="B147" t="s">
        <v>166</v>
      </c>
      <c r="C147" t="s">
        <v>18</v>
      </c>
      <c r="D147" t="s">
        <v>16</v>
      </c>
      <c r="F147" s="520">
        <v>0</v>
      </c>
      <c r="G147" s="520">
        <v>0</v>
      </c>
      <c r="H147" s="520">
        <v>0</v>
      </c>
      <c r="I147" s="517"/>
      <c r="J147" s="520">
        <v>0</v>
      </c>
      <c r="K147" s="520">
        <v>0</v>
      </c>
      <c r="L147" s="520">
        <v>0</v>
      </c>
      <c r="M147" s="517"/>
      <c r="N147" s="542">
        <v>0</v>
      </c>
      <c r="O147" s="543">
        <v>0</v>
      </c>
      <c r="P147" s="543">
        <v>0</v>
      </c>
      <c r="Q147" s="517"/>
      <c r="R147" s="520">
        <v>0</v>
      </c>
      <c r="S147" s="520">
        <v>0</v>
      </c>
      <c r="T147" s="520">
        <v>0</v>
      </c>
      <c r="U147" s="517"/>
      <c r="V147" s="542">
        <v>0</v>
      </c>
      <c r="W147" s="543">
        <v>0</v>
      </c>
    </row>
    <row r="148" spans="1:23" x14ac:dyDescent="0.25">
      <c r="A148">
        <v>143</v>
      </c>
      <c r="B148" t="s">
        <v>175</v>
      </c>
      <c r="C148" t="s">
        <v>18</v>
      </c>
      <c r="D148" t="s">
        <v>16</v>
      </c>
      <c r="F148" s="520">
        <v>25</v>
      </c>
      <c r="G148" s="520">
        <v>443546</v>
      </c>
      <c r="H148" s="520">
        <v>750</v>
      </c>
      <c r="I148" s="517"/>
      <c r="J148" s="520">
        <v>0</v>
      </c>
      <c r="K148" s="520">
        <v>0</v>
      </c>
      <c r="L148" s="520">
        <v>0</v>
      </c>
      <c r="M148" s="517"/>
      <c r="N148" s="542">
        <v>25</v>
      </c>
      <c r="O148" s="543">
        <v>443546</v>
      </c>
      <c r="P148" s="543">
        <v>750</v>
      </c>
      <c r="Q148" s="517"/>
      <c r="R148" s="520">
        <v>0</v>
      </c>
      <c r="S148" s="520">
        <v>0</v>
      </c>
      <c r="T148" s="520">
        <v>0</v>
      </c>
      <c r="U148" s="517"/>
      <c r="V148" s="542">
        <v>25</v>
      </c>
      <c r="W148" s="543">
        <v>443546</v>
      </c>
    </row>
    <row r="149" spans="1:23" x14ac:dyDescent="0.25">
      <c r="A149">
        <v>144</v>
      </c>
      <c r="B149" t="s">
        <v>176</v>
      </c>
      <c r="F149" s="520">
        <v>0</v>
      </c>
      <c r="G149" s="520">
        <v>0</v>
      </c>
      <c r="H149" s="520">
        <v>0</v>
      </c>
      <c r="I149" s="517"/>
      <c r="J149" s="520">
        <v>0</v>
      </c>
      <c r="K149" s="520">
        <v>0</v>
      </c>
      <c r="L149" s="520">
        <v>0</v>
      </c>
      <c r="M149" s="517"/>
      <c r="N149" s="542">
        <v>0</v>
      </c>
      <c r="O149" s="543">
        <v>0</v>
      </c>
      <c r="P149" s="543">
        <v>0</v>
      </c>
      <c r="Q149" s="517"/>
      <c r="R149" s="520">
        <v>0</v>
      </c>
      <c r="S149" s="520">
        <v>0</v>
      </c>
      <c r="T149" s="520">
        <v>0</v>
      </c>
      <c r="U149" s="517"/>
      <c r="V149" s="542">
        <v>0</v>
      </c>
      <c r="W149" s="543">
        <v>0</v>
      </c>
    </row>
    <row r="150" spans="1:23" x14ac:dyDescent="0.25">
      <c r="A150">
        <v>145</v>
      </c>
      <c r="B150" t="s">
        <v>177</v>
      </c>
      <c r="C150" t="s">
        <v>25</v>
      </c>
      <c r="D150" t="s">
        <v>16</v>
      </c>
      <c r="F150" s="520">
        <v>14</v>
      </c>
      <c r="G150" s="520">
        <v>22938</v>
      </c>
      <c r="H150" s="520">
        <v>120</v>
      </c>
      <c r="I150" s="517"/>
      <c r="J150" s="520">
        <v>0</v>
      </c>
      <c r="K150" s="520">
        <v>0</v>
      </c>
      <c r="L150" s="520">
        <v>0</v>
      </c>
      <c r="M150" s="517"/>
      <c r="N150" s="542">
        <v>14</v>
      </c>
      <c r="O150" s="543">
        <v>22938</v>
      </c>
      <c r="P150" s="543">
        <v>120</v>
      </c>
      <c r="Q150" s="517"/>
      <c r="R150" s="520">
        <v>0</v>
      </c>
      <c r="S150" s="520">
        <v>0</v>
      </c>
      <c r="T150" s="520">
        <v>0</v>
      </c>
      <c r="U150" s="517"/>
      <c r="V150" s="542">
        <v>14</v>
      </c>
      <c r="W150" s="543">
        <v>22938</v>
      </c>
    </row>
    <row r="151" spans="1:23" x14ac:dyDescent="0.25">
      <c r="A151">
        <v>146</v>
      </c>
      <c r="B151" t="s">
        <v>178</v>
      </c>
      <c r="C151" t="s">
        <v>25</v>
      </c>
      <c r="D151" t="s">
        <v>16</v>
      </c>
      <c r="F151" s="520">
        <v>16</v>
      </c>
      <c r="G151" s="520">
        <v>9399</v>
      </c>
      <c r="H151" s="520">
        <v>128</v>
      </c>
      <c r="I151" s="517"/>
      <c r="J151" s="520">
        <v>0</v>
      </c>
      <c r="K151" s="520">
        <v>0</v>
      </c>
      <c r="L151" s="520">
        <v>0</v>
      </c>
      <c r="M151" s="517"/>
      <c r="N151" s="542">
        <v>16</v>
      </c>
      <c r="O151" s="543">
        <v>9399</v>
      </c>
      <c r="P151" s="543">
        <v>128</v>
      </c>
      <c r="Q151" s="517"/>
      <c r="R151" s="520">
        <v>0</v>
      </c>
      <c r="S151" s="520">
        <v>0</v>
      </c>
      <c r="T151" s="520">
        <v>0</v>
      </c>
      <c r="U151" s="517"/>
      <c r="V151" s="542">
        <v>16</v>
      </c>
      <c r="W151" s="543">
        <v>9399</v>
      </c>
    </row>
    <row r="152" spans="1:23" x14ac:dyDescent="0.25">
      <c r="A152">
        <v>147</v>
      </c>
      <c r="B152" t="s">
        <v>179</v>
      </c>
      <c r="C152" t="s">
        <v>18</v>
      </c>
      <c r="D152" t="s">
        <v>16</v>
      </c>
      <c r="F152" s="520">
        <v>0</v>
      </c>
      <c r="G152" s="520">
        <v>0</v>
      </c>
      <c r="H152" s="520">
        <v>0</v>
      </c>
      <c r="I152" s="517"/>
      <c r="J152" s="520">
        <v>0</v>
      </c>
      <c r="K152" s="520">
        <v>0</v>
      </c>
      <c r="L152" s="520">
        <v>0</v>
      </c>
      <c r="M152" s="517"/>
      <c r="N152" s="542">
        <v>0</v>
      </c>
      <c r="O152" s="543">
        <v>0</v>
      </c>
      <c r="P152" s="543">
        <v>0</v>
      </c>
      <c r="Q152" s="517"/>
      <c r="R152" s="520">
        <v>0</v>
      </c>
      <c r="S152" s="520">
        <v>0</v>
      </c>
      <c r="T152" s="520">
        <v>0</v>
      </c>
      <c r="U152" s="517"/>
      <c r="V152" s="542">
        <v>0</v>
      </c>
      <c r="W152" s="543">
        <v>0</v>
      </c>
    </row>
    <row r="153" spans="1:23" x14ac:dyDescent="0.25">
      <c r="A153">
        <v>148</v>
      </c>
      <c r="B153" t="s">
        <v>180</v>
      </c>
      <c r="C153" t="s">
        <v>18</v>
      </c>
      <c r="D153" t="s">
        <v>16</v>
      </c>
      <c r="F153" s="520">
        <v>22</v>
      </c>
      <c r="G153" s="520">
        <v>430571.71</v>
      </c>
      <c r="H153" s="520">
        <v>1100</v>
      </c>
      <c r="I153" s="523"/>
      <c r="J153" s="520">
        <v>0</v>
      </c>
      <c r="K153" s="520">
        <v>0</v>
      </c>
      <c r="L153" s="520">
        <v>0</v>
      </c>
      <c r="M153" s="523"/>
      <c r="N153" s="542">
        <v>22</v>
      </c>
      <c r="O153" s="543">
        <v>430571.71</v>
      </c>
      <c r="P153" s="543">
        <v>1100</v>
      </c>
      <c r="Q153" s="517"/>
      <c r="R153" s="520">
        <v>0</v>
      </c>
      <c r="S153" s="520">
        <v>0</v>
      </c>
      <c r="T153" s="520">
        <v>0</v>
      </c>
      <c r="U153" s="517"/>
      <c r="V153" s="542">
        <v>22</v>
      </c>
      <c r="W153" s="543">
        <v>430571.71</v>
      </c>
    </row>
    <row r="154" spans="1:23" x14ac:dyDescent="0.25">
      <c r="A154">
        <v>149</v>
      </c>
      <c r="B154" t="s">
        <v>181</v>
      </c>
      <c r="C154" t="s">
        <v>18</v>
      </c>
      <c r="D154" t="s">
        <v>16</v>
      </c>
      <c r="F154" s="520">
        <v>7</v>
      </c>
      <c r="G154" s="520">
        <v>126311.25</v>
      </c>
      <c r="H154" s="520">
        <v>350</v>
      </c>
      <c r="I154" s="517"/>
      <c r="J154" s="520">
        <v>0</v>
      </c>
      <c r="K154" s="520">
        <v>0</v>
      </c>
      <c r="L154" s="520">
        <v>0</v>
      </c>
      <c r="M154" s="517"/>
      <c r="N154" s="542">
        <v>7</v>
      </c>
      <c r="O154" s="543">
        <v>126311.25</v>
      </c>
      <c r="P154" s="543">
        <v>350</v>
      </c>
      <c r="Q154" s="517"/>
      <c r="R154" s="520">
        <v>0</v>
      </c>
      <c r="S154" s="520">
        <v>0</v>
      </c>
      <c r="T154" s="520">
        <v>0</v>
      </c>
      <c r="U154" s="517"/>
      <c r="V154" s="542">
        <v>7</v>
      </c>
      <c r="W154" s="543">
        <v>126311.25</v>
      </c>
    </row>
    <row r="155" spans="1:23" x14ac:dyDescent="0.25">
      <c r="A155">
        <v>150</v>
      </c>
      <c r="B155" t="s">
        <v>182</v>
      </c>
      <c r="C155" t="s">
        <v>18</v>
      </c>
      <c r="D155" t="s">
        <v>16</v>
      </c>
      <c r="F155" s="520">
        <v>0</v>
      </c>
      <c r="G155" s="520">
        <v>0</v>
      </c>
      <c r="H155" s="520">
        <v>0</v>
      </c>
      <c r="I155" s="517"/>
      <c r="J155" s="520">
        <v>0</v>
      </c>
      <c r="K155" s="520">
        <v>0</v>
      </c>
      <c r="L155" s="520">
        <v>0</v>
      </c>
      <c r="M155" s="517"/>
      <c r="N155" s="542">
        <v>0</v>
      </c>
      <c r="O155" s="543">
        <v>0</v>
      </c>
      <c r="P155" s="543">
        <v>0</v>
      </c>
      <c r="Q155" s="517"/>
      <c r="R155" s="520">
        <v>0</v>
      </c>
      <c r="S155" s="520">
        <v>0</v>
      </c>
      <c r="T155" s="520">
        <v>0</v>
      </c>
      <c r="U155" s="517"/>
      <c r="V155" s="542">
        <v>0</v>
      </c>
      <c r="W155" s="543">
        <v>0</v>
      </c>
    </row>
    <row r="156" spans="1:23" x14ac:dyDescent="0.25">
      <c r="A156">
        <v>151</v>
      </c>
      <c r="B156" t="s">
        <v>183</v>
      </c>
      <c r="C156" t="s">
        <v>25</v>
      </c>
      <c r="D156" t="s">
        <v>20</v>
      </c>
      <c r="F156" s="520">
        <v>0</v>
      </c>
      <c r="G156" s="520">
        <v>0</v>
      </c>
      <c r="H156" s="520">
        <v>0</v>
      </c>
      <c r="I156" s="517"/>
      <c r="J156" s="520">
        <v>0</v>
      </c>
      <c r="K156" s="520">
        <v>0</v>
      </c>
      <c r="L156" s="520">
        <v>0</v>
      </c>
      <c r="M156" s="517"/>
      <c r="N156" s="542">
        <v>0</v>
      </c>
      <c r="O156" s="543">
        <v>0</v>
      </c>
      <c r="P156" s="543">
        <v>0</v>
      </c>
      <c r="Q156" s="517"/>
      <c r="R156" s="520">
        <v>0</v>
      </c>
      <c r="S156" s="520">
        <v>0</v>
      </c>
      <c r="T156" s="520">
        <v>0</v>
      </c>
      <c r="U156" s="517"/>
      <c r="V156" s="542">
        <v>0</v>
      </c>
      <c r="W156" s="543">
        <v>0</v>
      </c>
    </row>
    <row r="157" spans="1:23" x14ac:dyDescent="0.25">
      <c r="A157">
        <v>152</v>
      </c>
      <c r="B157" t="s">
        <v>184</v>
      </c>
      <c r="C157" t="s">
        <v>41</v>
      </c>
      <c r="D157" t="s">
        <v>16</v>
      </c>
      <c r="F157" s="520">
        <v>0</v>
      </c>
      <c r="G157" s="520">
        <v>0</v>
      </c>
      <c r="H157" s="520">
        <v>0</v>
      </c>
      <c r="I157" s="517"/>
      <c r="J157" s="520">
        <v>0</v>
      </c>
      <c r="K157" s="520">
        <v>0</v>
      </c>
      <c r="L157" s="520">
        <v>0</v>
      </c>
      <c r="M157" s="517"/>
      <c r="N157" s="542">
        <v>0</v>
      </c>
      <c r="O157" s="543">
        <v>0</v>
      </c>
      <c r="P157" s="543">
        <v>0</v>
      </c>
      <c r="Q157" s="517"/>
      <c r="R157" s="520">
        <v>0</v>
      </c>
      <c r="S157" s="520">
        <v>0</v>
      </c>
      <c r="T157" s="520">
        <v>0</v>
      </c>
      <c r="U157" s="517"/>
      <c r="V157" s="542">
        <v>0</v>
      </c>
      <c r="W157" s="543">
        <v>0</v>
      </c>
    </row>
    <row r="158" spans="1:23" x14ac:dyDescent="0.25">
      <c r="A158">
        <v>153</v>
      </c>
      <c r="B158" t="s">
        <v>185</v>
      </c>
      <c r="C158" t="s">
        <v>15</v>
      </c>
      <c r="D158" t="s">
        <v>16</v>
      </c>
      <c r="F158" s="520">
        <v>0</v>
      </c>
      <c r="G158" s="520">
        <v>0</v>
      </c>
      <c r="H158" s="520">
        <v>0</v>
      </c>
      <c r="I158" s="517"/>
      <c r="J158" s="520">
        <v>0</v>
      </c>
      <c r="K158" s="520">
        <v>0</v>
      </c>
      <c r="L158" s="520">
        <v>0</v>
      </c>
      <c r="M158" s="517"/>
      <c r="N158" s="542">
        <v>0</v>
      </c>
      <c r="O158" s="543">
        <v>0</v>
      </c>
      <c r="P158" s="543">
        <v>0</v>
      </c>
      <c r="Q158" s="517"/>
      <c r="R158" s="520">
        <v>0</v>
      </c>
      <c r="S158" s="520">
        <v>0</v>
      </c>
      <c r="T158" s="520">
        <v>0</v>
      </c>
      <c r="U158" s="517"/>
      <c r="V158" s="542">
        <v>0</v>
      </c>
      <c r="W158" s="543">
        <v>0</v>
      </c>
    </row>
    <row r="159" spans="1:23" x14ac:dyDescent="0.25">
      <c r="A159">
        <v>154</v>
      </c>
      <c r="B159" t="s">
        <v>186</v>
      </c>
      <c r="C159" t="s">
        <v>187</v>
      </c>
      <c r="D159" t="s">
        <v>16</v>
      </c>
      <c r="F159" s="520">
        <v>0</v>
      </c>
      <c r="G159" s="520">
        <v>0</v>
      </c>
      <c r="H159" s="520">
        <v>0</v>
      </c>
      <c r="I159" s="517"/>
      <c r="J159" s="520">
        <v>0</v>
      </c>
      <c r="K159" s="520">
        <v>0</v>
      </c>
      <c r="L159" s="520">
        <v>0</v>
      </c>
      <c r="M159" s="517"/>
      <c r="N159" s="542">
        <v>0</v>
      </c>
      <c r="O159" s="543">
        <v>0</v>
      </c>
      <c r="P159" s="543">
        <v>0</v>
      </c>
      <c r="Q159" s="517"/>
      <c r="R159" s="520">
        <v>0</v>
      </c>
      <c r="S159" s="520">
        <v>0</v>
      </c>
      <c r="T159" s="520">
        <v>0</v>
      </c>
      <c r="U159" s="517"/>
      <c r="V159" s="542">
        <v>0</v>
      </c>
      <c r="W159" s="543">
        <v>0</v>
      </c>
    </row>
    <row r="160" spans="1:23" x14ac:dyDescent="0.25">
      <c r="A160">
        <v>155</v>
      </c>
      <c r="B160" t="s">
        <v>188</v>
      </c>
      <c r="C160" t="s">
        <v>189</v>
      </c>
      <c r="D160" t="s">
        <v>16</v>
      </c>
      <c r="F160" s="520">
        <v>0</v>
      </c>
      <c r="G160" s="520">
        <v>0</v>
      </c>
      <c r="H160" s="520">
        <v>0</v>
      </c>
      <c r="I160" s="517"/>
      <c r="J160" s="520">
        <v>0</v>
      </c>
      <c r="K160" s="520">
        <v>0</v>
      </c>
      <c r="L160" s="520">
        <v>0</v>
      </c>
      <c r="M160" s="517"/>
      <c r="N160" s="542">
        <v>0</v>
      </c>
      <c r="O160" s="543">
        <v>0</v>
      </c>
      <c r="P160" s="543">
        <v>0</v>
      </c>
      <c r="Q160" s="517"/>
      <c r="R160" s="520">
        <v>0</v>
      </c>
      <c r="S160" s="520">
        <v>0</v>
      </c>
      <c r="T160" s="520">
        <v>0</v>
      </c>
      <c r="U160" s="517"/>
      <c r="V160" s="542">
        <v>0</v>
      </c>
      <c r="W160" s="543">
        <v>0</v>
      </c>
    </row>
    <row r="161" spans="1:23" x14ac:dyDescent="0.25">
      <c r="A161">
        <v>156</v>
      </c>
      <c r="B161" t="s">
        <v>190</v>
      </c>
      <c r="C161" t="s">
        <v>191</v>
      </c>
      <c r="D161" t="s">
        <v>16</v>
      </c>
      <c r="F161" s="520">
        <v>0</v>
      </c>
      <c r="G161" s="520">
        <v>0</v>
      </c>
      <c r="H161" s="520">
        <v>0</v>
      </c>
      <c r="I161" s="517"/>
      <c r="J161" s="520">
        <v>0</v>
      </c>
      <c r="K161" s="520">
        <v>0</v>
      </c>
      <c r="L161" s="520">
        <v>0</v>
      </c>
      <c r="M161" s="517"/>
      <c r="N161" s="542">
        <v>0</v>
      </c>
      <c r="O161" s="543">
        <v>0</v>
      </c>
      <c r="P161" s="543">
        <v>0</v>
      </c>
      <c r="Q161" s="517"/>
      <c r="R161" s="520">
        <v>0</v>
      </c>
      <c r="S161" s="520">
        <v>0</v>
      </c>
      <c r="T161" s="520">
        <v>0</v>
      </c>
      <c r="U161" s="517"/>
      <c r="V161" s="542">
        <v>0</v>
      </c>
      <c r="W161" s="543">
        <v>0</v>
      </c>
    </row>
    <row r="162" spans="1:23" x14ac:dyDescent="0.25">
      <c r="A162">
        <v>157</v>
      </c>
      <c r="B162" t="s">
        <v>192</v>
      </c>
      <c r="C162" t="s">
        <v>189</v>
      </c>
      <c r="D162" t="s">
        <v>16</v>
      </c>
      <c r="F162" s="520">
        <v>0</v>
      </c>
      <c r="G162" s="520">
        <v>0</v>
      </c>
      <c r="H162" s="520">
        <v>0</v>
      </c>
      <c r="I162" s="517"/>
      <c r="J162" s="520">
        <v>0</v>
      </c>
      <c r="K162" s="520">
        <v>0</v>
      </c>
      <c r="L162" s="520">
        <v>0</v>
      </c>
      <c r="M162" s="517"/>
      <c r="N162" s="542">
        <v>0</v>
      </c>
      <c r="O162" s="543">
        <v>0</v>
      </c>
      <c r="P162" s="543">
        <v>0</v>
      </c>
      <c r="Q162" s="517"/>
      <c r="R162" s="520">
        <v>0</v>
      </c>
      <c r="S162" s="520">
        <v>0</v>
      </c>
      <c r="T162" s="520">
        <v>0</v>
      </c>
      <c r="U162" s="517"/>
      <c r="V162" s="542">
        <v>0</v>
      </c>
      <c r="W162" s="543">
        <v>0</v>
      </c>
    </row>
    <row r="163" spans="1:23" x14ac:dyDescent="0.25">
      <c r="A163">
        <v>158</v>
      </c>
      <c r="B163" t="s">
        <v>193</v>
      </c>
      <c r="D163" t="s">
        <v>16</v>
      </c>
      <c r="F163" s="520">
        <v>0</v>
      </c>
      <c r="G163" s="520">
        <v>0</v>
      </c>
      <c r="H163" s="520">
        <v>0</v>
      </c>
      <c r="I163" s="517"/>
      <c r="J163" s="520">
        <v>0</v>
      </c>
      <c r="K163" s="520">
        <v>0</v>
      </c>
      <c r="L163" s="520">
        <v>0</v>
      </c>
      <c r="M163" s="517"/>
      <c r="N163" s="542">
        <v>0</v>
      </c>
      <c r="O163" s="543">
        <v>0</v>
      </c>
      <c r="P163" s="543">
        <v>0</v>
      </c>
      <c r="Q163" s="517"/>
      <c r="R163" s="520">
        <v>0</v>
      </c>
      <c r="S163" s="520">
        <v>0</v>
      </c>
      <c r="T163" s="520">
        <v>0</v>
      </c>
      <c r="U163" s="517"/>
      <c r="V163" s="542">
        <v>0</v>
      </c>
      <c r="W163" s="543">
        <v>0</v>
      </c>
    </row>
    <row r="164" spans="1:23" x14ac:dyDescent="0.25">
      <c r="A164">
        <v>159</v>
      </c>
      <c r="B164" t="s">
        <v>194</v>
      </c>
      <c r="D164" t="s">
        <v>16</v>
      </c>
      <c r="F164" s="520">
        <v>0</v>
      </c>
      <c r="G164" s="520">
        <v>0</v>
      </c>
      <c r="H164" s="520">
        <v>0</v>
      </c>
      <c r="I164" s="517"/>
      <c r="J164" s="520">
        <v>0</v>
      </c>
      <c r="K164" s="520">
        <v>0</v>
      </c>
      <c r="L164" s="520">
        <v>0</v>
      </c>
      <c r="M164" s="517"/>
      <c r="N164" s="542">
        <v>0</v>
      </c>
      <c r="O164" s="543">
        <v>0</v>
      </c>
      <c r="P164" s="543">
        <v>0</v>
      </c>
      <c r="Q164" s="517"/>
      <c r="R164" s="520">
        <v>0</v>
      </c>
      <c r="S164" s="520">
        <v>0</v>
      </c>
      <c r="T164" s="520">
        <v>0</v>
      </c>
      <c r="U164" s="517"/>
      <c r="V164" s="542">
        <v>0</v>
      </c>
      <c r="W164" s="543">
        <v>0</v>
      </c>
    </row>
    <row r="165" spans="1:23" x14ac:dyDescent="0.25">
      <c r="A165">
        <v>160</v>
      </c>
      <c r="B165" t="s">
        <v>195</v>
      </c>
      <c r="D165" t="s">
        <v>16</v>
      </c>
      <c r="F165" s="520">
        <v>0</v>
      </c>
      <c r="G165" s="520">
        <v>0</v>
      </c>
      <c r="H165" s="520">
        <v>0</v>
      </c>
      <c r="I165" s="517"/>
      <c r="J165" s="520">
        <v>0</v>
      </c>
      <c r="K165" s="520">
        <v>0</v>
      </c>
      <c r="L165" s="520">
        <v>0</v>
      </c>
      <c r="M165" s="517"/>
      <c r="N165" s="542">
        <v>0</v>
      </c>
      <c r="O165" s="543">
        <v>0</v>
      </c>
      <c r="P165" s="543">
        <v>0</v>
      </c>
      <c r="Q165" s="517"/>
      <c r="R165" s="520">
        <v>0</v>
      </c>
      <c r="S165" s="520">
        <v>0</v>
      </c>
      <c r="T165" s="520">
        <v>0</v>
      </c>
      <c r="U165" s="517"/>
      <c r="V165" s="542">
        <v>0</v>
      </c>
      <c r="W165" s="543">
        <v>0</v>
      </c>
    </row>
    <row r="166" spans="1:23" x14ac:dyDescent="0.25">
      <c r="A166">
        <v>161</v>
      </c>
      <c r="B166" t="s">
        <v>196</v>
      </c>
      <c r="D166" t="s">
        <v>16</v>
      </c>
      <c r="F166" s="520">
        <v>0</v>
      </c>
      <c r="G166" s="520">
        <v>0</v>
      </c>
      <c r="H166" s="520">
        <v>0</v>
      </c>
      <c r="I166" s="517"/>
      <c r="J166" s="520">
        <v>0</v>
      </c>
      <c r="K166" s="520">
        <v>0</v>
      </c>
      <c r="L166" s="520">
        <v>0</v>
      </c>
      <c r="M166" s="517"/>
      <c r="N166" s="542">
        <v>0</v>
      </c>
      <c r="O166" s="543">
        <v>0</v>
      </c>
      <c r="P166" s="543">
        <v>0</v>
      </c>
      <c r="Q166" s="517"/>
      <c r="R166" s="520">
        <v>0</v>
      </c>
      <c r="S166" s="520">
        <v>0</v>
      </c>
      <c r="T166" s="520">
        <v>0</v>
      </c>
      <c r="U166" s="517"/>
      <c r="V166" s="542">
        <v>0</v>
      </c>
      <c r="W166" s="543">
        <v>0</v>
      </c>
    </row>
    <row r="167" spans="1:23" x14ac:dyDescent="0.25">
      <c r="A167">
        <v>162</v>
      </c>
      <c r="B167" t="s">
        <v>197</v>
      </c>
      <c r="D167" t="s">
        <v>16</v>
      </c>
      <c r="F167" s="520">
        <v>0</v>
      </c>
      <c r="G167" s="520">
        <v>0</v>
      </c>
      <c r="H167" s="520">
        <v>0</v>
      </c>
      <c r="I167" s="517"/>
      <c r="J167" s="520">
        <v>0</v>
      </c>
      <c r="K167" s="520">
        <v>0</v>
      </c>
      <c r="L167" s="520">
        <v>0</v>
      </c>
      <c r="M167" s="517"/>
      <c r="N167" s="542">
        <v>0</v>
      </c>
      <c r="O167" s="543">
        <v>0</v>
      </c>
      <c r="P167" s="543">
        <v>0</v>
      </c>
      <c r="Q167" s="517"/>
      <c r="R167" s="520">
        <v>0</v>
      </c>
      <c r="S167" s="520">
        <v>0</v>
      </c>
      <c r="T167" s="520">
        <v>0</v>
      </c>
      <c r="U167" s="517"/>
      <c r="V167" s="542">
        <v>0</v>
      </c>
      <c r="W167" s="543">
        <v>0</v>
      </c>
    </row>
    <row r="168" spans="1:23" x14ac:dyDescent="0.25">
      <c r="A168">
        <v>163</v>
      </c>
      <c r="B168" t="s">
        <v>198</v>
      </c>
      <c r="D168" t="s">
        <v>16</v>
      </c>
      <c r="F168" s="520">
        <v>0</v>
      </c>
      <c r="G168" s="520">
        <v>0</v>
      </c>
      <c r="H168" s="520">
        <v>0</v>
      </c>
      <c r="I168" s="517"/>
      <c r="J168" s="520">
        <v>0</v>
      </c>
      <c r="K168" s="520">
        <v>0</v>
      </c>
      <c r="L168" s="520">
        <v>0</v>
      </c>
      <c r="M168" s="517"/>
      <c r="N168" s="542">
        <v>0</v>
      </c>
      <c r="O168" s="543">
        <v>0</v>
      </c>
      <c r="P168" s="543">
        <v>0</v>
      </c>
      <c r="Q168" s="517"/>
      <c r="R168" s="520">
        <v>0</v>
      </c>
      <c r="S168" s="520">
        <v>0</v>
      </c>
      <c r="T168" s="520">
        <v>0</v>
      </c>
      <c r="U168" s="517"/>
      <c r="V168" s="542">
        <v>0</v>
      </c>
      <c r="W168" s="543">
        <v>0</v>
      </c>
    </row>
    <row r="169" spans="1:23" x14ac:dyDescent="0.25">
      <c r="A169">
        <v>164</v>
      </c>
      <c r="B169" t="s">
        <v>199</v>
      </c>
      <c r="D169" t="s">
        <v>16</v>
      </c>
      <c r="F169" s="520">
        <v>0</v>
      </c>
      <c r="G169" s="520">
        <v>0</v>
      </c>
      <c r="H169" s="520">
        <v>0</v>
      </c>
      <c r="I169" s="517"/>
      <c r="J169" s="520">
        <v>0</v>
      </c>
      <c r="K169" s="520">
        <v>0</v>
      </c>
      <c r="L169" s="520">
        <v>0</v>
      </c>
      <c r="M169" s="517"/>
      <c r="N169" s="542">
        <v>0</v>
      </c>
      <c r="O169" s="543">
        <v>0</v>
      </c>
      <c r="P169" s="543">
        <v>0</v>
      </c>
      <c r="Q169" s="517"/>
      <c r="R169" s="520">
        <v>0</v>
      </c>
      <c r="S169" s="520">
        <v>0</v>
      </c>
      <c r="T169" s="520">
        <v>0</v>
      </c>
      <c r="U169" s="517"/>
      <c r="V169" s="542">
        <v>0</v>
      </c>
      <c r="W169" s="543">
        <v>0</v>
      </c>
    </row>
    <row r="170" spans="1:23" x14ac:dyDescent="0.25">
      <c r="A170">
        <v>165</v>
      </c>
      <c r="B170" t="s">
        <v>200</v>
      </c>
      <c r="D170" t="s">
        <v>16</v>
      </c>
      <c r="F170" s="520">
        <v>0</v>
      </c>
      <c r="G170" s="520">
        <v>0</v>
      </c>
      <c r="H170" s="520">
        <v>0</v>
      </c>
      <c r="I170" s="517"/>
      <c r="J170" s="520">
        <v>0</v>
      </c>
      <c r="K170" s="520">
        <v>0</v>
      </c>
      <c r="L170" s="520">
        <v>0</v>
      </c>
      <c r="M170" s="517"/>
      <c r="N170" s="542">
        <v>0</v>
      </c>
      <c r="O170" s="543">
        <v>0</v>
      </c>
      <c r="P170" s="543">
        <v>0</v>
      </c>
      <c r="Q170" s="517"/>
      <c r="R170" s="520">
        <v>0</v>
      </c>
      <c r="S170" s="520">
        <v>0</v>
      </c>
      <c r="T170" s="520">
        <v>0</v>
      </c>
      <c r="U170" s="517"/>
      <c r="V170" s="542">
        <v>0</v>
      </c>
      <c r="W170" s="543">
        <v>0</v>
      </c>
    </row>
    <row r="171" spans="1:23" x14ac:dyDescent="0.25">
      <c r="A171">
        <v>166</v>
      </c>
      <c r="B171" t="s">
        <v>201</v>
      </c>
      <c r="D171" t="s">
        <v>16</v>
      </c>
      <c r="F171" s="520">
        <v>0</v>
      </c>
      <c r="G171" s="520">
        <v>0</v>
      </c>
      <c r="H171" s="520">
        <v>0</v>
      </c>
      <c r="I171" s="517"/>
      <c r="J171" s="520">
        <v>0</v>
      </c>
      <c r="K171" s="520">
        <v>0</v>
      </c>
      <c r="L171" s="520">
        <v>0</v>
      </c>
      <c r="M171" s="517"/>
      <c r="N171" s="542">
        <v>0</v>
      </c>
      <c r="O171" s="543">
        <v>0</v>
      </c>
      <c r="P171" s="543">
        <v>0</v>
      </c>
      <c r="Q171" s="517"/>
      <c r="R171" s="520">
        <v>0</v>
      </c>
      <c r="S171" s="520">
        <v>0</v>
      </c>
      <c r="T171" s="520">
        <v>0</v>
      </c>
      <c r="U171" s="517"/>
      <c r="V171" s="542">
        <v>0</v>
      </c>
      <c r="W171" s="543">
        <v>0</v>
      </c>
    </row>
    <row r="172" spans="1:23" x14ac:dyDescent="0.25">
      <c r="A172">
        <v>167</v>
      </c>
      <c r="B172" t="s">
        <v>202</v>
      </c>
      <c r="D172" t="s">
        <v>16</v>
      </c>
      <c r="F172" s="520">
        <v>0</v>
      </c>
      <c r="G172" s="520">
        <v>0</v>
      </c>
      <c r="H172" s="520">
        <v>0</v>
      </c>
      <c r="I172" s="517"/>
      <c r="J172" s="520">
        <v>0</v>
      </c>
      <c r="K172" s="520">
        <v>0</v>
      </c>
      <c r="L172" s="520">
        <v>0</v>
      </c>
      <c r="M172" s="517"/>
      <c r="N172" s="542">
        <v>0</v>
      </c>
      <c r="O172" s="543">
        <v>0</v>
      </c>
      <c r="P172" s="543">
        <v>0</v>
      </c>
      <c r="Q172" s="517"/>
      <c r="R172" s="520">
        <v>0</v>
      </c>
      <c r="S172" s="520">
        <v>0</v>
      </c>
      <c r="T172" s="520">
        <v>0</v>
      </c>
      <c r="U172" s="517"/>
      <c r="V172" s="542">
        <v>0</v>
      </c>
      <c r="W172" s="543">
        <v>0</v>
      </c>
    </row>
    <row r="173" spans="1:23" x14ac:dyDescent="0.25">
      <c r="A173">
        <v>168</v>
      </c>
      <c r="B173" t="s">
        <v>203</v>
      </c>
      <c r="D173" t="s">
        <v>16</v>
      </c>
      <c r="F173" s="520">
        <v>0</v>
      </c>
      <c r="G173" s="520">
        <v>0</v>
      </c>
      <c r="H173" s="520">
        <v>0</v>
      </c>
      <c r="I173" s="517"/>
      <c r="J173" s="520">
        <v>0</v>
      </c>
      <c r="K173" s="520">
        <v>0</v>
      </c>
      <c r="L173" s="520">
        <v>0</v>
      </c>
      <c r="M173" s="517"/>
      <c r="N173" s="542">
        <v>0</v>
      </c>
      <c r="O173" s="543">
        <v>0</v>
      </c>
      <c r="P173" s="543">
        <v>0</v>
      </c>
      <c r="Q173" s="517"/>
      <c r="R173" s="520">
        <v>0</v>
      </c>
      <c r="S173" s="520">
        <v>0</v>
      </c>
      <c r="T173" s="520">
        <v>0</v>
      </c>
      <c r="U173" s="517"/>
      <c r="V173" s="542">
        <v>0</v>
      </c>
      <c r="W173" s="543">
        <v>0</v>
      </c>
    </row>
    <row r="174" spans="1:23" x14ac:dyDescent="0.25">
      <c r="A174">
        <v>169</v>
      </c>
      <c r="B174" t="s">
        <v>204</v>
      </c>
      <c r="D174" t="s">
        <v>16</v>
      </c>
      <c r="F174" s="520">
        <v>0</v>
      </c>
      <c r="G174" s="520">
        <v>0</v>
      </c>
      <c r="H174" s="520">
        <v>0</v>
      </c>
      <c r="I174" s="517"/>
      <c r="J174" s="520">
        <v>0</v>
      </c>
      <c r="K174" s="520">
        <v>0</v>
      </c>
      <c r="L174" s="520">
        <v>0</v>
      </c>
      <c r="M174" s="517"/>
      <c r="N174" s="542">
        <v>0</v>
      </c>
      <c r="O174" s="543">
        <v>0</v>
      </c>
      <c r="P174" s="543">
        <v>0</v>
      </c>
      <c r="Q174" s="517"/>
      <c r="R174" s="520">
        <v>0</v>
      </c>
      <c r="S174" s="520">
        <v>0</v>
      </c>
      <c r="T174" s="520">
        <v>0</v>
      </c>
      <c r="U174" s="517"/>
      <c r="V174" s="542">
        <v>0</v>
      </c>
      <c r="W174" s="543">
        <v>0</v>
      </c>
    </row>
    <row r="175" spans="1:23" x14ac:dyDescent="0.25">
      <c r="A175">
        <v>170</v>
      </c>
      <c r="B175" t="s">
        <v>205</v>
      </c>
      <c r="D175" t="s">
        <v>16</v>
      </c>
      <c r="F175" s="520">
        <v>0</v>
      </c>
      <c r="G175" s="520">
        <v>0</v>
      </c>
      <c r="H175" s="520">
        <v>0</v>
      </c>
      <c r="I175" s="517"/>
      <c r="J175" s="520">
        <v>0</v>
      </c>
      <c r="K175" s="520">
        <v>0</v>
      </c>
      <c r="L175" s="520">
        <v>0</v>
      </c>
      <c r="M175" s="517"/>
      <c r="N175" s="542">
        <v>0</v>
      </c>
      <c r="O175" s="543">
        <v>0</v>
      </c>
      <c r="P175" s="543">
        <v>0</v>
      </c>
      <c r="Q175" s="517"/>
      <c r="R175" s="520">
        <v>0</v>
      </c>
      <c r="S175" s="520">
        <v>0</v>
      </c>
      <c r="T175" s="520">
        <v>0</v>
      </c>
      <c r="U175" s="517"/>
      <c r="V175" s="542">
        <v>0</v>
      </c>
      <c r="W175" s="543">
        <v>0</v>
      </c>
    </row>
    <row r="176" spans="1:23" x14ac:dyDescent="0.25">
      <c r="A176">
        <v>171</v>
      </c>
      <c r="B176" t="s">
        <v>206</v>
      </c>
      <c r="D176" t="s">
        <v>16</v>
      </c>
      <c r="F176" s="520">
        <v>0</v>
      </c>
      <c r="G176" s="520">
        <v>0</v>
      </c>
      <c r="H176" s="520">
        <v>0</v>
      </c>
      <c r="I176" s="517"/>
      <c r="J176" s="520">
        <v>0</v>
      </c>
      <c r="K176" s="520">
        <v>0</v>
      </c>
      <c r="L176" s="520">
        <v>0</v>
      </c>
      <c r="M176" s="517"/>
      <c r="N176" s="542">
        <v>0</v>
      </c>
      <c r="O176" s="543">
        <v>0</v>
      </c>
      <c r="P176" s="543">
        <v>0</v>
      </c>
      <c r="Q176" s="517"/>
      <c r="R176" s="520">
        <v>0</v>
      </c>
      <c r="S176" s="520">
        <v>0</v>
      </c>
      <c r="T176" s="520">
        <v>0</v>
      </c>
      <c r="U176" s="517"/>
      <c r="V176" s="542">
        <v>0</v>
      </c>
      <c r="W176" s="543">
        <v>0</v>
      </c>
    </row>
    <row r="177" spans="1:23" x14ac:dyDescent="0.25">
      <c r="A177">
        <v>172</v>
      </c>
      <c r="B177" t="s">
        <v>207</v>
      </c>
      <c r="D177" t="s">
        <v>16</v>
      </c>
      <c r="F177" s="520">
        <v>0</v>
      </c>
      <c r="G177" s="520">
        <v>0</v>
      </c>
      <c r="H177" s="520">
        <v>0</v>
      </c>
      <c r="I177" s="517"/>
      <c r="J177" s="520">
        <v>0</v>
      </c>
      <c r="K177" s="520">
        <v>0</v>
      </c>
      <c r="L177" s="520">
        <v>0</v>
      </c>
      <c r="M177" s="517"/>
      <c r="N177" s="542">
        <v>0</v>
      </c>
      <c r="O177" s="543">
        <v>0</v>
      </c>
      <c r="P177" s="543">
        <v>0</v>
      </c>
      <c r="Q177" s="517"/>
      <c r="R177" s="520">
        <v>0</v>
      </c>
      <c r="S177" s="520">
        <v>0</v>
      </c>
      <c r="T177" s="520">
        <v>0</v>
      </c>
      <c r="U177" s="517"/>
      <c r="V177" s="542">
        <v>0</v>
      </c>
      <c r="W177" s="543">
        <v>0</v>
      </c>
    </row>
    <row r="178" spans="1:23" x14ac:dyDescent="0.25">
      <c r="A178">
        <v>173</v>
      </c>
      <c r="B178" t="s">
        <v>208</v>
      </c>
      <c r="D178" t="s">
        <v>16</v>
      </c>
      <c r="F178" s="520">
        <v>0</v>
      </c>
      <c r="G178" s="520">
        <v>0</v>
      </c>
      <c r="H178" s="520">
        <v>0</v>
      </c>
      <c r="I178" s="517"/>
      <c r="J178" s="520">
        <v>0</v>
      </c>
      <c r="K178" s="520">
        <v>0</v>
      </c>
      <c r="L178" s="520">
        <v>0</v>
      </c>
      <c r="M178" s="517"/>
      <c r="N178" s="542">
        <v>0</v>
      </c>
      <c r="O178" s="543">
        <v>0</v>
      </c>
      <c r="P178" s="543">
        <v>0</v>
      </c>
      <c r="Q178" s="517"/>
      <c r="R178" s="520">
        <v>0</v>
      </c>
      <c r="S178" s="520">
        <v>0</v>
      </c>
      <c r="T178" s="520">
        <v>0</v>
      </c>
      <c r="U178" s="517"/>
      <c r="V178" s="542">
        <v>0</v>
      </c>
      <c r="W178" s="543">
        <v>0</v>
      </c>
    </row>
    <row r="179" spans="1:23" x14ac:dyDescent="0.25">
      <c r="A179">
        <v>174</v>
      </c>
      <c r="B179" t="s">
        <v>209</v>
      </c>
      <c r="C179" t="s">
        <v>24</v>
      </c>
      <c r="D179" t="s">
        <v>16</v>
      </c>
      <c r="F179" s="520">
        <v>191</v>
      </c>
      <c r="G179" s="520">
        <v>205308.46000000002</v>
      </c>
      <c r="H179" s="520">
        <v>955</v>
      </c>
      <c r="I179" s="517"/>
      <c r="J179" s="520">
        <v>0</v>
      </c>
      <c r="K179" s="520">
        <v>0</v>
      </c>
      <c r="L179" s="520">
        <v>0</v>
      </c>
      <c r="M179" s="517"/>
      <c r="N179" s="542">
        <v>191</v>
      </c>
      <c r="O179" s="543">
        <v>205308.46000000002</v>
      </c>
      <c r="P179" s="543">
        <v>955</v>
      </c>
      <c r="Q179" s="517"/>
      <c r="R179" s="520">
        <v>0</v>
      </c>
      <c r="S179" s="520">
        <v>0</v>
      </c>
      <c r="T179" s="520">
        <v>0</v>
      </c>
      <c r="U179" s="517"/>
      <c r="V179" s="542">
        <v>191</v>
      </c>
      <c r="W179" s="543">
        <v>205308.46000000002</v>
      </c>
    </row>
    <row r="180" spans="1:23" x14ac:dyDescent="0.25">
      <c r="A180">
        <v>175</v>
      </c>
      <c r="B180" t="s">
        <v>2228</v>
      </c>
      <c r="C180" t="s">
        <v>18</v>
      </c>
      <c r="D180" t="s">
        <v>20</v>
      </c>
      <c r="F180" s="520">
        <v>6</v>
      </c>
      <c r="G180" s="520">
        <v>84333.95</v>
      </c>
      <c r="H180" s="520">
        <v>180</v>
      </c>
      <c r="I180" s="517"/>
      <c r="J180" s="520">
        <v>0</v>
      </c>
      <c r="K180" s="520">
        <v>0</v>
      </c>
      <c r="L180" s="520">
        <v>0</v>
      </c>
      <c r="M180" s="517"/>
      <c r="N180" s="542">
        <v>6</v>
      </c>
      <c r="O180" s="543">
        <v>84333.95</v>
      </c>
      <c r="P180" s="543">
        <v>180</v>
      </c>
      <c r="Q180" s="517"/>
      <c r="R180" s="520">
        <v>0</v>
      </c>
      <c r="S180" s="520">
        <v>0</v>
      </c>
      <c r="T180" s="520">
        <v>0</v>
      </c>
      <c r="U180" s="517"/>
      <c r="V180" s="542">
        <v>6</v>
      </c>
      <c r="W180" s="543">
        <v>84333.95</v>
      </c>
    </row>
    <row r="181" spans="1:23" x14ac:dyDescent="0.25">
      <c r="A181">
        <v>176</v>
      </c>
      <c r="B181" t="s">
        <v>210</v>
      </c>
      <c r="C181" t="s">
        <v>24</v>
      </c>
      <c r="D181" t="s">
        <v>20</v>
      </c>
      <c r="F181" s="520">
        <v>0</v>
      </c>
      <c r="G181" s="520">
        <v>0</v>
      </c>
      <c r="H181" s="520">
        <v>0</v>
      </c>
      <c r="I181" s="517"/>
      <c r="J181" s="520">
        <v>0</v>
      </c>
      <c r="K181" s="520">
        <v>0</v>
      </c>
      <c r="L181" s="520">
        <v>0</v>
      </c>
      <c r="M181" s="517"/>
      <c r="N181" s="542">
        <v>0</v>
      </c>
      <c r="O181" s="543">
        <v>0</v>
      </c>
      <c r="P181" s="543">
        <v>0</v>
      </c>
      <c r="Q181" s="517"/>
      <c r="R181" s="520">
        <v>0</v>
      </c>
      <c r="S181" s="520">
        <v>0</v>
      </c>
      <c r="T181" s="520">
        <v>0</v>
      </c>
      <c r="U181" s="517"/>
      <c r="V181" s="542">
        <v>0</v>
      </c>
      <c r="W181" s="543">
        <v>0</v>
      </c>
    </row>
    <row r="182" spans="1:23" x14ac:dyDescent="0.25">
      <c r="A182">
        <v>177</v>
      </c>
      <c r="B182" t="s">
        <v>211</v>
      </c>
      <c r="C182" t="s">
        <v>18</v>
      </c>
      <c r="D182" t="s">
        <v>16</v>
      </c>
      <c r="F182" s="520">
        <v>1</v>
      </c>
      <c r="G182" s="520">
        <v>2000</v>
      </c>
      <c r="H182" s="520">
        <v>30</v>
      </c>
      <c r="I182" s="517"/>
      <c r="J182" s="520">
        <v>0</v>
      </c>
      <c r="K182" s="520">
        <v>0</v>
      </c>
      <c r="L182" s="520">
        <v>0</v>
      </c>
      <c r="M182" s="517"/>
      <c r="N182" s="542">
        <v>1</v>
      </c>
      <c r="O182" s="543">
        <v>2000</v>
      </c>
      <c r="P182" s="543">
        <v>30</v>
      </c>
      <c r="Q182" s="517"/>
      <c r="R182" s="520">
        <v>0</v>
      </c>
      <c r="S182" s="520">
        <v>0</v>
      </c>
      <c r="T182" s="520">
        <v>0</v>
      </c>
      <c r="U182" s="517"/>
      <c r="V182" s="542">
        <v>1</v>
      </c>
      <c r="W182" s="543">
        <v>2000</v>
      </c>
    </row>
    <row r="183" spans="1:23" x14ac:dyDescent="0.25">
      <c r="A183">
        <v>178</v>
      </c>
      <c r="B183" t="s">
        <v>212</v>
      </c>
      <c r="C183" t="s">
        <v>18</v>
      </c>
      <c r="D183" t="s">
        <v>16</v>
      </c>
      <c r="F183" s="520">
        <v>0</v>
      </c>
      <c r="G183" s="520">
        <v>0</v>
      </c>
      <c r="H183" s="520">
        <v>0</v>
      </c>
      <c r="I183" s="517"/>
      <c r="J183" s="520">
        <v>0</v>
      </c>
      <c r="K183" s="520">
        <v>0</v>
      </c>
      <c r="L183" s="520">
        <v>0</v>
      </c>
      <c r="M183" s="517"/>
      <c r="N183" s="542">
        <v>0</v>
      </c>
      <c r="O183" s="543">
        <v>0</v>
      </c>
      <c r="P183" s="543">
        <v>0</v>
      </c>
      <c r="Q183" s="517"/>
      <c r="R183" s="520">
        <v>0</v>
      </c>
      <c r="S183" s="520">
        <v>0</v>
      </c>
      <c r="T183" s="520">
        <v>0</v>
      </c>
      <c r="U183" s="517"/>
      <c r="V183" s="542">
        <v>0</v>
      </c>
      <c r="W183" s="543">
        <v>0</v>
      </c>
    </row>
    <row r="184" spans="1:23" x14ac:dyDescent="0.25">
      <c r="A184">
        <v>179</v>
      </c>
      <c r="B184" t="s">
        <v>213</v>
      </c>
      <c r="D184" t="s">
        <v>16</v>
      </c>
      <c r="F184" s="520">
        <v>0</v>
      </c>
      <c r="G184" s="520">
        <v>0</v>
      </c>
      <c r="H184" s="520">
        <v>0</v>
      </c>
      <c r="I184" s="517"/>
      <c r="J184" s="520">
        <v>0</v>
      </c>
      <c r="K184" s="520">
        <v>0</v>
      </c>
      <c r="L184" s="520">
        <v>0</v>
      </c>
      <c r="M184" s="517"/>
      <c r="N184" s="542">
        <v>0</v>
      </c>
      <c r="O184" s="543">
        <v>0</v>
      </c>
      <c r="P184" s="543">
        <v>0</v>
      </c>
      <c r="Q184" s="517"/>
      <c r="R184" s="520">
        <v>0</v>
      </c>
      <c r="S184" s="520">
        <v>0</v>
      </c>
      <c r="T184" s="520">
        <v>0</v>
      </c>
      <c r="U184" s="517"/>
      <c r="V184" s="542">
        <v>0</v>
      </c>
      <c r="W184" s="543">
        <v>0</v>
      </c>
    </row>
    <row r="185" spans="1:23" x14ac:dyDescent="0.25">
      <c r="A185">
        <v>180</v>
      </c>
      <c r="B185" t="s">
        <v>214</v>
      </c>
      <c r="C185" t="s">
        <v>78</v>
      </c>
      <c r="D185" t="s">
        <v>16</v>
      </c>
      <c r="F185" s="520">
        <v>0</v>
      </c>
      <c r="G185" s="520">
        <v>0</v>
      </c>
      <c r="H185" s="520">
        <v>0</v>
      </c>
      <c r="I185" s="517"/>
      <c r="J185" s="520">
        <v>0</v>
      </c>
      <c r="K185" s="520">
        <v>0</v>
      </c>
      <c r="L185" s="520">
        <v>0</v>
      </c>
      <c r="M185" s="517"/>
      <c r="N185" s="542">
        <v>0</v>
      </c>
      <c r="O185" s="543">
        <v>0</v>
      </c>
      <c r="P185" s="543">
        <v>0</v>
      </c>
      <c r="Q185" s="517"/>
      <c r="R185" s="520">
        <v>0</v>
      </c>
      <c r="S185" s="520">
        <v>0</v>
      </c>
      <c r="T185" s="520">
        <v>0</v>
      </c>
      <c r="U185" s="517"/>
      <c r="V185" s="542">
        <v>0</v>
      </c>
      <c r="W185" s="543">
        <v>0</v>
      </c>
    </row>
    <row r="186" spans="1:23" x14ac:dyDescent="0.25">
      <c r="A186">
        <v>181</v>
      </c>
      <c r="B186" t="s">
        <v>215</v>
      </c>
      <c r="C186" t="s">
        <v>18</v>
      </c>
      <c r="D186" t="s">
        <v>16</v>
      </c>
      <c r="F186" s="520">
        <v>0</v>
      </c>
      <c r="G186" s="520">
        <v>0</v>
      </c>
      <c r="H186" s="520">
        <v>0</v>
      </c>
      <c r="I186" s="517"/>
      <c r="J186" s="520">
        <v>0</v>
      </c>
      <c r="K186" s="520">
        <v>0</v>
      </c>
      <c r="L186" s="520">
        <v>0</v>
      </c>
      <c r="M186" s="517"/>
      <c r="N186" s="542">
        <v>0</v>
      </c>
      <c r="O186" s="543">
        <v>0</v>
      </c>
      <c r="P186" s="543">
        <v>0</v>
      </c>
      <c r="Q186" s="517"/>
      <c r="R186" s="520">
        <v>0</v>
      </c>
      <c r="S186" s="520">
        <v>0</v>
      </c>
      <c r="T186" s="520">
        <v>0</v>
      </c>
      <c r="U186" s="517"/>
      <c r="V186" s="542">
        <v>0</v>
      </c>
      <c r="W186" s="543">
        <v>0</v>
      </c>
    </row>
    <row r="187" spans="1:23" x14ac:dyDescent="0.25">
      <c r="A187">
        <v>182</v>
      </c>
      <c r="B187" t="s">
        <v>216</v>
      </c>
      <c r="C187" t="s">
        <v>51</v>
      </c>
      <c r="D187" t="s">
        <v>20</v>
      </c>
      <c r="F187" s="520">
        <v>0</v>
      </c>
      <c r="G187" s="520">
        <v>0</v>
      </c>
      <c r="H187" s="520">
        <v>0</v>
      </c>
      <c r="I187" s="517"/>
      <c r="J187" s="520">
        <v>0</v>
      </c>
      <c r="K187" s="520">
        <v>0</v>
      </c>
      <c r="L187" s="520">
        <v>0</v>
      </c>
      <c r="M187" s="517"/>
      <c r="N187" s="542">
        <v>0</v>
      </c>
      <c r="O187" s="543">
        <v>0</v>
      </c>
      <c r="P187" s="543">
        <v>0</v>
      </c>
      <c r="Q187" s="517"/>
      <c r="R187" s="520">
        <v>0</v>
      </c>
      <c r="S187" s="520">
        <v>0</v>
      </c>
      <c r="T187" s="520">
        <v>0</v>
      </c>
      <c r="U187" s="517"/>
      <c r="V187" s="542">
        <v>0</v>
      </c>
      <c r="W187" s="543">
        <v>0</v>
      </c>
    </row>
    <row r="188" spans="1:23" x14ac:dyDescent="0.25">
      <c r="A188">
        <v>183</v>
      </c>
      <c r="B188" t="s">
        <v>3087</v>
      </c>
      <c r="C188" t="s">
        <v>18</v>
      </c>
      <c r="D188" t="s">
        <v>87</v>
      </c>
      <c r="F188" s="520">
        <v>0</v>
      </c>
      <c r="G188" s="520">
        <v>0</v>
      </c>
      <c r="H188" s="520">
        <v>0</v>
      </c>
      <c r="I188" s="517"/>
      <c r="J188" s="520">
        <v>0</v>
      </c>
      <c r="K188" s="520">
        <v>0</v>
      </c>
      <c r="L188" s="520">
        <v>0</v>
      </c>
      <c r="M188" s="517"/>
      <c r="N188" s="542">
        <v>0</v>
      </c>
      <c r="O188" s="543">
        <v>0</v>
      </c>
      <c r="P188" s="543">
        <v>0</v>
      </c>
      <c r="Q188" s="517"/>
      <c r="R188" s="520">
        <v>0</v>
      </c>
      <c r="S188" s="520">
        <v>0</v>
      </c>
      <c r="T188" s="520">
        <v>0</v>
      </c>
      <c r="U188" s="517"/>
      <c r="V188" s="542">
        <v>0</v>
      </c>
      <c r="W188" s="543">
        <v>0</v>
      </c>
    </row>
    <row r="189" spans="1:23" x14ac:dyDescent="0.25">
      <c r="A189">
        <v>184</v>
      </c>
      <c r="B189" t="s">
        <v>2437</v>
      </c>
      <c r="C189" t="s">
        <v>136</v>
      </c>
      <c r="D189" t="s">
        <v>16</v>
      </c>
      <c r="F189" s="520">
        <v>3</v>
      </c>
      <c r="G189" s="520">
        <v>93245.59</v>
      </c>
      <c r="H189" s="520">
        <v>120</v>
      </c>
      <c r="I189" s="517"/>
      <c r="J189" s="520">
        <v>0</v>
      </c>
      <c r="K189" s="520">
        <v>0</v>
      </c>
      <c r="L189" s="520">
        <v>0</v>
      </c>
      <c r="M189" s="517"/>
      <c r="N189" s="542">
        <v>3</v>
      </c>
      <c r="O189" s="543">
        <v>93245.59</v>
      </c>
      <c r="P189" s="543">
        <v>120</v>
      </c>
      <c r="Q189" s="517"/>
      <c r="R189" s="520">
        <v>0</v>
      </c>
      <c r="S189" s="520">
        <v>0</v>
      </c>
      <c r="T189" s="520">
        <v>0</v>
      </c>
      <c r="U189" s="517"/>
      <c r="V189" s="542">
        <v>3</v>
      </c>
      <c r="W189" s="543">
        <v>93245.59</v>
      </c>
    </row>
    <row r="190" spans="1:23" x14ac:dyDescent="0.25">
      <c r="A190">
        <v>185</v>
      </c>
      <c r="B190" t="s">
        <v>217</v>
      </c>
      <c r="C190" t="s">
        <v>24</v>
      </c>
      <c r="D190" t="s">
        <v>16</v>
      </c>
      <c r="F190" s="520">
        <v>79</v>
      </c>
      <c r="G190" s="520">
        <v>2904270.3499999996</v>
      </c>
      <c r="H190" s="520">
        <v>3160</v>
      </c>
      <c r="I190" s="517"/>
      <c r="J190" s="520">
        <v>0</v>
      </c>
      <c r="K190" s="520">
        <v>0</v>
      </c>
      <c r="L190" s="520">
        <v>0</v>
      </c>
      <c r="M190" s="517"/>
      <c r="N190" s="542">
        <v>79</v>
      </c>
      <c r="O190" s="543">
        <v>2904270.3499999996</v>
      </c>
      <c r="P190" s="543">
        <v>3160</v>
      </c>
      <c r="Q190" s="517"/>
      <c r="R190" s="520">
        <v>0</v>
      </c>
      <c r="S190" s="520">
        <v>0</v>
      </c>
      <c r="T190" s="520">
        <v>0</v>
      </c>
      <c r="U190" s="517"/>
      <c r="V190" s="542">
        <v>79</v>
      </c>
      <c r="W190" s="543">
        <v>2904270.3499999996</v>
      </c>
    </row>
    <row r="191" spans="1:23" x14ac:dyDescent="0.25">
      <c r="A191">
        <v>186</v>
      </c>
      <c r="B191" t="s">
        <v>218</v>
      </c>
      <c r="C191" t="s">
        <v>15</v>
      </c>
      <c r="D191" t="s">
        <v>16</v>
      </c>
      <c r="F191" s="520">
        <v>0</v>
      </c>
      <c r="G191" s="520">
        <v>0</v>
      </c>
      <c r="H191" s="520">
        <v>0</v>
      </c>
      <c r="I191" s="517"/>
      <c r="J191" s="520">
        <v>0</v>
      </c>
      <c r="K191" s="520">
        <v>0</v>
      </c>
      <c r="L191" s="520">
        <v>0</v>
      </c>
      <c r="M191" s="517"/>
      <c r="N191" s="542">
        <v>0</v>
      </c>
      <c r="O191" s="543">
        <v>0</v>
      </c>
      <c r="P191" s="543">
        <v>0</v>
      </c>
      <c r="Q191" s="517"/>
      <c r="R191" s="520">
        <v>0</v>
      </c>
      <c r="S191" s="520">
        <v>0</v>
      </c>
      <c r="T191" s="520">
        <v>0</v>
      </c>
      <c r="U191" s="517"/>
      <c r="V191" s="542">
        <v>0</v>
      </c>
      <c r="W191" s="543">
        <v>0</v>
      </c>
    </row>
    <row r="192" spans="1:23" x14ac:dyDescent="0.25">
      <c r="A192">
        <v>187</v>
      </c>
      <c r="B192" t="s">
        <v>219</v>
      </c>
      <c r="C192" t="s">
        <v>24</v>
      </c>
      <c r="D192" t="s">
        <v>16</v>
      </c>
      <c r="F192" s="520">
        <v>122</v>
      </c>
      <c r="G192" s="520">
        <v>7175300.6400000006</v>
      </c>
      <c r="H192" s="520">
        <v>4880</v>
      </c>
      <c r="I192" s="517"/>
      <c r="J192" s="520">
        <v>0</v>
      </c>
      <c r="K192" s="520">
        <v>0</v>
      </c>
      <c r="L192" s="520">
        <v>0</v>
      </c>
      <c r="M192" s="517"/>
      <c r="N192" s="542">
        <v>122</v>
      </c>
      <c r="O192" s="543">
        <v>7175300.6400000006</v>
      </c>
      <c r="P192" s="543">
        <v>4880</v>
      </c>
      <c r="Q192" s="517"/>
      <c r="R192" s="520">
        <v>0</v>
      </c>
      <c r="S192" s="520">
        <v>0</v>
      </c>
      <c r="T192" s="520">
        <v>0</v>
      </c>
      <c r="U192" s="517"/>
      <c r="V192" s="542">
        <v>122</v>
      </c>
      <c r="W192" s="543">
        <v>7175300.6400000006</v>
      </c>
    </row>
    <row r="193" spans="1:23" x14ac:dyDescent="0.25">
      <c r="A193">
        <v>188</v>
      </c>
      <c r="B193" t="s">
        <v>220</v>
      </c>
      <c r="C193" t="s">
        <v>24</v>
      </c>
      <c r="D193" t="s">
        <v>16</v>
      </c>
      <c r="F193" s="520">
        <v>0</v>
      </c>
      <c r="G193" s="520">
        <v>0</v>
      </c>
      <c r="H193" s="520">
        <v>0</v>
      </c>
      <c r="I193" s="517"/>
      <c r="J193" s="520">
        <v>0</v>
      </c>
      <c r="K193" s="520">
        <v>0</v>
      </c>
      <c r="L193" s="520">
        <v>0</v>
      </c>
      <c r="M193" s="517"/>
      <c r="N193" s="542">
        <v>0</v>
      </c>
      <c r="O193" s="543">
        <v>0</v>
      </c>
      <c r="P193" s="543">
        <v>0</v>
      </c>
      <c r="Q193" s="517"/>
      <c r="R193" s="520">
        <v>0</v>
      </c>
      <c r="S193" s="520">
        <v>0</v>
      </c>
      <c r="T193" s="520">
        <v>0</v>
      </c>
      <c r="U193" s="517"/>
      <c r="V193" s="542">
        <v>0</v>
      </c>
      <c r="W193" s="543">
        <v>0</v>
      </c>
    </row>
    <row r="194" spans="1:23" x14ac:dyDescent="0.25">
      <c r="A194">
        <v>189</v>
      </c>
      <c r="B194" t="s">
        <v>221</v>
      </c>
      <c r="C194" t="s">
        <v>25</v>
      </c>
      <c r="D194" t="s">
        <v>16</v>
      </c>
      <c r="F194" s="520">
        <v>28</v>
      </c>
      <c r="G194" s="520">
        <v>948815.45</v>
      </c>
      <c r="H194" s="520">
        <v>1440</v>
      </c>
      <c r="I194" s="517"/>
      <c r="J194" s="520">
        <v>0</v>
      </c>
      <c r="K194" s="520">
        <v>0</v>
      </c>
      <c r="L194" s="520">
        <v>0</v>
      </c>
      <c r="M194" s="517"/>
      <c r="N194" s="542">
        <v>28</v>
      </c>
      <c r="O194" s="543">
        <v>948815.45</v>
      </c>
      <c r="P194" s="543">
        <v>1440</v>
      </c>
      <c r="Q194" s="517"/>
      <c r="R194" s="520">
        <v>0</v>
      </c>
      <c r="S194" s="520">
        <v>0</v>
      </c>
      <c r="T194" s="520">
        <v>0</v>
      </c>
      <c r="U194" s="517"/>
      <c r="V194" s="542">
        <v>28</v>
      </c>
      <c r="W194" s="543">
        <v>948815.45</v>
      </c>
    </row>
    <row r="195" spans="1:23" x14ac:dyDescent="0.25">
      <c r="A195">
        <v>190</v>
      </c>
      <c r="B195" t="s">
        <v>222</v>
      </c>
      <c r="C195" t="s">
        <v>136</v>
      </c>
      <c r="F195" s="520">
        <v>1</v>
      </c>
      <c r="G195" s="520">
        <v>40737.35</v>
      </c>
      <c r="H195" s="520">
        <v>40</v>
      </c>
      <c r="I195" s="517"/>
      <c r="J195" s="520">
        <v>0</v>
      </c>
      <c r="K195" s="520">
        <v>0</v>
      </c>
      <c r="L195" s="520">
        <v>0</v>
      </c>
      <c r="M195" s="517"/>
      <c r="N195" s="542">
        <v>1</v>
      </c>
      <c r="O195" s="543">
        <v>40737.35</v>
      </c>
      <c r="P195" s="543">
        <v>40</v>
      </c>
      <c r="Q195" s="517"/>
      <c r="R195" s="520">
        <v>0</v>
      </c>
      <c r="S195" s="520">
        <v>0</v>
      </c>
      <c r="T195" s="520">
        <v>0</v>
      </c>
      <c r="U195" s="517"/>
      <c r="V195" s="542">
        <v>1</v>
      </c>
      <c r="W195" s="543">
        <v>40737.35</v>
      </c>
    </row>
    <row r="196" spans="1:23" x14ac:dyDescent="0.25">
      <c r="A196">
        <v>191</v>
      </c>
      <c r="B196" t="s">
        <v>2438</v>
      </c>
      <c r="C196" t="s">
        <v>136</v>
      </c>
      <c r="D196" t="s">
        <v>16</v>
      </c>
      <c r="F196" s="520">
        <v>1</v>
      </c>
      <c r="G196" s="520">
        <v>20155</v>
      </c>
      <c r="H196" s="520">
        <v>40</v>
      </c>
      <c r="I196" s="517"/>
      <c r="J196" s="520">
        <v>0</v>
      </c>
      <c r="K196" s="520">
        <v>0</v>
      </c>
      <c r="L196" s="520">
        <v>0</v>
      </c>
      <c r="M196" s="517"/>
      <c r="N196" s="542">
        <v>1</v>
      </c>
      <c r="O196" s="543">
        <v>20155</v>
      </c>
      <c r="P196" s="543">
        <v>40</v>
      </c>
      <c r="Q196" s="517"/>
      <c r="R196" s="520">
        <v>0</v>
      </c>
      <c r="S196" s="520">
        <v>0</v>
      </c>
      <c r="T196" s="520">
        <v>0</v>
      </c>
      <c r="U196" s="517"/>
      <c r="V196" s="542">
        <v>1</v>
      </c>
      <c r="W196" s="543">
        <v>20155</v>
      </c>
    </row>
    <row r="197" spans="1:23" x14ac:dyDescent="0.25">
      <c r="A197">
        <v>192</v>
      </c>
      <c r="B197" t="s">
        <v>223</v>
      </c>
      <c r="C197" t="s">
        <v>154</v>
      </c>
      <c r="D197" t="s">
        <v>16</v>
      </c>
      <c r="F197" s="520">
        <v>12</v>
      </c>
      <c r="G197" s="520">
        <v>185084.5</v>
      </c>
      <c r="H197" s="520">
        <v>360</v>
      </c>
      <c r="I197" s="517"/>
      <c r="J197" s="520">
        <v>0</v>
      </c>
      <c r="K197" s="520">
        <v>0</v>
      </c>
      <c r="L197" s="520">
        <v>0</v>
      </c>
      <c r="M197" s="517"/>
      <c r="N197" s="542">
        <v>12</v>
      </c>
      <c r="O197" s="543">
        <v>185084.5</v>
      </c>
      <c r="P197" s="543">
        <v>360</v>
      </c>
      <c r="Q197" s="517"/>
      <c r="R197" s="520">
        <v>0</v>
      </c>
      <c r="S197" s="520">
        <v>0</v>
      </c>
      <c r="T197" s="520">
        <v>0</v>
      </c>
      <c r="U197" s="517"/>
      <c r="V197" s="542">
        <v>12</v>
      </c>
      <c r="W197" s="543">
        <v>185084.5</v>
      </c>
    </row>
    <row r="198" spans="1:23" x14ac:dyDescent="0.25">
      <c r="A198">
        <v>193</v>
      </c>
      <c r="B198" t="s">
        <v>224</v>
      </c>
      <c r="C198" t="s">
        <v>51</v>
      </c>
      <c r="D198" t="s">
        <v>16</v>
      </c>
      <c r="F198" s="520">
        <v>0</v>
      </c>
      <c r="G198" s="520">
        <v>0</v>
      </c>
      <c r="H198" s="520">
        <v>0</v>
      </c>
      <c r="I198" s="517"/>
      <c r="J198" s="520">
        <v>0</v>
      </c>
      <c r="K198" s="520">
        <v>0</v>
      </c>
      <c r="L198" s="520">
        <v>0</v>
      </c>
      <c r="M198" s="517"/>
      <c r="N198" s="542">
        <v>0</v>
      </c>
      <c r="O198" s="543">
        <v>0</v>
      </c>
      <c r="P198" s="543">
        <v>0</v>
      </c>
      <c r="Q198" s="517"/>
      <c r="R198" s="520">
        <v>0</v>
      </c>
      <c r="S198" s="520">
        <v>0</v>
      </c>
      <c r="T198" s="520">
        <v>0</v>
      </c>
      <c r="U198" s="517"/>
      <c r="V198" s="542">
        <v>0</v>
      </c>
      <c r="W198" s="543">
        <v>0</v>
      </c>
    </row>
    <row r="199" spans="1:23" x14ac:dyDescent="0.25">
      <c r="A199">
        <v>194</v>
      </c>
      <c r="B199" t="s">
        <v>225</v>
      </c>
      <c r="C199" t="s">
        <v>18</v>
      </c>
      <c r="D199" t="s">
        <v>16</v>
      </c>
      <c r="F199" s="520">
        <v>45</v>
      </c>
      <c r="G199" s="520">
        <v>50633.729999999996</v>
      </c>
      <c r="H199" s="520">
        <v>675</v>
      </c>
      <c r="I199" s="517"/>
      <c r="J199" s="520">
        <v>0</v>
      </c>
      <c r="K199" s="520">
        <v>0</v>
      </c>
      <c r="L199" s="520">
        <v>0</v>
      </c>
      <c r="M199" s="517"/>
      <c r="N199" s="542">
        <v>45</v>
      </c>
      <c r="O199" s="543">
        <v>50633.729999999996</v>
      </c>
      <c r="P199" s="543">
        <v>675</v>
      </c>
      <c r="Q199" s="517"/>
      <c r="R199" s="520">
        <v>0</v>
      </c>
      <c r="S199" s="520">
        <v>0</v>
      </c>
      <c r="T199" s="520">
        <v>0</v>
      </c>
      <c r="U199" s="517"/>
      <c r="V199" s="542">
        <v>45</v>
      </c>
      <c r="W199" s="543">
        <v>50633.729999999996</v>
      </c>
    </row>
    <row r="200" spans="1:23" x14ac:dyDescent="0.25">
      <c r="A200">
        <v>195</v>
      </c>
      <c r="B200" t="s">
        <v>226</v>
      </c>
      <c r="C200" t="s">
        <v>25</v>
      </c>
      <c r="D200" t="s">
        <v>16</v>
      </c>
      <c r="F200" s="520">
        <v>2</v>
      </c>
      <c r="G200" s="520">
        <v>80841</v>
      </c>
      <c r="H200" s="520">
        <v>67</v>
      </c>
      <c r="I200" s="517"/>
      <c r="J200" s="520">
        <v>0</v>
      </c>
      <c r="K200" s="520">
        <v>0</v>
      </c>
      <c r="L200" s="520">
        <v>0</v>
      </c>
      <c r="M200" s="517"/>
      <c r="N200" s="542">
        <v>2</v>
      </c>
      <c r="O200" s="543">
        <v>80841</v>
      </c>
      <c r="P200" s="543">
        <v>67</v>
      </c>
      <c r="Q200" s="517"/>
      <c r="R200" s="520">
        <v>0</v>
      </c>
      <c r="S200" s="520">
        <v>0</v>
      </c>
      <c r="T200" s="520">
        <v>0</v>
      </c>
      <c r="U200" s="517"/>
      <c r="V200" s="542">
        <v>2</v>
      </c>
      <c r="W200" s="543">
        <v>80841</v>
      </c>
    </row>
    <row r="201" spans="1:23" x14ac:dyDescent="0.25">
      <c r="A201">
        <v>196</v>
      </c>
      <c r="B201" t="s">
        <v>227</v>
      </c>
      <c r="C201" t="s">
        <v>15</v>
      </c>
      <c r="D201" t="s">
        <v>45</v>
      </c>
      <c r="F201" s="520">
        <v>2</v>
      </c>
      <c r="G201" s="520">
        <v>57901.58</v>
      </c>
      <c r="H201" s="520">
        <v>48</v>
      </c>
      <c r="I201" s="517"/>
      <c r="J201" s="520">
        <v>0</v>
      </c>
      <c r="K201" s="520">
        <v>0</v>
      </c>
      <c r="L201" s="520">
        <v>0</v>
      </c>
      <c r="M201" s="517"/>
      <c r="N201" s="542">
        <v>2</v>
      </c>
      <c r="O201" s="543">
        <v>57901.58</v>
      </c>
      <c r="P201" s="543">
        <v>48</v>
      </c>
      <c r="Q201" s="517"/>
      <c r="R201" s="520">
        <v>0</v>
      </c>
      <c r="S201" s="520">
        <v>0</v>
      </c>
      <c r="T201" s="520">
        <v>0</v>
      </c>
      <c r="U201" s="517"/>
      <c r="V201" s="542">
        <v>2</v>
      </c>
      <c r="W201" s="543">
        <v>57901.58</v>
      </c>
    </row>
    <row r="202" spans="1:23" x14ac:dyDescent="0.25">
      <c r="A202">
        <v>197</v>
      </c>
      <c r="B202" t="s">
        <v>228</v>
      </c>
      <c r="C202" t="s">
        <v>25</v>
      </c>
      <c r="D202" t="s">
        <v>16</v>
      </c>
      <c r="F202" s="520">
        <v>0</v>
      </c>
      <c r="G202" s="520">
        <v>0</v>
      </c>
      <c r="H202" s="520">
        <v>0</v>
      </c>
      <c r="I202" s="517"/>
      <c r="J202" s="520">
        <v>0</v>
      </c>
      <c r="K202" s="520">
        <v>0</v>
      </c>
      <c r="L202" s="520">
        <v>0</v>
      </c>
      <c r="M202" s="517"/>
      <c r="N202" s="542">
        <v>0</v>
      </c>
      <c r="O202" s="543">
        <v>0</v>
      </c>
      <c r="P202" s="543">
        <v>0</v>
      </c>
      <c r="Q202" s="517"/>
      <c r="R202" s="520">
        <v>0</v>
      </c>
      <c r="S202" s="520">
        <v>0</v>
      </c>
      <c r="T202" s="520">
        <v>0</v>
      </c>
      <c r="U202" s="517"/>
      <c r="V202" s="542">
        <v>0</v>
      </c>
      <c r="W202" s="543">
        <v>0</v>
      </c>
    </row>
    <row r="203" spans="1:23" x14ac:dyDescent="0.25">
      <c r="A203">
        <v>198</v>
      </c>
      <c r="B203" t="s">
        <v>229</v>
      </c>
      <c r="C203" t="s">
        <v>18</v>
      </c>
      <c r="D203" t="s">
        <v>16</v>
      </c>
      <c r="F203" s="520">
        <v>0</v>
      </c>
      <c r="G203" s="520">
        <v>0</v>
      </c>
      <c r="H203" s="520">
        <v>0</v>
      </c>
      <c r="I203" s="517"/>
      <c r="J203" s="520">
        <v>0</v>
      </c>
      <c r="K203" s="520">
        <v>0</v>
      </c>
      <c r="L203" s="520">
        <v>0</v>
      </c>
      <c r="M203" s="517"/>
      <c r="N203" s="542">
        <v>0</v>
      </c>
      <c r="O203" s="543">
        <v>0</v>
      </c>
      <c r="P203" s="543">
        <v>0</v>
      </c>
      <c r="Q203" s="517"/>
      <c r="R203" s="520">
        <v>0</v>
      </c>
      <c r="S203" s="520">
        <v>0</v>
      </c>
      <c r="T203" s="520">
        <v>0</v>
      </c>
      <c r="U203" s="517"/>
      <c r="V203" s="542">
        <v>0</v>
      </c>
      <c r="W203" s="543">
        <v>0</v>
      </c>
    </row>
    <row r="204" spans="1:23" x14ac:dyDescent="0.25">
      <c r="A204">
        <v>199</v>
      </c>
      <c r="B204" t="s">
        <v>230</v>
      </c>
      <c r="C204" t="s">
        <v>18</v>
      </c>
      <c r="D204" t="s">
        <v>16</v>
      </c>
      <c r="F204" s="520">
        <v>1</v>
      </c>
      <c r="G204" s="520">
        <v>50000</v>
      </c>
      <c r="H204" s="520">
        <v>100</v>
      </c>
      <c r="I204" s="517"/>
      <c r="J204" s="520">
        <v>0</v>
      </c>
      <c r="K204" s="520">
        <v>0</v>
      </c>
      <c r="L204" s="520">
        <v>0</v>
      </c>
      <c r="M204" s="517"/>
      <c r="N204" s="542">
        <v>1</v>
      </c>
      <c r="O204" s="543">
        <v>50000</v>
      </c>
      <c r="P204" s="543">
        <v>100</v>
      </c>
      <c r="Q204" s="517"/>
      <c r="R204" s="520">
        <v>0</v>
      </c>
      <c r="S204" s="520">
        <v>0</v>
      </c>
      <c r="T204" s="520">
        <v>0</v>
      </c>
      <c r="U204" s="517"/>
      <c r="V204" s="542">
        <v>1</v>
      </c>
      <c r="W204" s="543">
        <v>50000</v>
      </c>
    </row>
    <row r="205" spans="1:23" x14ac:dyDescent="0.25">
      <c r="A205">
        <v>200</v>
      </c>
      <c r="B205" t="s">
        <v>231</v>
      </c>
      <c r="C205" t="s">
        <v>18</v>
      </c>
      <c r="D205" t="s">
        <v>16</v>
      </c>
      <c r="F205" s="520">
        <v>0</v>
      </c>
      <c r="G205" s="520">
        <v>0</v>
      </c>
      <c r="H205" s="520">
        <v>0</v>
      </c>
      <c r="I205" s="517"/>
      <c r="J205" s="520">
        <v>0</v>
      </c>
      <c r="K205" s="520">
        <v>0</v>
      </c>
      <c r="L205" s="520">
        <v>0</v>
      </c>
      <c r="M205" s="517"/>
      <c r="N205" s="542">
        <v>0</v>
      </c>
      <c r="O205" s="543">
        <v>0</v>
      </c>
      <c r="P205" s="543">
        <v>0</v>
      </c>
      <c r="Q205" s="517"/>
      <c r="R205" s="520">
        <v>0</v>
      </c>
      <c r="S205" s="520">
        <v>0</v>
      </c>
      <c r="T205" s="520">
        <v>0</v>
      </c>
      <c r="U205" s="517"/>
      <c r="V205" s="542">
        <v>0</v>
      </c>
      <c r="W205" s="543">
        <v>0</v>
      </c>
    </row>
    <row r="206" spans="1:23" x14ac:dyDescent="0.25">
      <c r="A206">
        <v>201</v>
      </c>
      <c r="B206" t="s">
        <v>2422</v>
      </c>
      <c r="C206" t="s">
        <v>148</v>
      </c>
      <c r="D206" t="s">
        <v>20</v>
      </c>
      <c r="F206" s="520">
        <v>2164</v>
      </c>
      <c r="G206" s="520">
        <v>27291388.109999962</v>
      </c>
      <c r="H206" s="520">
        <v>25110</v>
      </c>
      <c r="I206" s="517"/>
      <c r="J206" s="520">
        <v>0</v>
      </c>
      <c r="K206" s="520">
        <v>0</v>
      </c>
      <c r="L206" s="520">
        <v>0</v>
      </c>
      <c r="M206" s="517"/>
      <c r="N206" s="542">
        <v>2164</v>
      </c>
      <c r="O206" s="543">
        <v>27291388.109999962</v>
      </c>
      <c r="P206" s="543">
        <v>25110</v>
      </c>
      <c r="Q206" s="517"/>
      <c r="R206" s="520">
        <v>0</v>
      </c>
      <c r="S206" s="520">
        <v>0</v>
      </c>
      <c r="T206" s="520">
        <v>0</v>
      </c>
      <c r="U206" s="517"/>
      <c r="V206" s="542">
        <v>2164</v>
      </c>
      <c r="W206" s="543">
        <v>27291388.109999962</v>
      </c>
    </row>
    <row r="207" spans="1:23" x14ac:dyDescent="0.25">
      <c r="A207">
        <v>202</v>
      </c>
      <c r="B207" t="s">
        <v>232</v>
      </c>
      <c r="C207" t="s">
        <v>148</v>
      </c>
      <c r="D207" t="s">
        <v>16</v>
      </c>
      <c r="F207" s="520">
        <v>38</v>
      </c>
      <c r="G207" s="520">
        <v>110215</v>
      </c>
      <c r="H207" s="520">
        <v>570</v>
      </c>
      <c r="I207" s="517"/>
      <c r="J207" s="520">
        <v>0</v>
      </c>
      <c r="K207" s="520">
        <v>0</v>
      </c>
      <c r="L207" s="520">
        <v>0</v>
      </c>
      <c r="M207" s="517"/>
      <c r="N207" s="542">
        <v>38</v>
      </c>
      <c r="O207" s="543">
        <v>110215</v>
      </c>
      <c r="P207" s="543">
        <v>570</v>
      </c>
      <c r="Q207" s="517"/>
      <c r="R207" s="520">
        <v>0</v>
      </c>
      <c r="S207" s="520">
        <v>0</v>
      </c>
      <c r="T207" s="520">
        <v>0</v>
      </c>
      <c r="U207" s="517"/>
      <c r="V207" s="542">
        <v>38</v>
      </c>
      <c r="W207" s="543">
        <v>110215</v>
      </c>
    </row>
    <row r="208" spans="1:23" x14ac:dyDescent="0.25">
      <c r="A208">
        <v>203</v>
      </c>
      <c r="B208" t="s">
        <v>233</v>
      </c>
      <c r="C208" t="s">
        <v>24</v>
      </c>
      <c r="D208" t="s">
        <v>16</v>
      </c>
      <c r="F208" s="520">
        <v>9</v>
      </c>
      <c r="G208" s="520">
        <v>261056</v>
      </c>
      <c r="H208" s="520">
        <v>500</v>
      </c>
      <c r="I208" s="517"/>
      <c r="J208" s="520">
        <v>0</v>
      </c>
      <c r="K208" s="520">
        <v>0</v>
      </c>
      <c r="L208" s="520">
        <v>0</v>
      </c>
      <c r="M208" s="517"/>
      <c r="N208" s="542">
        <v>9</v>
      </c>
      <c r="O208" s="543">
        <v>261056</v>
      </c>
      <c r="P208" s="543">
        <v>500</v>
      </c>
      <c r="Q208" s="517"/>
      <c r="R208" s="520">
        <v>0</v>
      </c>
      <c r="S208" s="520">
        <v>0</v>
      </c>
      <c r="T208" s="520">
        <v>0</v>
      </c>
      <c r="U208" s="517"/>
      <c r="V208" s="542">
        <v>9</v>
      </c>
      <c r="W208" s="543">
        <v>261056</v>
      </c>
    </row>
    <row r="209" spans="1:23" x14ac:dyDescent="0.25">
      <c r="A209">
        <v>204</v>
      </c>
      <c r="B209" t="s">
        <v>234</v>
      </c>
      <c r="C209" t="s">
        <v>25</v>
      </c>
      <c r="D209" t="s">
        <v>16</v>
      </c>
      <c r="F209" s="520">
        <v>0</v>
      </c>
      <c r="G209" s="520">
        <v>0</v>
      </c>
      <c r="H209" s="520">
        <v>0</v>
      </c>
      <c r="I209" s="517"/>
      <c r="J209" s="520">
        <v>0</v>
      </c>
      <c r="K209" s="520">
        <v>0</v>
      </c>
      <c r="L209" s="520">
        <v>0</v>
      </c>
      <c r="M209" s="517"/>
      <c r="N209" s="542">
        <v>0</v>
      </c>
      <c r="O209" s="543">
        <v>0</v>
      </c>
      <c r="P209" s="543">
        <v>0</v>
      </c>
      <c r="Q209" s="517"/>
      <c r="R209" s="520">
        <v>0</v>
      </c>
      <c r="S209" s="520">
        <v>0</v>
      </c>
      <c r="T209" s="520">
        <v>0</v>
      </c>
      <c r="U209" s="517"/>
      <c r="V209" s="542">
        <v>0</v>
      </c>
      <c r="W209" s="543">
        <v>0</v>
      </c>
    </row>
    <row r="210" spans="1:23" x14ac:dyDescent="0.25">
      <c r="A210">
        <v>205</v>
      </c>
      <c r="B210" t="s">
        <v>235</v>
      </c>
      <c r="C210" t="s">
        <v>92</v>
      </c>
      <c r="D210" t="s">
        <v>16</v>
      </c>
      <c r="F210" s="520">
        <v>74</v>
      </c>
      <c r="G210" s="520">
        <v>450813.15</v>
      </c>
      <c r="H210" s="520">
        <v>1480</v>
      </c>
      <c r="I210" s="517"/>
      <c r="J210" s="520">
        <v>0</v>
      </c>
      <c r="K210" s="520">
        <v>0</v>
      </c>
      <c r="L210" s="520">
        <v>0</v>
      </c>
      <c r="M210" s="517"/>
      <c r="N210" s="542">
        <v>74</v>
      </c>
      <c r="O210" s="543">
        <v>450813.15</v>
      </c>
      <c r="P210" s="543">
        <v>1480</v>
      </c>
      <c r="Q210" s="517"/>
      <c r="R210" s="520">
        <v>0</v>
      </c>
      <c r="S210" s="520">
        <v>0</v>
      </c>
      <c r="T210" s="520">
        <v>0</v>
      </c>
      <c r="U210" s="517"/>
      <c r="V210" s="542">
        <v>74</v>
      </c>
      <c r="W210" s="543">
        <v>450813.15</v>
      </c>
    </row>
    <row r="211" spans="1:23" x14ac:dyDescent="0.25">
      <c r="A211">
        <v>206</v>
      </c>
      <c r="B211" t="s">
        <v>3166</v>
      </c>
      <c r="C211" t="s">
        <v>18</v>
      </c>
      <c r="D211" t="s">
        <v>40</v>
      </c>
      <c r="F211" s="520">
        <v>1</v>
      </c>
      <c r="G211" s="520">
        <v>100000</v>
      </c>
      <c r="H211" s="520">
        <v>100</v>
      </c>
      <c r="I211" s="517"/>
      <c r="J211" s="520">
        <v>0</v>
      </c>
      <c r="K211" s="520">
        <v>0</v>
      </c>
      <c r="L211" s="520">
        <v>0</v>
      </c>
      <c r="M211" s="517"/>
      <c r="N211" s="542">
        <v>1</v>
      </c>
      <c r="O211" s="543">
        <v>100000</v>
      </c>
      <c r="P211" s="543">
        <v>100</v>
      </c>
      <c r="Q211" s="517"/>
      <c r="R211" s="520">
        <v>0</v>
      </c>
      <c r="S211" s="520">
        <v>0</v>
      </c>
      <c r="T211" s="520">
        <v>0</v>
      </c>
      <c r="U211" s="517"/>
      <c r="V211" s="542">
        <v>1</v>
      </c>
      <c r="W211" s="543">
        <v>100000</v>
      </c>
    </row>
    <row r="212" spans="1:23" x14ac:dyDescent="0.25">
      <c r="A212">
        <v>207</v>
      </c>
      <c r="B212" t="s">
        <v>236</v>
      </c>
      <c r="C212" t="s">
        <v>18</v>
      </c>
      <c r="D212" t="s">
        <v>20</v>
      </c>
      <c r="F212" s="520">
        <v>2</v>
      </c>
      <c r="G212" s="520">
        <v>4000</v>
      </c>
      <c r="H212" s="520">
        <v>50</v>
      </c>
      <c r="I212" s="517"/>
      <c r="J212" s="520">
        <v>0</v>
      </c>
      <c r="K212" s="520">
        <v>0</v>
      </c>
      <c r="L212" s="520">
        <v>0</v>
      </c>
      <c r="M212" s="517"/>
      <c r="N212" s="542">
        <v>2</v>
      </c>
      <c r="O212" s="543">
        <v>4000</v>
      </c>
      <c r="P212" s="543">
        <v>50</v>
      </c>
      <c r="Q212" s="517"/>
      <c r="R212" s="520">
        <v>0</v>
      </c>
      <c r="S212" s="520">
        <v>0</v>
      </c>
      <c r="T212" s="520">
        <v>0</v>
      </c>
      <c r="U212" s="517"/>
      <c r="V212" s="542">
        <v>2</v>
      </c>
      <c r="W212" s="543">
        <v>4000</v>
      </c>
    </row>
    <row r="213" spans="1:23" x14ac:dyDescent="0.25">
      <c r="A213">
        <v>208</v>
      </c>
      <c r="B213" t="s">
        <v>237</v>
      </c>
      <c r="C213" t="s">
        <v>18</v>
      </c>
      <c r="D213" t="s">
        <v>20</v>
      </c>
      <c r="F213" s="520">
        <v>3</v>
      </c>
      <c r="G213" s="520">
        <v>6617</v>
      </c>
      <c r="H213" s="520">
        <v>75</v>
      </c>
      <c r="I213" s="517"/>
      <c r="J213" s="520">
        <v>0</v>
      </c>
      <c r="K213" s="520">
        <v>0</v>
      </c>
      <c r="L213" s="520">
        <v>0</v>
      </c>
      <c r="M213" s="517"/>
      <c r="N213" s="542">
        <v>3</v>
      </c>
      <c r="O213" s="543">
        <v>6617</v>
      </c>
      <c r="P213" s="543">
        <v>75</v>
      </c>
      <c r="Q213" s="517"/>
      <c r="R213" s="520">
        <v>0</v>
      </c>
      <c r="S213" s="520">
        <v>0</v>
      </c>
      <c r="T213" s="520">
        <v>0</v>
      </c>
      <c r="U213" s="517"/>
      <c r="V213" s="542">
        <v>3</v>
      </c>
      <c r="W213" s="543">
        <v>6617</v>
      </c>
    </row>
    <row r="214" spans="1:23" x14ac:dyDescent="0.25">
      <c r="A214">
        <v>209</v>
      </c>
      <c r="B214" t="s">
        <v>238</v>
      </c>
      <c r="C214" t="s">
        <v>18</v>
      </c>
      <c r="D214" t="s">
        <v>20</v>
      </c>
      <c r="F214" s="520">
        <v>3</v>
      </c>
      <c r="G214" s="520">
        <v>11235</v>
      </c>
      <c r="H214" s="520">
        <v>75</v>
      </c>
      <c r="I214" s="517"/>
      <c r="J214" s="520">
        <v>0</v>
      </c>
      <c r="K214" s="520">
        <v>0</v>
      </c>
      <c r="L214" s="520">
        <v>0</v>
      </c>
      <c r="M214" s="517"/>
      <c r="N214" s="542">
        <v>3</v>
      </c>
      <c r="O214" s="543">
        <v>11235</v>
      </c>
      <c r="P214" s="543">
        <v>75</v>
      </c>
      <c r="Q214" s="517"/>
      <c r="R214" s="520">
        <v>0</v>
      </c>
      <c r="S214" s="520">
        <v>0</v>
      </c>
      <c r="T214" s="520">
        <v>0</v>
      </c>
      <c r="U214" s="517"/>
      <c r="V214" s="542">
        <v>3</v>
      </c>
      <c r="W214" s="543">
        <v>11235</v>
      </c>
    </row>
    <row r="215" spans="1:23" x14ac:dyDescent="0.25">
      <c r="A215">
        <v>210</v>
      </c>
      <c r="B215" t="s">
        <v>239</v>
      </c>
      <c r="C215" t="s">
        <v>18</v>
      </c>
      <c r="D215" t="s">
        <v>20</v>
      </c>
      <c r="F215" s="520">
        <v>7</v>
      </c>
      <c r="G215" s="520">
        <v>27346.199999999997</v>
      </c>
      <c r="H215" s="520">
        <v>175</v>
      </c>
      <c r="I215" s="517"/>
      <c r="J215" s="520">
        <v>0</v>
      </c>
      <c r="K215" s="520">
        <v>0</v>
      </c>
      <c r="L215" s="520">
        <v>0</v>
      </c>
      <c r="M215" s="517"/>
      <c r="N215" s="542">
        <v>7</v>
      </c>
      <c r="O215" s="543">
        <v>27346.199999999997</v>
      </c>
      <c r="P215" s="543">
        <v>175</v>
      </c>
      <c r="Q215" s="517"/>
      <c r="R215" s="520">
        <v>0</v>
      </c>
      <c r="S215" s="520">
        <v>0</v>
      </c>
      <c r="T215" s="520">
        <v>0</v>
      </c>
      <c r="U215" s="517"/>
      <c r="V215" s="542">
        <v>7</v>
      </c>
      <c r="W215" s="543">
        <v>27346.199999999997</v>
      </c>
    </row>
    <row r="216" spans="1:23" x14ac:dyDescent="0.25">
      <c r="A216">
        <v>211</v>
      </c>
      <c r="B216" t="s">
        <v>240</v>
      </c>
      <c r="C216" t="s">
        <v>18</v>
      </c>
      <c r="D216" t="s">
        <v>20</v>
      </c>
      <c r="F216" s="520">
        <v>0</v>
      </c>
      <c r="G216" s="520">
        <v>0</v>
      </c>
      <c r="H216" s="520">
        <v>0</v>
      </c>
      <c r="I216" s="517"/>
      <c r="J216" s="520">
        <v>0</v>
      </c>
      <c r="K216" s="520">
        <v>0</v>
      </c>
      <c r="L216" s="520">
        <v>0</v>
      </c>
      <c r="M216" s="517"/>
      <c r="N216" s="542">
        <v>0</v>
      </c>
      <c r="O216" s="543">
        <v>0</v>
      </c>
      <c r="P216" s="543">
        <v>0</v>
      </c>
      <c r="Q216" s="517"/>
      <c r="R216" s="520">
        <v>0</v>
      </c>
      <c r="S216" s="520">
        <v>0</v>
      </c>
      <c r="T216" s="520">
        <v>0</v>
      </c>
      <c r="U216" s="517"/>
      <c r="V216" s="542">
        <v>0</v>
      </c>
      <c r="W216" s="543">
        <v>0</v>
      </c>
    </row>
    <row r="217" spans="1:23" x14ac:dyDescent="0.25">
      <c r="A217">
        <v>212</v>
      </c>
      <c r="B217" t="s">
        <v>241</v>
      </c>
      <c r="C217" t="s">
        <v>242</v>
      </c>
      <c r="D217" t="s">
        <v>16</v>
      </c>
      <c r="F217" s="520">
        <v>2</v>
      </c>
      <c r="G217" s="520">
        <v>3755.28</v>
      </c>
      <c r="H217" s="520">
        <v>16</v>
      </c>
      <c r="I217" s="517"/>
      <c r="J217" s="520">
        <v>0</v>
      </c>
      <c r="K217" s="520">
        <v>0</v>
      </c>
      <c r="L217" s="520">
        <v>0</v>
      </c>
      <c r="M217" s="517"/>
      <c r="N217" s="542">
        <v>2</v>
      </c>
      <c r="O217" s="543">
        <v>3755.28</v>
      </c>
      <c r="P217" s="543">
        <v>16</v>
      </c>
      <c r="Q217" s="517"/>
      <c r="R217" s="520">
        <v>0</v>
      </c>
      <c r="S217" s="520">
        <v>0</v>
      </c>
      <c r="T217" s="520">
        <v>0</v>
      </c>
      <c r="U217" s="517"/>
      <c r="V217" s="542">
        <v>2</v>
      </c>
      <c r="W217" s="543">
        <v>3755.28</v>
      </c>
    </row>
    <row r="218" spans="1:23" x14ac:dyDescent="0.25">
      <c r="A218">
        <v>213</v>
      </c>
      <c r="B218" t="s">
        <v>243</v>
      </c>
      <c r="C218" t="s">
        <v>108</v>
      </c>
      <c r="D218" t="s">
        <v>16</v>
      </c>
      <c r="F218" s="520">
        <v>147</v>
      </c>
      <c r="G218" s="520">
        <v>86398.83</v>
      </c>
      <c r="H218" s="520">
        <v>735</v>
      </c>
      <c r="I218" s="517"/>
      <c r="J218" s="520">
        <v>0</v>
      </c>
      <c r="K218" s="520">
        <v>0</v>
      </c>
      <c r="L218" s="520">
        <v>0</v>
      </c>
      <c r="M218" s="517"/>
      <c r="N218" s="542">
        <v>147</v>
      </c>
      <c r="O218" s="543">
        <v>86398.83</v>
      </c>
      <c r="P218" s="543">
        <v>735</v>
      </c>
      <c r="Q218" s="517"/>
      <c r="R218" s="520">
        <v>0</v>
      </c>
      <c r="S218" s="520">
        <v>0</v>
      </c>
      <c r="T218" s="520">
        <v>0</v>
      </c>
      <c r="U218" s="517"/>
      <c r="V218" s="542">
        <v>147</v>
      </c>
      <c r="W218" s="543">
        <v>86398.83</v>
      </c>
    </row>
    <row r="219" spans="1:23" x14ac:dyDescent="0.25">
      <c r="A219">
        <v>214</v>
      </c>
      <c r="B219" t="s">
        <v>244</v>
      </c>
      <c r="C219" t="s">
        <v>92</v>
      </c>
      <c r="D219" t="s">
        <v>45</v>
      </c>
      <c r="F219" s="520">
        <v>607</v>
      </c>
      <c r="G219" s="520">
        <v>20755247.849999998</v>
      </c>
      <c r="H219" s="520">
        <v>18210</v>
      </c>
      <c r="I219" s="517"/>
      <c r="J219" s="520">
        <v>0</v>
      </c>
      <c r="K219" s="520">
        <v>0</v>
      </c>
      <c r="L219" s="520">
        <v>0</v>
      </c>
      <c r="M219" s="517"/>
      <c r="N219" s="542">
        <v>607</v>
      </c>
      <c r="O219" s="543">
        <v>20755247.849999998</v>
      </c>
      <c r="P219" s="543">
        <v>18210</v>
      </c>
      <c r="Q219" s="517"/>
      <c r="R219" s="520">
        <v>0</v>
      </c>
      <c r="S219" s="520">
        <v>0</v>
      </c>
      <c r="T219" s="520">
        <v>0</v>
      </c>
      <c r="U219" s="517"/>
      <c r="V219" s="542">
        <v>607</v>
      </c>
      <c r="W219" s="543">
        <v>20755247.849999998</v>
      </c>
    </row>
    <row r="220" spans="1:23" x14ac:dyDescent="0.25">
      <c r="A220">
        <v>215</v>
      </c>
      <c r="B220" t="s">
        <v>245</v>
      </c>
      <c r="C220" t="s">
        <v>15</v>
      </c>
      <c r="D220" t="s">
        <v>16</v>
      </c>
      <c r="F220" s="520">
        <v>154</v>
      </c>
      <c r="G220" s="520">
        <v>2826838.23</v>
      </c>
      <c r="H220" s="520">
        <v>3100</v>
      </c>
      <c r="I220" s="517"/>
      <c r="J220" s="520">
        <v>-1</v>
      </c>
      <c r="K220" s="520">
        <v>-1395</v>
      </c>
      <c r="L220" s="520">
        <v>-20</v>
      </c>
      <c r="M220" s="517"/>
      <c r="N220" s="542">
        <v>153</v>
      </c>
      <c r="O220" s="543">
        <v>2825443.23</v>
      </c>
      <c r="P220" s="543">
        <v>3080</v>
      </c>
      <c r="Q220" s="517"/>
      <c r="R220" s="520">
        <v>0</v>
      </c>
      <c r="S220" s="520">
        <v>0</v>
      </c>
      <c r="T220" s="520">
        <v>0</v>
      </c>
      <c r="U220" s="517"/>
      <c r="V220" s="542">
        <v>153</v>
      </c>
      <c r="W220" s="543">
        <v>2825443.23</v>
      </c>
    </row>
    <row r="221" spans="1:23" x14ac:dyDescent="0.25">
      <c r="A221">
        <v>216</v>
      </c>
      <c r="B221" t="s">
        <v>246</v>
      </c>
      <c r="C221" t="s">
        <v>18</v>
      </c>
      <c r="D221" t="s">
        <v>16</v>
      </c>
      <c r="F221" s="520">
        <v>0</v>
      </c>
      <c r="G221" s="520">
        <v>0</v>
      </c>
      <c r="H221" s="520">
        <v>0</v>
      </c>
      <c r="I221" s="517"/>
      <c r="J221" s="520">
        <v>0</v>
      </c>
      <c r="K221" s="520">
        <v>0</v>
      </c>
      <c r="L221" s="520">
        <v>0</v>
      </c>
      <c r="M221" s="517"/>
      <c r="N221" s="542">
        <v>0</v>
      </c>
      <c r="O221" s="543">
        <v>0</v>
      </c>
      <c r="P221" s="543">
        <v>0</v>
      </c>
      <c r="Q221" s="517"/>
      <c r="R221" s="520">
        <v>0</v>
      </c>
      <c r="S221" s="520">
        <v>0</v>
      </c>
      <c r="T221" s="520">
        <v>0</v>
      </c>
      <c r="U221" s="517"/>
      <c r="V221" s="542">
        <v>0</v>
      </c>
      <c r="W221" s="543">
        <v>0</v>
      </c>
    </row>
    <row r="222" spans="1:23" x14ac:dyDescent="0.25">
      <c r="A222">
        <v>217</v>
      </c>
      <c r="B222" t="s">
        <v>247</v>
      </c>
      <c r="C222" t="s">
        <v>15</v>
      </c>
      <c r="D222" t="s">
        <v>43</v>
      </c>
      <c r="F222" s="520">
        <v>207</v>
      </c>
      <c r="G222" s="520">
        <v>293513.04000000004</v>
      </c>
      <c r="H222" s="520">
        <v>2070</v>
      </c>
      <c r="I222" s="517"/>
      <c r="J222" s="520">
        <v>0</v>
      </c>
      <c r="K222" s="520">
        <v>0</v>
      </c>
      <c r="L222" s="520">
        <v>0</v>
      </c>
      <c r="M222" s="517"/>
      <c r="N222" s="542">
        <v>207</v>
      </c>
      <c r="O222" s="543">
        <v>293513.04000000004</v>
      </c>
      <c r="P222" s="543">
        <v>2070</v>
      </c>
      <c r="Q222" s="517"/>
      <c r="R222" s="520">
        <v>0</v>
      </c>
      <c r="S222" s="520">
        <v>0</v>
      </c>
      <c r="T222" s="520">
        <v>0</v>
      </c>
      <c r="U222" s="517"/>
      <c r="V222" s="542">
        <v>207</v>
      </c>
      <c r="W222" s="543">
        <v>293513.04000000004</v>
      </c>
    </row>
    <row r="223" spans="1:23" x14ac:dyDescent="0.25">
      <c r="A223">
        <v>218</v>
      </c>
      <c r="B223" t="s">
        <v>248</v>
      </c>
      <c r="C223" t="s">
        <v>15</v>
      </c>
      <c r="D223" t="s">
        <v>16</v>
      </c>
      <c r="F223" s="520">
        <v>0</v>
      </c>
      <c r="G223" s="520">
        <v>0</v>
      </c>
      <c r="H223" s="520">
        <v>0</v>
      </c>
      <c r="I223" s="517"/>
      <c r="J223" s="520">
        <v>0</v>
      </c>
      <c r="K223" s="520">
        <v>0</v>
      </c>
      <c r="L223" s="520">
        <v>0</v>
      </c>
      <c r="M223" s="517"/>
      <c r="N223" s="542">
        <v>0</v>
      </c>
      <c r="O223" s="543">
        <v>0</v>
      </c>
      <c r="P223" s="543">
        <v>0</v>
      </c>
      <c r="Q223" s="517"/>
      <c r="R223" s="520">
        <v>0</v>
      </c>
      <c r="S223" s="520">
        <v>0</v>
      </c>
      <c r="T223" s="520">
        <v>0</v>
      </c>
      <c r="U223" s="517"/>
      <c r="V223" s="542">
        <v>0</v>
      </c>
      <c r="W223" s="543">
        <v>0</v>
      </c>
    </row>
    <row r="224" spans="1:23" x14ac:dyDescent="0.25">
      <c r="A224">
        <v>219</v>
      </c>
      <c r="B224" t="s">
        <v>249</v>
      </c>
      <c r="C224" t="s">
        <v>15</v>
      </c>
      <c r="D224" t="s">
        <v>16</v>
      </c>
      <c r="F224" s="520">
        <v>0</v>
      </c>
      <c r="G224" s="520">
        <v>0</v>
      </c>
      <c r="H224" s="520">
        <v>0</v>
      </c>
      <c r="I224" s="517"/>
      <c r="J224" s="520">
        <v>0</v>
      </c>
      <c r="K224" s="520">
        <v>0</v>
      </c>
      <c r="L224" s="520">
        <v>0</v>
      </c>
      <c r="M224" s="517"/>
      <c r="N224" s="542">
        <v>0</v>
      </c>
      <c r="O224" s="543">
        <v>0</v>
      </c>
      <c r="P224" s="543">
        <v>0</v>
      </c>
      <c r="Q224" s="517"/>
      <c r="R224" s="520">
        <v>0</v>
      </c>
      <c r="S224" s="520">
        <v>0</v>
      </c>
      <c r="T224" s="520">
        <v>0</v>
      </c>
      <c r="U224" s="517"/>
      <c r="V224" s="542">
        <v>0</v>
      </c>
      <c r="W224" s="543">
        <v>0</v>
      </c>
    </row>
    <row r="225" spans="1:23" x14ac:dyDescent="0.25">
      <c r="A225">
        <v>220</v>
      </c>
      <c r="B225" t="s">
        <v>250</v>
      </c>
      <c r="C225" t="s">
        <v>18</v>
      </c>
      <c r="D225" t="s">
        <v>20</v>
      </c>
      <c r="F225" s="520">
        <v>60</v>
      </c>
      <c r="G225" s="520">
        <v>182169</v>
      </c>
      <c r="H225" s="520">
        <v>1220</v>
      </c>
      <c r="I225" s="517"/>
      <c r="J225" s="520">
        <v>0</v>
      </c>
      <c r="K225" s="520">
        <v>0</v>
      </c>
      <c r="L225" s="520">
        <v>0</v>
      </c>
      <c r="M225" s="517"/>
      <c r="N225" s="542">
        <v>60</v>
      </c>
      <c r="O225" s="543">
        <v>182169</v>
      </c>
      <c r="P225" s="543">
        <v>1220</v>
      </c>
      <c r="Q225" s="517"/>
      <c r="R225" s="520">
        <v>0</v>
      </c>
      <c r="S225" s="520">
        <v>0</v>
      </c>
      <c r="T225" s="520">
        <v>0</v>
      </c>
      <c r="U225" s="517"/>
      <c r="V225" s="542">
        <v>60</v>
      </c>
      <c r="W225" s="543">
        <v>182169</v>
      </c>
    </row>
    <row r="226" spans="1:23" x14ac:dyDescent="0.25">
      <c r="A226">
        <v>221</v>
      </c>
      <c r="B226" t="s">
        <v>251</v>
      </c>
      <c r="C226" t="s">
        <v>15</v>
      </c>
      <c r="D226" t="s">
        <v>16</v>
      </c>
      <c r="F226" s="520">
        <v>0</v>
      </c>
      <c r="G226" s="520">
        <v>0</v>
      </c>
      <c r="H226" s="520">
        <v>0</v>
      </c>
      <c r="I226" s="517"/>
      <c r="J226" s="520">
        <v>0</v>
      </c>
      <c r="K226" s="520">
        <v>0</v>
      </c>
      <c r="L226" s="520">
        <v>0</v>
      </c>
      <c r="M226" s="517"/>
      <c r="N226" s="542">
        <v>0</v>
      </c>
      <c r="O226" s="543">
        <v>0</v>
      </c>
      <c r="P226" s="543">
        <v>0</v>
      </c>
      <c r="Q226" s="517"/>
      <c r="R226" s="520">
        <v>0</v>
      </c>
      <c r="S226" s="520">
        <v>0</v>
      </c>
      <c r="T226" s="520">
        <v>0</v>
      </c>
      <c r="U226" s="517"/>
      <c r="V226" s="542">
        <v>0</v>
      </c>
      <c r="W226" s="543">
        <v>0</v>
      </c>
    </row>
    <row r="227" spans="1:23" x14ac:dyDescent="0.25">
      <c r="A227">
        <v>222</v>
      </c>
      <c r="B227" t="s">
        <v>252</v>
      </c>
      <c r="C227" t="s">
        <v>18</v>
      </c>
      <c r="D227" t="s">
        <v>16</v>
      </c>
      <c r="F227" s="520">
        <v>0</v>
      </c>
      <c r="G227" s="520">
        <v>0</v>
      </c>
      <c r="H227" s="520">
        <v>0</v>
      </c>
      <c r="I227" s="517"/>
      <c r="J227" s="520">
        <v>0</v>
      </c>
      <c r="K227" s="520">
        <v>0</v>
      </c>
      <c r="L227" s="520">
        <v>0</v>
      </c>
      <c r="M227" s="517"/>
      <c r="N227" s="542">
        <v>0</v>
      </c>
      <c r="O227" s="543">
        <v>0</v>
      </c>
      <c r="P227" s="543">
        <v>0</v>
      </c>
      <c r="Q227" s="517"/>
      <c r="R227" s="520">
        <v>0</v>
      </c>
      <c r="S227" s="520">
        <v>0</v>
      </c>
      <c r="T227" s="520">
        <v>0</v>
      </c>
      <c r="U227" s="517"/>
      <c r="V227" s="542">
        <v>0</v>
      </c>
      <c r="W227" s="543">
        <v>0</v>
      </c>
    </row>
    <row r="228" spans="1:23" x14ac:dyDescent="0.25">
      <c r="A228">
        <v>223</v>
      </c>
      <c r="B228" t="s">
        <v>253</v>
      </c>
      <c r="C228" t="s">
        <v>15</v>
      </c>
      <c r="D228" t="s">
        <v>45</v>
      </c>
      <c r="F228" s="520">
        <v>9</v>
      </c>
      <c r="G228" s="520">
        <v>5212.3999999999996</v>
      </c>
      <c r="H228" s="520">
        <v>72</v>
      </c>
      <c r="I228" s="517"/>
      <c r="J228" s="520">
        <v>0</v>
      </c>
      <c r="K228" s="520">
        <v>0</v>
      </c>
      <c r="L228" s="520">
        <v>0</v>
      </c>
      <c r="M228" s="517"/>
      <c r="N228" s="542">
        <v>9</v>
      </c>
      <c r="O228" s="543">
        <v>5212.3999999999996</v>
      </c>
      <c r="P228" s="543">
        <v>72</v>
      </c>
      <c r="Q228" s="517"/>
      <c r="R228" s="520">
        <v>0</v>
      </c>
      <c r="S228" s="520">
        <v>0</v>
      </c>
      <c r="T228" s="520">
        <v>0</v>
      </c>
      <c r="U228" s="517"/>
      <c r="V228" s="542">
        <v>9</v>
      </c>
      <c r="W228" s="543">
        <v>5212.3999999999996</v>
      </c>
    </row>
    <row r="229" spans="1:23" x14ac:dyDescent="0.25">
      <c r="A229">
        <v>224</v>
      </c>
      <c r="B229" t="s">
        <v>254</v>
      </c>
      <c r="C229" t="s">
        <v>255</v>
      </c>
      <c r="D229" t="s">
        <v>16</v>
      </c>
      <c r="F229" s="520">
        <v>16</v>
      </c>
      <c r="G229" s="520">
        <v>191010.83</v>
      </c>
      <c r="H229" s="520">
        <v>240</v>
      </c>
      <c r="I229" s="517"/>
      <c r="J229" s="520">
        <v>0</v>
      </c>
      <c r="K229" s="520">
        <v>0</v>
      </c>
      <c r="L229" s="520">
        <v>0</v>
      </c>
      <c r="M229" s="517"/>
      <c r="N229" s="542">
        <v>16</v>
      </c>
      <c r="O229" s="543">
        <v>191010.83</v>
      </c>
      <c r="P229" s="543">
        <v>240</v>
      </c>
      <c r="Q229" s="517"/>
      <c r="R229" s="520">
        <v>0</v>
      </c>
      <c r="S229" s="520">
        <v>0</v>
      </c>
      <c r="T229" s="520">
        <v>0</v>
      </c>
      <c r="U229" s="517"/>
      <c r="V229" s="542">
        <v>16</v>
      </c>
      <c r="W229" s="543">
        <v>191010.83</v>
      </c>
    </row>
    <row r="230" spans="1:23" x14ac:dyDescent="0.25">
      <c r="A230">
        <v>225</v>
      </c>
      <c r="B230" t="s">
        <v>256</v>
      </c>
      <c r="D230" t="s">
        <v>16</v>
      </c>
      <c r="F230" s="520">
        <v>85</v>
      </c>
      <c r="G230" s="520">
        <v>172369.86000000002</v>
      </c>
      <c r="H230" s="520">
        <v>850</v>
      </c>
      <c r="I230" s="517"/>
      <c r="J230" s="520">
        <v>0</v>
      </c>
      <c r="K230" s="520">
        <v>0</v>
      </c>
      <c r="L230" s="520">
        <v>0</v>
      </c>
      <c r="M230" s="517"/>
      <c r="N230" s="542">
        <v>85</v>
      </c>
      <c r="O230" s="543">
        <v>172369.86000000002</v>
      </c>
      <c r="P230" s="543">
        <v>850</v>
      </c>
      <c r="Q230" s="517"/>
      <c r="R230" s="520">
        <v>0</v>
      </c>
      <c r="S230" s="520">
        <v>0</v>
      </c>
      <c r="T230" s="520">
        <v>0</v>
      </c>
      <c r="U230" s="517"/>
      <c r="V230" s="542">
        <v>85</v>
      </c>
      <c r="W230" s="543">
        <v>172369.86000000002</v>
      </c>
    </row>
    <row r="231" spans="1:23" x14ac:dyDescent="0.25">
      <c r="A231">
        <v>226</v>
      </c>
      <c r="B231" t="s">
        <v>2229</v>
      </c>
      <c r="C231" t="s">
        <v>255</v>
      </c>
      <c r="D231" t="s">
        <v>16</v>
      </c>
      <c r="F231" s="520">
        <v>0</v>
      </c>
      <c r="G231" s="520">
        <v>0</v>
      </c>
      <c r="H231" s="520">
        <v>0</v>
      </c>
      <c r="I231" s="517"/>
      <c r="J231" s="520">
        <v>0</v>
      </c>
      <c r="K231" s="520">
        <v>0</v>
      </c>
      <c r="L231" s="520">
        <v>0</v>
      </c>
      <c r="M231" s="517"/>
      <c r="N231" s="542">
        <v>0</v>
      </c>
      <c r="O231" s="543">
        <v>0</v>
      </c>
      <c r="P231" s="543">
        <v>0</v>
      </c>
      <c r="Q231" s="517"/>
      <c r="R231" s="520">
        <v>0</v>
      </c>
      <c r="S231" s="520">
        <v>0</v>
      </c>
      <c r="T231" s="520">
        <v>0</v>
      </c>
      <c r="U231" s="517"/>
      <c r="V231" s="542">
        <v>0</v>
      </c>
      <c r="W231" s="543">
        <v>0</v>
      </c>
    </row>
    <row r="232" spans="1:23" x14ac:dyDescent="0.25">
      <c r="A232">
        <v>227</v>
      </c>
      <c r="B232" t="s">
        <v>257</v>
      </c>
      <c r="C232" t="s">
        <v>258</v>
      </c>
      <c r="D232" t="s">
        <v>16</v>
      </c>
      <c r="F232" s="520">
        <v>0</v>
      </c>
      <c r="G232" s="520">
        <v>0</v>
      </c>
      <c r="H232" s="520">
        <v>0</v>
      </c>
      <c r="I232" s="517"/>
      <c r="J232" s="520">
        <v>0</v>
      </c>
      <c r="K232" s="520">
        <v>0</v>
      </c>
      <c r="L232" s="520">
        <v>0</v>
      </c>
      <c r="M232" s="517"/>
      <c r="N232" s="542">
        <v>0</v>
      </c>
      <c r="O232" s="543">
        <v>0</v>
      </c>
      <c r="P232" s="543">
        <v>0</v>
      </c>
      <c r="Q232" s="517"/>
      <c r="R232" s="520">
        <v>0</v>
      </c>
      <c r="S232" s="520">
        <v>0</v>
      </c>
      <c r="T232" s="520">
        <v>0</v>
      </c>
      <c r="U232" s="517"/>
      <c r="V232" s="542">
        <v>0</v>
      </c>
      <c r="W232" s="543">
        <v>0</v>
      </c>
    </row>
    <row r="233" spans="1:23" x14ac:dyDescent="0.25">
      <c r="A233">
        <v>228</v>
      </c>
      <c r="B233" t="s">
        <v>259</v>
      </c>
      <c r="C233" t="s">
        <v>15</v>
      </c>
      <c r="D233" t="s">
        <v>45</v>
      </c>
      <c r="F233" s="520">
        <v>6</v>
      </c>
      <c r="G233" s="520">
        <v>2651.7</v>
      </c>
      <c r="H233" s="520">
        <v>48</v>
      </c>
      <c r="I233" s="517"/>
      <c r="J233" s="520">
        <v>0</v>
      </c>
      <c r="K233" s="520">
        <v>0</v>
      </c>
      <c r="L233" s="520">
        <v>0</v>
      </c>
      <c r="M233" s="517"/>
      <c r="N233" s="542">
        <v>6</v>
      </c>
      <c r="O233" s="543">
        <v>2651.7</v>
      </c>
      <c r="P233" s="543">
        <v>48</v>
      </c>
      <c r="Q233" s="517"/>
      <c r="R233" s="520">
        <v>0</v>
      </c>
      <c r="S233" s="520">
        <v>0</v>
      </c>
      <c r="T233" s="520">
        <v>0</v>
      </c>
      <c r="U233" s="517"/>
      <c r="V233" s="542">
        <v>6</v>
      </c>
      <c r="W233" s="543">
        <v>2651.7</v>
      </c>
    </row>
    <row r="234" spans="1:23" x14ac:dyDescent="0.25">
      <c r="A234">
        <v>229</v>
      </c>
      <c r="B234" t="s">
        <v>260</v>
      </c>
      <c r="C234" t="s">
        <v>18</v>
      </c>
      <c r="D234" t="s">
        <v>16</v>
      </c>
      <c r="F234" s="520">
        <v>0</v>
      </c>
      <c r="G234" s="520">
        <v>0</v>
      </c>
      <c r="H234" s="520">
        <v>0</v>
      </c>
      <c r="I234" s="517"/>
      <c r="J234" s="520">
        <v>0</v>
      </c>
      <c r="K234" s="520">
        <v>0</v>
      </c>
      <c r="L234" s="520">
        <v>0</v>
      </c>
      <c r="M234" s="517"/>
      <c r="N234" s="542">
        <v>0</v>
      </c>
      <c r="O234" s="543">
        <v>0</v>
      </c>
      <c r="P234" s="543">
        <v>0</v>
      </c>
      <c r="Q234" s="517"/>
      <c r="R234" s="520">
        <v>0</v>
      </c>
      <c r="S234" s="520">
        <v>0</v>
      </c>
      <c r="T234" s="520">
        <v>0</v>
      </c>
      <c r="U234" s="517"/>
      <c r="V234" s="542">
        <v>0</v>
      </c>
      <c r="W234" s="543">
        <v>0</v>
      </c>
    </row>
    <row r="235" spans="1:23" x14ac:dyDescent="0.25">
      <c r="A235">
        <v>230</v>
      </c>
      <c r="B235" t="s">
        <v>261</v>
      </c>
      <c r="C235" t="s">
        <v>25</v>
      </c>
      <c r="D235" t="s">
        <v>16</v>
      </c>
      <c r="F235" s="520">
        <v>0</v>
      </c>
      <c r="G235" s="520">
        <v>0</v>
      </c>
      <c r="H235" s="520">
        <v>0</v>
      </c>
      <c r="I235" s="517"/>
      <c r="J235" s="520">
        <v>0</v>
      </c>
      <c r="K235" s="520">
        <v>0</v>
      </c>
      <c r="L235" s="520">
        <v>0</v>
      </c>
      <c r="M235" s="517"/>
      <c r="N235" s="542">
        <v>0</v>
      </c>
      <c r="O235" s="543">
        <v>0</v>
      </c>
      <c r="P235" s="543">
        <v>0</v>
      </c>
      <c r="Q235" s="517"/>
      <c r="R235" s="520">
        <v>0</v>
      </c>
      <c r="S235" s="520">
        <v>0</v>
      </c>
      <c r="T235" s="520">
        <v>0</v>
      </c>
      <c r="U235" s="517"/>
      <c r="V235" s="542">
        <v>0</v>
      </c>
      <c r="W235" s="543">
        <v>0</v>
      </c>
    </row>
    <row r="236" spans="1:23" x14ac:dyDescent="0.25">
      <c r="A236">
        <v>231</v>
      </c>
      <c r="B236" t="s">
        <v>262</v>
      </c>
      <c r="C236" t="s">
        <v>25</v>
      </c>
      <c r="D236" t="s">
        <v>16</v>
      </c>
      <c r="F236" s="520">
        <v>1</v>
      </c>
      <c r="G236" s="520">
        <v>443</v>
      </c>
      <c r="H236" s="520">
        <v>8</v>
      </c>
      <c r="I236" s="517"/>
      <c r="J236" s="520">
        <v>0</v>
      </c>
      <c r="K236" s="520">
        <v>0</v>
      </c>
      <c r="L236" s="520">
        <v>0</v>
      </c>
      <c r="M236" s="517"/>
      <c r="N236" s="542">
        <v>1</v>
      </c>
      <c r="O236" s="543">
        <v>443</v>
      </c>
      <c r="P236" s="543">
        <v>8</v>
      </c>
      <c r="Q236" s="517"/>
      <c r="R236" s="520">
        <v>0</v>
      </c>
      <c r="S236" s="520">
        <v>0</v>
      </c>
      <c r="T236" s="520">
        <v>0</v>
      </c>
      <c r="U236" s="517"/>
      <c r="V236" s="542">
        <v>1</v>
      </c>
      <c r="W236" s="543">
        <v>443</v>
      </c>
    </row>
    <row r="237" spans="1:23" x14ac:dyDescent="0.25">
      <c r="A237">
        <v>232</v>
      </c>
      <c r="B237" t="s">
        <v>263</v>
      </c>
      <c r="C237" t="s">
        <v>25</v>
      </c>
      <c r="D237" t="s">
        <v>16</v>
      </c>
      <c r="F237" s="520">
        <v>2</v>
      </c>
      <c r="G237" s="520">
        <v>949</v>
      </c>
      <c r="H237" s="520">
        <v>16</v>
      </c>
      <c r="I237" s="517"/>
      <c r="J237" s="520">
        <v>0</v>
      </c>
      <c r="K237" s="520">
        <v>0</v>
      </c>
      <c r="L237" s="520">
        <v>0</v>
      </c>
      <c r="M237" s="517"/>
      <c r="N237" s="542">
        <v>2</v>
      </c>
      <c r="O237" s="543">
        <v>949</v>
      </c>
      <c r="P237" s="543">
        <v>16</v>
      </c>
      <c r="Q237" s="517"/>
      <c r="R237" s="520">
        <v>0</v>
      </c>
      <c r="S237" s="520">
        <v>0</v>
      </c>
      <c r="T237" s="520">
        <v>0</v>
      </c>
      <c r="U237" s="517"/>
      <c r="V237" s="542">
        <v>2</v>
      </c>
      <c r="W237" s="543">
        <v>949</v>
      </c>
    </row>
    <row r="238" spans="1:23" x14ac:dyDescent="0.25">
      <c r="A238">
        <v>233</v>
      </c>
      <c r="B238" t="s">
        <v>264</v>
      </c>
      <c r="D238" t="s">
        <v>16</v>
      </c>
      <c r="F238" s="520">
        <v>1</v>
      </c>
      <c r="G238" s="520">
        <v>221</v>
      </c>
      <c r="H238" s="520">
        <v>8</v>
      </c>
      <c r="I238" s="517"/>
      <c r="J238" s="520">
        <v>0</v>
      </c>
      <c r="K238" s="520">
        <v>0</v>
      </c>
      <c r="L238" s="520">
        <v>0</v>
      </c>
      <c r="M238" s="517"/>
      <c r="N238" s="542">
        <v>1</v>
      </c>
      <c r="O238" s="543">
        <v>221</v>
      </c>
      <c r="P238" s="543">
        <v>8</v>
      </c>
      <c r="Q238" s="517"/>
      <c r="R238" s="520">
        <v>0</v>
      </c>
      <c r="S238" s="520">
        <v>0</v>
      </c>
      <c r="T238" s="520">
        <v>0</v>
      </c>
      <c r="U238" s="517"/>
      <c r="V238" s="542">
        <v>1</v>
      </c>
      <c r="W238" s="543">
        <v>221</v>
      </c>
    </row>
    <row r="239" spans="1:23" x14ac:dyDescent="0.25">
      <c r="A239">
        <v>234</v>
      </c>
      <c r="B239" t="s">
        <v>265</v>
      </c>
      <c r="C239" t="s">
        <v>25</v>
      </c>
      <c r="D239" t="s">
        <v>16</v>
      </c>
      <c r="F239" s="520">
        <v>0</v>
      </c>
      <c r="G239" s="520">
        <v>0</v>
      </c>
      <c r="H239" s="520">
        <v>0</v>
      </c>
      <c r="I239" s="517"/>
      <c r="J239" s="520">
        <v>0</v>
      </c>
      <c r="K239" s="520">
        <v>0</v>
      </c>
      <c r="L239" s="520">
        <v>0</v>
      </c>
      <c r="M239" s="517"/>
      <c r="N239" s="542">
        <v>0</v>
      </c>
      <c r="O239" s="543">
        <v>0</v>
      </c>
      <c r="P239" s="543">
        <v>0</v>
      </c>
      <c r="Q239" s="517"/>
      <c r="R239" s="520">
        <v>0</v>
      </c>
      <c r="S239" s="520">
        <v>0</v>
      </c>
      <c r="T239" s="520">
        <v>0</v>
      </c>
      <c r="U239" s="517"/>
      <c r="V239" s="542">
        <v>0</v>
      </c>
      <c r="W239" s="543">
        <v>0</v>
      </c>
    </row>
    <row r="240" spans="1:23" x14ac:dyDescent="0.25">
      <c r="A240">
        <v>235</v>
      </c>
      <c r="B240" t="s">
        <v>266</v>
      </c>
      <c r="C240" t="s">
        <v>25</v>
      </c>
      <c r="D240" t="s">
        <v>16</v>
      </c>
      <c r="F240" s="520">
        <v>10</v>
      </c>
      <c r="G240" s="520">
        <v>7367</v>
      </c>
      <c r="H240" s="520">
        <v>80</v>
      </c>
      <c r="I240" s="517"/>
      <c r="J240" s="520">
        <v>0</v>
      </c>
      <c r="K240" s="520">
        <v>0</v>
      </c>
      <c r="L240" s="520">
        <v>0</v>
      </c>
      <c r="M240" s="517"/>
      <c r="N240" s="542">
        <v>10</v>
      </c>
      <c r="O240" s="543">
        <v>7367</v>
      </c>
      <c r="P240" s="543">
        <v>80</v>
      </c>
      <c r="Q240" s="517"/>
      <c r="R240" s="520">
        <v>0</v>
      </c>
      <c r="S240" s="520">
        <v>0</v>
      </c>
      <c r="T240" s="520">
        <v>0</v>
      </c>
      <c r="U240" s="517"/>
      <c r="V240" s="542">
        <v>10</v>
      </c>
      <c r="W240" s="543">
        <v>7367</v>
      </c>
    </row>
    <row r="241" spans="1:23" x14ac:dyDescent="0.25">
      <c r="A241">
        <v>236</v>
      </c>
      <c r="B241" t="s">
        <v>267</v>
      </c>
      <c r="C241" t="s">
        <v>25</v>
      </c>
      <c r="D241" t="s">
        <v>16</v>
      </c>
      <c r="F241" s="520">
        <v>2</v>
      </c>
      <c r="G241" s="520">
        <v>2220</v>
      </c>
      <c r="H241" s="520">
        <v>16</v>
      </c>
      <c r="I241" s="517"/>
      <c r="J241" s="520">
        <v>0</v>
      </c>
      <c r="K241" s="520">
        <v>0</v>
      </c>
      <c r="L241" s="520">
        <v>0</v>
      </c>
      <c r="M241" s="517"/>
      <c r="N241" s="542">
        <v>2</v>
      </c>
      <c r="O241" s="543">
        <v>2220</v>
      </c>
      <c r="P241" s="543">
        <v>16</v>
      </c>
      <c r="Q241" s="517"/>
      <c r="R241" s="520">
        <v>0</v>
      </c>
      <c r="S241" s="520">
        <v>0</v>
      </c>
      <c r="T241" s="520">
        <v>0</v>
      </c>
      <c r="U241" s="517"/>
      <c r="V241" s="542">
        <v>2</v>
      </c>
      <c r="W241" s="543">
        <v>2220</v>
      </c>
    </row>
    <row r="242" spans="1:23" x14ac:dyDescent="0.25">
      <c r="A242">
        <v>237</v>
      </c>
      <c r="B242" t="s">
        <v>268</v>
      </c>
      <c r="C242" t="s">
        <v>25</v>
      </c>
      <c r="D242" t="s">
        <v>16</v>
      </c>
      <c r="F242" s="520">
        <v>56</v>
      </c>
      <c r="G242" s="520">
        <v>43754.34</v>
      </c>
      <c r="H242" s="520">
        <v>448</v>
      </c>
      <c r="I242" s="517"/>
      <c r="J242" s="520">
        <v>0</v>
      </c>
      <c r="K242" s="520">
        <v>0</v>
      </c>
      <c r="L242" s="520">
        <v>0</v>
      </c>
      <c r="M242" s="517"/>
      <c r="N242" s="542">
        <v>56</v>
      </c>
      <c r="O242" s="543">
        <v>43754.34</v>
      </c>
      <c r="P242" s="543">
        <v>448</v>
      </c>
      <c r="Q242" s="517"/>
      <c r="R242" s="520">
        <v>0</v>
      </c>
      <c r="S242" s="520">
        <v>0</v>
      </c>
      <c r="T242" s="520">
        <v>0</v>
      </c>
      <c r="U242" s="517"/>
      <c r="V242" s="542">
        <v>56</v>
      </c>
      <c r="W242" s="543">
        <v>43754.34</v>
      </c>
    </row>
    <row r="243" spans="1:23" x14ac:dyDescent="0.25">
      <c r="A243">
        <v>238</v>
      </c>
      <c r="B243" t="s">
        <v>269</v>
      </c>
      <c r="C243" t="s">
        <v>25</v>
      </c>
      <c r="D243" t="s">
        <v>16</v>
      </c>
      <c r="F243" s="520">
        <v>9</v>
      </c>
      <c r="G243" s="520">
        <v>3222</v>
      </c>
      <c r="H243" s="520">
        <v>72</v>
      </c>
      <c r="I243" s="517"/>
      <c r="J243" s="520">
        <v>0</v>
      </c>
      <c r="K243" s="520">
        <v>0</v>
      </c>
      <c r="L243" s="520">
        <v>0</v>
      </c>
      <c r="M243" s="517"/>
      <c r="N243" s="542">
        <v>9</v>
      </c>
      <c r="O243" s="543">
        <v>3222</v>
      </c>
      <c r="P243" s="543">
        <v>72</v>
      </c>
      <c r="Q243" s="517"/>
      <c r="R243" s="520">
        <v>0</v>
      </c>
      <c r="S243" s="520">
        <v>0</v>
      </c>
      <c r="T243" s="520">
        <v>0</v>
      </c>
      <c r="U243" s="517"/>
      <c r="V243" s="542">
        <v>9</v>
      </c>
      <c r="W243" s="543">
        <v>3222</v>
      </c>
    </row>
    <row r="244" spans="1:23" x14ac:dyDescent="0.25">
      <c r="A244">
        <v>239</v>
      </c>
      <c r="B244" t="s">
        <v>270</v>
      </c>
      <c r="C244" t="s">
        <v>25</v>
      </c>
      <c r="D244" t="s">
        <v>16</v>
      </c>
      <c r="F244" s="520">
        <v>7</v>
      </c>
      <c r="G244" s="520">
        <v>5557</v>
      </c>
      <c r="H244" s="520">
        <v>56</v>
      </c>
      <c r="I244" s="517"/>
      <c r="J244" s="520">
        <v>0</v>
      </c>
      <c r="K244" s="520">
        <v>0</v>
      </c>
      <c r="L244" s="520">
        <v>0</v>
      </c>
      <c r="M244" s="517"/>
      <c r="N244" s="542">
        <v>7</v>
      </c>
      <c r="O244" s="543">
        <v>5557</v>
      </c>
      <c r="P244" s="543">
        <v>56</v>
      </c>
      <c r="Q244" s="517"/>
      <c r="R244" s="520">
        <v>0</v>
      </c>
      <c r="S244" s="520">
        <v>0</v>
      </c>
      <c r="T244" s="520">
        <v>0</v>
      </c>
      <c r="U244" s="517"/>
      <c r="V244" s="542">
        <v>7</v>
      </c>
      <c r="W244" s="543">
        <v>5557</v>
      </c>
    </row>
    <row r="245" spans="1:23" x14ac:dyDescent="0.25">
      <c r="A245">
        <v>240</v>
      </c>
      <c r="B245" t="s">
        <v>271</v>
      </c>
      <c r="C245" t="s">
        <v>25</v>
      </c>
      <c r="D245" t="s">
        <v>16</v>
      </c>
      <c r="F245" s="520">
        <v>9</v>
      </c>
      <c r="G245" s="520">
        <v>4239</v>
      </c>
      <c r="H245" s="520">
        <v>72</v>
      </c>
      <c r="I245" s="517"/>
      <c r="J245" s="520">
        <v>0</v>
      </c>
      <c r="K245" s="520">
        <v>0</v>
      </c>
      <c r="L245" s="520">
        <v>0</v>
      </c>
      <c r="M245" s="517"/>
      <c r="N245" s="542">
        <v>9</v>
      </c>
      <c r="O245" s="543">
        <v>4239</v>
      </c>
      <c r="P245" s="543">
        <v>72</v>
      </c>
      <c r="Q245" s="517"/>
      <c r="R245" s="520">
        <v>0</v>
      </c>
      <c r="S245" s="520">
        <v>0</v>
      </c>
      <c r="T245" s="520">
        <v>0</v>
      </c>
      <c r="U245" s="517"/>
      <c r="V245" s="542">
        <v>9</v>
      </c>
      <c r="W245" s="543">
        <v>4239</v>
      </c>
    </row>
    <row r="246" spans="1:23" x14ac:dyDescent="0.25">
      <c r="A246">
        <v>241</v>
      </c>
      <c r="B246" t="s">
        <v>272</v>
      </c>
      <c r="C246" t="s">
        <v>25</v>
      </c>
      <c r="D246" t="s">
        <v>16</v>
      </c>
      <c r="F246" s="520">
        <v>1</v>
      </c>
      <c r="G246" s="520">
        <v>330</v>
      </c>
      <c r="H246" s="520">
        <v>8</v>
      </c>
      <c r="I246" s="517"/>
      <c r="J246" s="520">
        <v>0</v>
      </c>
      <c r="K246" s="520">
        <v>0</v>
      </c>
      <c r="L246" s="520">
        <v>0</v>
      </c>
      <c r="M246" s="517"/>
      <c r="N246" s="542">
        <v>1</v>
      </c>
      <c r="O246" s="543">
        <v>330</v>
      </c>
      <c r="P246" s="543">
        <v>8</v>
      </c>
      <c r="Q246" s="517"/>
      <c r="R246" s="520">
        <v>0</v>
      </c>
      <c r="S246" s="520">
        <v>0</v>
      </c>
      <c r="T246" s="520">
        <v>0</v>
      </c>
      <c r="U246" s="517"/>
      <c r="V246" s="542">
        <v>1</v>
      </c>
      <c r="W246" s="543">
        <v>330</v>
      </c>
    </row>
    <row r="247" spans="1:23" x14ac:dyDescent="0.25">
      <c r="A247">
        <v>242</v>
      </c>
      <c r="B247" t="s">
        <v>273</v>
      </c>
      <c r="C247" t="s">
        <v>25</v>
      </c>
      <c r="D247" t="s">
        <v>16</v>
      </c>
      <c r="F247" s="520">
        <v>1</v>
      </c>
      <c r="G247" s="520">
        <v>1000</v>
      </c>
      <c r="H247" s="520">
        <v>8</v>
      </c>
      <c r="I247" s="517"/>
      <c r="J247" s="520">
        <v>0</v>
      </c>
      <c r="K247" s="520">
        <v>0</v>
      </c>
      <c r="L247" s="520">
        <v>0</v>
      </c>
      <c r="M247" s="517"/>
      <c r="N247" s="542">
        <v>1</v>
      </c>
      <c r="O247" s="543">
        <v>1000</v>
      </c>
      <c r="P247" s="543">
        <v>8</v>
      </c>
      <c r="Q247" s="517"/>
      <c r="R247" s="520">
        <v>0</v>
      </c>
      <c r="S247" s="520">
        <v>0</v>
      </c>
      <c r="T247" s="520">
        <v>0</v>
      </c>
      <c r="U247" s="517"/>
      <c r="V247" s="542">
        <v>1</v>
      </c>
      <c r="W247" s="543">
        <v>1000</v>
      </c>
    </row>
    <row r="248" spans="1:23" x14ac:dyDescent="0.25">
      <c r="A248">
        <v>243</v>
      </c>
      <c r="B248" t="s">
        <v>274</v>
      </c>
      <c r="C248" t="s">
        <v>25</v>
      </c>
      <c r="D248" t="s">
        <v>16</v>
      </c>
      <c r="F248" s="520">
        <v>5</v>
      </c>
      <c r="G248" s="520">
        <v>1973</v>
      </c>
      <c r="H248" s="520">
        <v>40</v>
      </c>
      <c r="I248" s="517"/>
      <c r="J248" s="520">
        <v>0</v>
      </c>
      <c r="K248" s="520">
        <v>0</v>
      </c>
      <c r="L248" s="520">
        <v>0</v>
      </c>
      <c r="M248" s="517"/>
      <c r="N248" s="542">
        <v>5</v>
      </c>
      <c r="O248" s="543">
        <v>1973</v>
      </c>
      <c r="P248" s="543">
        <v>40</v>
      </c>
      <c r="Q248" s="517"/>
      <c r="R248" s="520">
        <v>0</v>
      </c>
      <c r="S248" s="520">
        <v>0</v>
      </c>
      <c r="T248" s="520">
        <v>0</v>
      </c>
      <c r="U248" s="517"/>
      <c r="V248" s="542">
        <v>5</v>
      </c>
      <c r="W248" s="543">
        <v>1973</v>
      </c>
    </row>
    <row r="249" spans="1:23" x14ac:dyDescent="0.25">
      <c r="A249">
        <v>244</v>
      </c>
      <c r="B249" t="s">
        <v>275</v>
      </c>
      <c r="C249" t="s">
        <v>25</v>
      </c>
      <c r="D249" t="s">
        <v>16</v>
      </c>
      <c r="F249" s="520">
        <v>0</v>
      </c>
      <c r="G249" s="520">
        <v>0</v>
      </c>
      <c r="H249" s="520">
        <v>0</v>
      </c>
      <c r="I249" s="517"/>
      <c r="J249" s="520">
        <v>0</v>
      </c>
      <c r="K249" s="520">
        <v>0</v>
      </c>
      <c r="L249" s="520">
        <v>0</v>
      </c>
      <c r="M249" s="517"/>
      <c r="N249" s="542">
        <v>0</v>
      </c>
      <c r="O249" s="543">
        <v>0</v>
      </c>
      <c r="P249" s="543">
        <v>0</v>
      </c>
      <c r="Q249" s="517"/>
      <c r="R249" s="520">
        <v>0</v>
      </c>
      <c r="S249" s="520">
        <v>0</v>
      </c>
      <c r="T249" s="520">
        <v>0</v>
      </c>
      <c r="U249" s="517"/>
      <c r="V249" s="542">
        <v>0</v>
      </c>
      <c r="W249" s="543">
        <v>0</v>
      </c>
    </row>
    <row r="250" spans="1:23" x14ac:dyDescent="0.25">
      <c r="A250">
        <v>245</v>
      </c>
      <c r="B250" t="s">
        <v>276</v>
      </c>
      <c r="C250" t="s">
        <v>154</v>
      </c>
      <c r="D250" t="s">
        <v>20</v>
      </c>
      <c r="F250" s="520">
        <v>0</v>
      </c>
      <c r="G250" s="520">
        <v>0</v>
      </c>
      <c r="H250" s="520">
        <v>0</v>
      </c>
      <c r="I250" s="517"/>
      <c r="J250" s="520">
        <v>0</v>
      </c>
      <c r="K250" s="520">
        <v>0</v>
      </c>
      <c r="L250" s="520">
        <v>0</v>
      </c>
      <c r="M250" s="517"/>
      <c r="N250" s="542">
        <v>0</v>
      </c>
      <c r="O250" s="543">
        <v>0</v>
      </c>
      <c r="P250" s="543">
        <v>0</v>
      </c>
      <c r="Q250" s="517"/>
      <c r="R250" s="520">
        <v>0</v>
      </c>
      <c r="S250" s="520">
        <v>0</v>
      </c>
      <c r="T250" s="520">
        <v>0</v>
      </c>
      <c r="U250" s="517"/>
      <c r="V250" s="542">
        <v>0</v>
      </c>
      <c r="W250" s="543">
        <v>0</v>
      </c>
    </row>
    <row r="251" spans="1:23" x14ac:dyDescent="0.25">
      <c r="A251">
        <v>246</v>
      </c>
      <c r="B251" t="s">
        <v>277</v>
      </c>
      <c r="C251" t="s">
        <v>154</v>
      </c>
      <c r="D251" t="s">
        <v>16</v>
      </c>
      <c r="F251" s="520">
        <v>0</v>
      </c>
      <c r="G251" s="520">
        <v>0</v>
      </c>
      <c r="H251" s="520">
        <v>0</v>
      </c>
      <c r="I251" s="517"/>
      <c r="J251" s="520">
        <v>0</v>
      </c>
      <c r="K251" s="520">
        <v>0</v>
      </c>
      <c r="L251" s="520">
        <v>0</v>
      </c>
      <c r="M251" s="517"/>
      <c r="N251" s="542">
        <v>0</v>
      </c>
      <c r="O251" s="543">
        <v>0</v>
      </c>
      <c r="P251" s="543">
        <v>0</v>
      </c>
      <c r="Q251" s="517"/>
      <c r="R251" s="520">
        <v>0</v>
      </c>
      <c r="S251" s="520">
        <v>0</v>
      </c>
      <c r="T251" s="520">
        <v>0</v>
      </c>
      <c r="U251" s="517"/>
      <c r="V251" s="542">
        <v>0</v>
      </c>
      <c r="W251" s="543">
        <v>0</v>
      </c>
    </row>
    <row r="252" spans="1:23" x14ac:dyDescent="0.25">
      <c r="A252">
        <v>247</v>
      </c>
      <c r="B252" t="s">
        <v>278</v>
      </c>
      <c r="C252" t="s">
        <v>24</v>
      </c>
      <c r="D252" t="s">
        <v>16</v>
      </c>
      <c r="F252" s="520">
        <v>54</v>
      </c>
      <c r="G252" s="520">
        <v>3916190.8000000003</v>
      </c>
      <c r="H252" s="520">
        <v>2200</v>
      </c>
      <c r="I252" s="517"/>
      <c r="J252" s="520">
        <v>0</v>
      </c>
      <c r="K252" s="520">
        <v>0</v>
      </c>
      <c r="L252" s="520">
        <v>0</v>
      </c>
      <c r="M252" s="517"/>
      <c r="N252" s="542">
        <v>54</v>
      </c>
      <c r="O252" s="543">
        <v>3916190.8000000003</v>
      </c>
      <c r="P252" s="543">
        <v>2200</v>
      </c>
      <c r="Q252" s="517"/>
      <c r="R252" s="520">
        <v>0</v>
      </c>
      <c r="S252" s="520">
        <v>0</v>
      </c>
      <c r="T252" s="520">
        <v>0</v>
      </c>
      <c r="U252" s="517"/>
      <c r="V252" s="542">
        <v>54</v>
      </c>
      <c r="W252" s="543">
        <v>3916190.8000000003</v>
      </c>
    </row>
    <row r="253" spans="1:23" x14ac:dyDescent="0.25">
      <c r="A253">
        <v>248</v>
      </c>
      <c r="B253" t="s">
        <v>279</v>
      </c>
      <c r="C253" t="s">
        <v>41</v>
      </c>
      <c r="D253" t="s">
        <v>20</v>
      </c>
      <c r="F253" s="520">
        <v>0</v>
      </c>
      <c r="G253" s="520">
        <v>0</v>
      </c>
      <c r="H253" s="520">
        <v>0</v>
      </c>
      <c r="I253" s="517"/>
      <c r="J253" s="520">
        <v>0</v>
      </c>
      <c r="K253" s="520">
        <v>0</v>
      </c>
      <c r="L253" s="520">
        <v>0</v>
      </c>
      <c r="M253" s="517"/>
      <c r="N253" s="542">
        <v>0</v>
      </c>
      <c r="O253" s="543">
        <v>0</v>
      </c>
      <c r="P253" s="543">
        <v>0</v>
      </c>
      <c r="Q253" s="517"/>
      <c r="R253" s="520">
        <v>0</v>
      </c>
      <c r="S253" s="520">
        <v>0</v>
      </c>
      <c r="T253" s="520">
        <v>0</v>
      </c>
      <c r="U253" s="517"/>
      <c r="V253" s="542">
        <v>0</v>
      </c>
      <c r="W253" s="543">
        <v>0</v>
      </c>
    </row>
    <row r="254" spans="1:23" x14ac:dyDescent="0.25">
      <c r="A254">
        <v>249</v>
      </c>
      <c r="B254" t="s">
        <v>280</v>
      </c>
      <c r="C254" t="s">
        <v>25</v>
      </c>
      <c r="D254" t="s">
        <v>16</v>
      </c>
      <c r="F254" s="520">
        <v>0</v>
      </c>
      <c r="G254" s="520">
        <v>0</v>
      </c>
      <c r="H254" s="520">
        <v>0</v>
      </c>
      <c r="I254" s="517"/>
      <c r="J254" s="520">
        <v>0</v>
      </c>
      <c r="K254" s="520">
        <v>0</v>
      </c>
      <c r="L254" s="520">
        <v>0</v>
      </c>
      <c r="M254" s="517"/>
      <c r="N254" s="542">
        <v>0</v>
      </c>
      <c r="O254" s="543">
        <v>0</v>
      </c>
      <c r="P254" s="543">
        <v>0</v>
      </c>
      <c r="Q254" s="517"/>
      <c r="R254" s="520">
        <v>0</v>
      </c>
      <c r="S254" s="520">
        <v>0</v>
      </c>
      <c r="T254" s="520">
        <v>0</v>
      </c>
      <c r="U254" s="517"/>
      <c r="V254" s="542">
        <v>0</v>
      </c>
      <c r="W254" s="543">
        <v>0</v>
      </c>
    </row>
    <row r="255" spans="1:23" x14ac:dyDescent="0.25">
      <c r="A255">
        <v>250</v>
      </c>
      <c r="B255" t="s">
        <v>281</v>
      </c>
      <c r="C255" t="s">
        <v>148</v>
      </c>
      <c r="D255" t="s">
        <v>16</v>
      </c>
      <c r="F255" s="520">
        <v>0</v>
      </c>
      <c r="G255" s="520">
        <v>0</v>
      </c>
      <c r="H255" s="520">
        <v>0</v>
      </c>
      <c r="I255" s="517"/>
      <c r="J255" s="520">
        <v>0</v>
      </c>
      <c r="K255" s="520">
        <v>0</v>
      </c>
      <c r="L255" s="520">
        <v>0</v>
      </c>
      <c r="M255" s="517"/>
      <c r="N255" s="542">
        <v>0</v>
      </c>
      <c r="O255" s="543">
        <v>0</v>
      </c>
      <c r="P255" s="543">
        <v>0</v>
      </c>
      <c r="Q255" s="517"/>
      <c r="R255" s="520">
        <v>0</v>
      </c>
      <c r="S255" s="520">
        <v>0</v>
      </c>
      <c r="T255" s="520">
        <v>0</v>
      </c>
      <c r="U255" s="517"/>
      <c r="V255" s="542">
        <v>0</v>
      </c>
      <c r="W255" s="543">
        <v>0</v>
      </c>
    </row>
    <row r="256" spans="1:23" x14ac:dyDescent="0.25">
      <c r="A256">
        <v>251</v>
      </c>
      <c r="B256" t="s">
        <v>282</v>
      </c>
      <c r="C256" t="s">
        <v>27</v>
      </c>
      <c r="D256" t="s">
        <v>16</v>
      </c>
      <c r="F256" s="520">
        <v>0</v>
      </c>
      <c r="G256" s="520">
        <v>0</v>
      </c>
      <c r="H256" s="520">
        <v>0</v>
      </c>
      <c r="I256" s="517"/>
      <c r="J256" s="520">
        <v>0</v>
      </c>
      <c r="K256" s="520">
        <v>0</v>
      </c>
      <c r="L256" s="520">
        <v>0</v>
      </c>
      <c r="M256" s="517"/>
      <c r="N256" s="542">
        <v>0</v>
      </c>
      <c r="O256" s="543">
        <v>0</v>
      </c>
      <c r="P256" s="543">
        <v>0</v>
      </c>
      <c r="Q256" s="517"/>
      <c r="R256" s="520">
        <v>0</v>
      </c>
      <c r="S256" s="520">
        <v>0</v>
      </c>
      <c r="T256" s="520">
        <v>0</v>
      </c>
      <c r="U256" s="517"/>
      <c r="V256" s="542">
        <v>0</v>
      </c>
      <c r="W256" s="543">
        <v>0</v>
      </c>
    </row>
    <row r="257" spans="1:23" x14ac:dyDescent="0.25">
      <c r="A257">
        <v>252</v>
      </c>
      <c r="B257" t="s">
        <v>283</v>
      </c>
      <c r="C257" t="s">
        <v>135</v>
      </c>
      <c r="D257" t="s">
        <v>16</v>
      </c>
      <c r="F257" s="520">
        <v>0</v>
      </c>
      <c r="G257" s="520">
        <v>0</v>
      </c>
      <c r="H257" s="520">
        <v>0</v>
      </c>
      <c r="I257" s="517"/>
      <c r="J257" s="520">
        <v>0</v>
      </c>
      <c r="K257" s="520">
        <v>0</v>
      </c>
      <c r="L257" s="520">
        <v>0</v>
      </c>
      <c r="M257" s="517"/>
      <c r="N257" s="542">
        <v>0</v>
      </c>
      <c r="O257" s="543">
        <v>0</v>
      </c>
      <c r="P257" s="543">
        <v>0</v>
      </c>
      <c r="Q257" s="517"/>
      <c r="R257" s="520">
        <v>0</v>
      </c>
      <c r="S257" s="520">
        <v>0</v>
      </c>
      <c r="T257" s="520">
        <v>0</v>
      </c>
      <c r="U257" s="517"/>
      <c r="V257" s="542">
        <v>0</v>
      </c>
      <c r="W257" s="543">
        <v>0</v>
      </c>
    </row>
    <row r="258" spans="1:23" x14ac:dyDescent="0.25">
      <c r="A258">
        <v>253</v>
      </c>
      <c r="B258" t="s">
        <v>284</v>
      </c>
      <c r="C258" t="s">
        <v>15</v>
      </c>
      <c r="D258" t="s">
        <v>16</v>
      </c>
      <c r="F258" s="520">
        <v>3922</v>
      </c>
      <c r="G258" s="520">
        <v>10317433.330000002</v>
      </c>
      <c r="H258" s="520">
        <v>58830</v>
      </c>
      <c r="I258" s="517"/>
      <c r="J258" s="520">
        <v>0</v>
      </c>
      <c r="K258" s="520">
        <v>0</v>
      </c>
      <c r="L258" s="520">
        <v>0</v>
      </c>
      <c r="M258" s="517"/>
      <c r="N258" s="542">
        <v>3922</v>
      </c>
      <c r="O258" s="543">
        <v>10317433.330000002</v>
      </c>
      <c r="P258" s="543">
        <v>58830</v>
      </c>
      <c r="Q258" s="517"/>
      <c r="R258" s="520">
        <v>0</v>
      </c>
      <c r="S258" s="520">
        <v>0</v>
      </c>
      <c r="T258" s="520">
        <v>0</v>
      </c>
      <c r="U258" s="517"/>
      <c r="V258" s="542">
        <v>3922</v>
      </c>
      <c r="W258" s="543">
        <v>10317433.330000002</v>
      </c>
    </row>
    <row r="259" spans="1:23" x14ac:dyDescent="0.25">
      <c r="A259">
        <v>254</v>
      </c>
      <c r="B259" t="s">
        <v>285</v>
      </c>
      <c r="C259" t="s">
        <v>18</v>
      </c>
      <c r="D259" t="s">
        <v>20</v>
      </c>
      <c r="F259" s="520">
        <v>11</v>
      </c>
      <c r="G259" s="520">
        <v>122327</v>
      </c>
      <c r="H259" s="520">
        <v>320</v>
      </c>
      <c r="I259" s="517"/>
      <c r="J259" s="520">
        <v>0</v>
      </c>
      <c r="K259" s="520">
        <v>0</v>
      </c>
      <c r="L259" s="520">
        <v>0</v>
      </c>
      <c r="M259" s="517"/>
      <c r="N259" s="542">
        <v>11</v>
      </c>
      <c r="O259" s="543">
        <v>122327</v>
      </c>
      <c r="P259" s="543">
        <v>320</v>
      </c>
      <c r="Q259" s="517"/>
      <c r="R259" s="520">
        <v>0</v>
      </c>
      <c r="S259" s="520">
        <v>0</v>
      </c>
      <c r="T259" s="520">
        <v>0</v>
      </c>
      <c r="U259" s="517"/>
      <c r="V259" s="542">
        <v>11</v>
      </c>
      <c r="W259" s="543">
        <v>122327</v>
      </c>
    </row>
    <row r="260" spans="1:23" x14ac:dyDescent="0.25">
      <c r="A260">
        <v>255</v>
      </c>
      <c r="B260" t="s">
        <v>286</v>
      </c>
      <c r="C260" t="s">
        <v>24</v>
      </c>
      <c r="D260" t="s">
        <v>16</v>
      </c>
      <c r="F260" s="520">
        <v>8</v>
      </c>
      <c r="G260" s="520">
        <v>315139.52</v>
      </c>
      <c r="H260" s="520">
        <v>275</v>
      </c>
      <c r="I260" s="517"/>
      <c r="J260" s="520">
        <v>0</v>
      </c>
      <c r="K260" s="520">
        <v>0</v>
      </c>
      <c r="L260" s="520">
        <v>0</v>
      </c>
      <c r="M260" s="517"/>
      <c r="N260" s="542">
        <v>8</v>
      </c>
      <c r="O260" s="543">
        <v>315139.52</v>
      </c>
      <c r="P260" s="543">
        <v>275</v>
      </c>
      <c r="Q260" s="517"/>
      <c r="R260" s="520">
        <v>0</v>
      </c>
      <c r="S260" s="520">
        <v>0</v>
      </c>
      <c r="T260" s="520">
        <v>0</v>
      </c>
      <c r="U260" s="517"/>
      <c r="V260" s="542">
        <v>8</v>
      </c>
      <c r="W260" s="543">
        <v>315139.52</v>
      </c>
    </row>
    <row r="261" spans="1:23" x14ac:dyDescent="0.25">
      <c r="A261">
        <v>256</v>
      </c>
      <c r="B261" t="s">
        <v>287</v>
      </c>
      <c r="C261" t="s">
        <v>15</v>
      </c>
      <c r="D261" t="s">
        <v>16</v>
      </c>
      <c r="F261" s="520">
        <v>4</v>
      </c>
      <c r="G261" s="520">
        <v>4420.55</v>
      </c>
      <c r="H261" s="520">
        <v>32</v>
      </c>
      <c r="I261" s="517"/>
      <c r="J261" s="520">
        <v>0</v>
      </c>
      <c r="K261" s="520">
        <v>0</v>
      </c>
      <c r="L261" s="520">
        <v>0</v>
      </c>
      <c r="M261" s="517"/>
      <c r="N261" s="542">
        <v>4</v>
      </c>
      <c r="O261" s="543">
        <v>4420.55</v>
      </c>
      <c r="P261" s="543">
        <v>32</v>
      </c>
      <c r="Q261" s="517"/>
      <c r="R261" s="520">
        <v>0</v>
      </c>
      <c r="S261" s="520">
        <v>0</v>
      </c>
      <c r="T261" s="520">
        <v>0</v>
      </c>
      <c r="U261" s="517"/>
      <c r="V261" s="542">
        <v>4</v>
      </c>
      <c r="W261" s="543">
        <v>4420.55</v>
      </c>
    </row>
    <row r="262" spans="1:23" x14ac:dyDescent="0.25">
      <c r="A262">
        <v>257</v>
      </c>
      <c r="B262" t="s">
        <v>288</v>
      </c>
      <c r="C262" t="s">
        <v>15</v>
      </c>
      <c r="D262" t="s">
        <v>16</v>
      </c>
      <c r="F262" s="520">
        <v>2</v>
      </c>
      <c r="G262" s="520">
        <v>1452.3</v>
      </c>
      <c r="H262" s="520">
        <v>16</v>
      </c>
      <c r="I262" s="517"/>
      <c r="J262" s="520">
        <v>0</v>
      </c>
      <c r="K262" s="520">
        <v>0</v>
      </c>
      <c r="L262" s="520">
        <v>0</v>
      </c>
      <c r="M262" s="517"/>
      <c r="N262" s="542">
        <v>2</v>
      </c>
      <c r="O262" s="543">
        <v>1452.3</v>
      </c>
      <c r="P262" s="543">
        <v>16</v>
      </c>
      <c r="Q262" s="517"/>
      <c r="R262" s="520">
        <v>0</v>
      </c>
      <c r="S262" s="520">
        <v>0</v>
      </c>
      <c r="T262" s="520">
        <v>0</v>
      </c>
      <c r="U262" s="517"/>
      <c r="V262" s="542">
        <v>2</v>
      </c>
      <c r="W262" s="543">
        <v>1452.3</v>
      </c>
    </row>
    <row r="263" spans="1:23" x14ac:dyDescent="0.25">
      <c r="A263">
        <v>258</v>
      </c>
      <c r="B263" t="s">
        <v>289</v>
      </c>
      <c r="C263" t="s">
        <v>15</v>
      </c>
      <c r="D263" t="s">
        <v>16</v>
      </c>
      <c r="F263" s="520">
        <v>41</v>
      </c>
      <c r="G263" s="520">
        <v>69159.799999999988</v>
      </c>
      <c r="H263" s="520">
        <v>328</v>
      </c>
      <c r="I263" s="517"/>
      <c r="J263" s="520">
        <v>0</v>
      </c>
      <c r="K263" s="520">
        <v>0</v>
      </c>
      <c r="L263" s="520">
        <v>0</v>
      </c>
      <c r="M263" s="517"/>
      <c r="N263" s="542">
        <v>41</v>
      </c>
      <c r="O263" s="543">
        <v>69159.799999999988</v>
      </c>
      <c r="P263" s="543">
        <v>328</v>
      </c>
      <c r="Q263" s="517"/>
      <c r="R263" s="520">
        <v>0</v>
      </c>
      <c r="S263" s="520">
        <v>0</v>
      </c>
      <c r="T263" s="520">
        <v>0</v>
      </c>
      <c r="U263" s="517"/>
      <c r="V263" s="542">
        <v>41</v>
      </c>
      <c r="W263" s="543">
        <v>69159.799999999988</v>
      </c>
    </row>
    <row r="264" spans="1:23" x14ac:dyDescent="0.25">
      <c r="A264">
        <v>259</v>
      </c>
      <c r="B264" t="s">
        <v>290</v>
      </c>
      <c r="C264" t="s">
        <v>15</v>
      </c>
      <c r="D264" t="s">
        <v>16</v>
      </c>
      <c r="F264" s="520">
        <v>8</v>
      </c>
      <c r="G264" s="520">
        <v>11586.8</v>
      </c>
      <c r="H264" s="520">
        <v>64</v>
      </c>
      <c r="I264" s="517"/>
      <c r="J264" s="520">
        <v>0</v>
      </c>
      <c r="K264" s="520">
        <v>0</v>
      </c>
      <c r="L264" s="520">
        <v>0</v>
      </c>
      <c r="M264" s="517"/>
      <c r="N264" s="542">
        <v>8</v>
      </c>
      <c r="O264" s="543">
        <v>11586.8</v>
      </c>
      <c r="P264" s="543">
        <v>64</v>
      </c>
      <c r="Q264" s="517"/>
      <c r="R264" s="520">
        <v>0</v>
      </c>
      <c r="S264" s="520">
        <v>0</v>
      </c>
      <c r="T264" s="520">
        <v>0</v>
      </c>
      <c r="U264" s="517"/>
      <c r="V264" s="542">
        <v>8</v>
      </c>
      <c r="W264" s="543">
        <v>11586.8</v>
      </c>
    </row>
    <row r="265" spans="1:23" x14ac:dyDescent="0.25">
      <c r="A265">
        <v>260</v>
      </c>
      <c r="B265" t="s">
        <v>3303</v>
      </c>
      <c r="C265" t="s">
        <v>136</v>
      </c>
      <c r="D265" t="s">
        <v>16</v>
      </c>
      <c r="F265" s="520">
        <v>1</v>
      </c>
      <c r="G265" s="520">
        <v>2520.2800000000002</v>
      </c>
      <c r="H265" s="520">
        <v>10</v>
      </c>
      <c r="I265" s="517"/>
      <c r="J265" s="520">
        <v>0</v>
      </c>
      <c r="K265" s="520">
        <v>0</v>
      </c>
      <c r="L265" s="520">
        <v>0</v>
      </c>
      <c r="M265" s="517"/>
      <c r="N265" s="542">
        <v>1</v>
      </c>
      <c r="O265" s="543">
        <v>2520.2800000000002</v>
      </c>
      <c r="P265" s="543">
        <v>10</v>
      </c>
      <c r="Q265" s="517"/>
      <c r="R265" s="520">
        <v>0</v>
      </c>
      <c r="S265" s="520">
        <v>0</v>
      </c>
      <c r="T265" s="520">
        <v>0</v>
      </c>
      <c r="U265" s="517"/>
      <c r="V265" s="542">
        <v>1</v>
      </c>
      <c r="W265" s="543">
        <v>2520.2800000000002</v>
      </c>
    </row>
    <row r="266" spans="1:23" x14ac:dyDescent="0.25">
      <c r="A266">
        <v>261</v>
      </c>
      <c r="B266" t="s">
        <v>291</v>
      </c>
      <c r="C266" t="s">
        <v>25</v>
      </c>
      <c r="D266" t="s">
        <v>16</v>
      </c>
      <c r="F266" s="520">
        <v>45</v>
      </c>
      <c r="G266" s="520">
        <v>45094.42</v>
      </c>
      <c r="H266" s="520">
        <v>315</v>
      </c>
      <c r="I266" s="517"/>
      <c r="J266" s="520">
        <v>0</v>
      </c>
      <c r="K266" s="520">
        <v>0</v>
      </c>
      <c r="L266" s="520">
        <v>0</v>
      </c>
      <c r="M266" s="517"/>
      <c r="N266" s="542">
        <v>45</v>
      </c>
      <c r="O266" s="543">
        <v>45094.42</v>
      </c>
      <c r="P266" s="543">
        <v>315</v>
      </c>
      <c r="Q266" s="517"/>
      <c r="R266" s="520">
        <v>0</v>
      </c>
      <c r="S266" s="520">
        <v>0</v>
      </c>
      <c r="T266" s="520">
        <v>0</v>
      </c>
      <c r="U266" s="517"/>
      <c r="V266" s="542">
        <v>45</v>
      </c>
      <c r="W266" s="543">
        <v>45094.42</v>
      </c>
    </row>
    <row r="267" spans="1:23" x14ac:dyDescent="0.25">
      <c r="A267">
        <v>262</v>
      </c>
      <c r="B267" t="s">
        <v>3088</v>
      </c>
      <c r="C267" t="s">
        <v>255</v>
      </c>
      <c r="D267" t="s">
        <v>16</v>
      </c>
      <c r="F267" s="520">
        <v>34</v>
      </c>
      <c r="G267" s="520">
        <v>67640.650000000009</v>
      </c>
      <c r="H267" s="520">
        <v>340</v>
      </c>
      <c r="I267" s="517"/>
      <c r="J267" s="520">
        <v>0</v>
      </c>
      <c r="K267" s="520">
        <v>0</v>
      </c>
      <c r="L267" s="520">
        <v>0</v>
      </c>
      <c r="M267" s="517"/>
      <c r="N267" s="542">
        <v>34</v>
      </c>
      <c r="O267" s="543">
        <v>67640.650000000009</v>
      </c>
      <c r="P267" s="543">
        <v>340</v>
      </c>
      <c r="Q267" s="517"/>
      <c r="R267" s="520">
        <v>0</v>
      </c>
      <c r="S267" s="520">
        <v>0</v>
      </c>
      <c r="T267" s="520">
        <v>0</v>
      </c>
      <c r="U267" s="517"/>
      <c r="V267" s="542">
        <v>34</v>
      </c>
      <c r="W267" s="543">
        <v>67640.650000000009</v>
      </c>
    </row>
    <row r="268" spans="1:23" x14ac:dyDescent="0.25">
      <c r="A268">
        <v>263</v>
      </c>
      <c r="B268" t="s">
        <v>292</v>
      </c>
      <c r="C268" t="s">
        <v>41</v>
      </c>
      <c r="D268" t="s">
        <v>16</v>
      </c>
      <c r="F268" s="520">
        <v>2</v>
      </c>
      <c r="G268" s="520">
        <v>3200</v>
      </c>
      <c r="H268" s="520">
        <v>30</v>
      </c>
      <c r="I268" s="517"/>
      <c r="J268" s="520">
        <v>0</v>
      </c>
      <c r="K268" s="520">
        <v>0</v>
      </c>
      <c r="L268" s="520">
        <v>0</v>
      </c>
      <c r="M268" s="517"/>
      <c r="N268" s="542">
        <v>2</v>
      </c>
      <c r="O268" s="543">
        <v>3200</v>
      </c>
      <c r="P268" s="543">
        <v>30</v>
      </c>
      <c r="Q268" s="517"/>
      <c r="R268" s="520">
        <v>0</v>
      </c>
      <c r="S268" s="520">
        <v>0</v>
      </c>
      <c r="T268" s="520">
        <v>0</v>
      </c>
      <c r="U268" s="517"/>
      <c r="V268" s="542">
        <v>2</v>
      </c>
      <c r="W268" s="543">
        <v>3200</v>
      </c>
    </row>
    <row r="269" spans="1:23" x14ac:dyDescent="0.25">
      <c r="A269">
        <v>264</v>
      </c>
      <c r="B269" t="s">
        <v>293</v>
      </c>
      <c r="C269" t="s">
        <v>294</v>
      </c>
      <c r="D269" t="s">
        <v>87</v>
      </c>
      <c r="F269" s="520">
        <v>0</v>
      </c>
      <c r="G269" s="520">
        <v>0</v>
      </c>
      <c r="H269" s="520">
        <v>0</v>
      </c>
      <c r="I269" s="517"/>
      <c r="J269" s="520">
        <v>0</v>
      </c>
      <c r="K269" s="520">
        <v>0</v>
      </c>
      <c r="L269" s="520">
        <v>0</v>
      </c>
      <c r="M269" s="517"/>
      <c r="N269" s="542">
        <v>0</v>
      </c>
      <c r="O269" s="543">
        <v>0</v>
      </c>
      <c r="P269" s="543">
        <v>0</v>
      </c>
      <c r="Q269" s="517"/>
      <c r="R269" s="520">
        <v>0</v>
      </c>
      <c r="S269" s="520">
        <v>0</v>
      </c>
      <c r="T269" s="520">
        <v>0</v>
      </c>
      <c r="U269" s="517"/>
      <c r="V269" s="542">
        <v>0</v>
      </c>
      <c r="W269" s="543">
        <v>0</v>
      </c>
    </row>
    <row r="270" spans="1:23" x14ac:dyDescent="0.25">
      <c r="A270">
        <v>265</v>
      </c>
      <c r="B270" t="s">
        <v>295</v>
      </c>
      <c r="C270" t="s">
        <v>158</v>
      </c>
      <c r="D270" t="s">
        <v>16</v>
      </c>
      <c r="F270" s="520">
        <v>1</v>
      </c>
      <c r="G270" s="520">
        <v>33085</v>
      </c>
      <c r="H270" s="520">
        <v>40</v>
      </c>
      <c r="I270" s="517"/>
      <c r="J270" s="520">
        <v>0</v>
      </c>
      <c r="K270" s="520">
        <v>0</v>
      </c>
      <c r="L270" s="520">
        <v>0</v>
      </c>
      <c r="M270" s="517"/>
      <c r="N270" s="542">
        <v>1</v>
      </c>
      <c r="O270" s="543">
        <v>33085</v>
      </c>
      <c r="P270" s="543">
        <v>40</v>
      </c>
      <c r="Q270" s="517"/>
      <c r="R270" s="520">
        <v>0</v>
      </c>
      <c r="S270" s="520">
        <v>0</v>
      </c>
      <c r="T270" s="520">
        <v>0</v>
      </c>
      <c r="U270" s="517"/>
      <c r="V270" s="542">
        <v>1</v>
      </c>
      <c r="W270" s="543">
        <v>33085</v>
      </c>
    </row>
    <row r="271" spans="1:23" x14ac:dyDescent="0.25">
      <c r="A271">
        <v>266</v>
      </c>
      <c r="B271" t="s">
        <v>296</v>
      </c>
      <c r="C271" t="s">
        <v>15</v>
      </c>
      <c r="D271" t="s">
        <v>43</v>
      </c>
      <c r="F271" s="520">
        <v>357</v>
      </c>
      <c r="G271" s="520">
        <v>652893.04</v>
      </c>
      <c r="H271" s="520">
        <v>3570</v>
      </c>
      <c r="I271" s="517"/>
      <c r="J271" s="520">
        <v>0</v>
      </c>
      <c r="K271" s="520">
        <v>0</v>
      </c>
      <c r="L271" s="520">
        <v>0</v>
      </c>
      <c r="M271" s="517"/>
      <c r="N271" s="542">
        <v>357</v>
      </c>
      <c r="O271" s="543">
        <v>652893.04</v>
      </c>
      <c r="P271" s="543">
        <v>3570</v>
      </c>
      <c r="Q271" s="517"/>
      <c r="R271" s="520">
        <v>0</v>
      </c>
      <c r="S271" s="520">
        <v>0</v>
      </c>
      <c r="T271" s="520">
        <v>0</v>
      </c>
      <c r="U271" s="517"/>
      <c r="V271" s="542">
        <v>357</v>
      </c>
      <c r="W271" s="543">
        <v>652893.04</v>
      </c>
    </row>
    <row r="272" spans="1:23" x14ac:dyDescent="0.25">
      <c r="A272">
        <v>267</v>
      </c>
      <c r="B272" t="s">
        <v>297</v>
      </c>
      <c r="C272" t="s">
        <v>24</v>
      </c>
      <c r="D272" t="s">
        <v>16</v>
      </c>
      <c r="F272" s="520">
        <v>0</v>
      </c>
      <c r="G272" s="520">
        <v>0</v>
      </c>
      <c r="H272" s="520">
        <v>0</v>
      </c>
      <c r="I272" s="517"/>
      <c r="J272" s="520">
        <v>0</v>
      </c>
      <c r="K272" s="520">
        <v>0</v>
      </c>
      <c r="L272" s="520">
        <v>0</v>
      </c>
      <c r="M272" s="517"/>
      <c r="N272" s="542">
        <v>0</v>
      </c>
      <c r="O272" s="543">
        <v>0</v>
      </c>
      <c r="P272" s="543">
        <v>0</v>
      </c>
      <c r="Q272" s="517"/>
      <c r="R272" s="520">
        <v>0</v>
      </c>
      <c r="S272" s="520">
        <v>0</v>
      </c>
      <c r="T272" s="520">
        <v>0</v>
      </c>
      <c r="U272" s="517"/>
      <c r="V272" s="542">
        <v>0</v>
      </c>
      <c r="W272" s="543">
        <v>0</v>
      </c>
    </row>
    <row r="273" spans="1:23" x14ac:dyDescent="0.25">
      <c r="A273">
        <v>268</v>
      </c>
      <c r="B273" t="s">
        <v>298</v>
      </c>
      <c r="C273" t="s">
        <v>24</v>
      </c>
      <c r="D273" t="s">
        <v>16</v>
      </c>
      <c r="F273" s="520">
        <v>0</v>
      </c>
      <c r="G273" s="520">
        <v>0</v>
      </c>
      <c r="H273" s="520">
        <v>0</v>
      </c>
      <c r="I273" s="517"/>
      <c r="J273" s="520">
        <v>0</v>
      </c>
      <c r="K273" s="520">
        <v>0</v>
      </c>
      <c r="L273" s="520">
        <v>0</v>
      </c>
      <c r="M273" s="517"/>
      <c r="N273" s="542">
        <v>0</v>
      </c>
      <c r="O273" s="543">
        <v>0</v>
      </c>
      <c r="P273" s="543">
        <v>0</v>
      </c>
      <c r="Q273" s="517"/>
      <c r="R273" s="520">
        <v>0</v>
      </c>
      <c r="S273" s="520">
        <v>0</v>
      </c>
      <c r="T273" s="520">
        <v>0</v>
      </c>
      <c r="U273" s="517"/>
      <c r="V273" s="542">
        <v>0</v>
      </c>
      <c r="W273" s="543">
        <v>0</v>
      </c>
    </row>
    <row r="274" spans="1:23" x14ac:dyDescent="0.25">
      <c r="A274">
        <v>269</v>
      </c>
      <c r="B274" t="s">
        <v>299</v>
      </c>
      <c r="C274" t="s">
        <v>24</v>
      </c>
      <c r="D274" t="s">
        <v>16</v>
      </c>
      <c r="F274" s="520">
        <v>19</v>
      </c>
      <c r="G274" s="520">
        <v>1251422</v>
      </c>
      <c r="H274" s="520">
        <v>1160</v>
      </c>
      <c r="I274" s="517"/>
      <c r="J274" s="520">
        <v>0</v>
      </c>
      <c r="K274" s="520">
        <v>0</v>
      </c>
      <c r="L274" s="520">
        <v>0</v>
      </c>
      <c r="M274" s="517"/>
      <c r="N274" s="542">
        <v>19</v>
      </c>
      <c r="O274" s="543">
        <v>1251422</v>
      </c>
      <c r="P274" s="543">
        <v>1160</v>
      </c>
      <c r="Q274" s="517"/>
      <c r="R274" s="520">
        <v>0</v>
      </c>
      <c r="S274" s="520">
        <v>0</v>
      </c>
      <c r="T274" s="520">
        <v>0</v>
      </c>
      <c r="U274" s="517"/>
      <c r="V274" s="542">
        <v>19</v>
      </c>
      <c r="W274" s="543">
        <v>1251422</v>
      </c>
    </row>
    <row r="275" spans="1:23" x14ac:dyDescent="0.25">
      <c r="A275">
        <v>270</v>
      </c>
      <c r="B275" t="s">
        <v>300</v>
      </c>
      <c r="C275" t="s">
        <v>24</v>
      </c>
      <c r="D275" t="s">
        <v>16</v>
      </c>
      <c r="F275" s="520">
        <v>1</v>
      </c>
      <c r="G275" s="520">
        <v>36309.949999999997</v>
      </c>
      <c r="H275" s="520">
        <v>40</v>
      </c>
      <c r="I275" s="517"/>
      <c r="J275" s="520">
        <v>0</v>
      </c>
      <c r="K275" s="520">
        <v>0</v>
      </c>
      <c r="L275" s="520">
        <v>0</v>
      </c>
      <c r="M275" s="517"/>
      <c r="N275" s="542">
        <v>1</v>
      </c>
      <c r="O275" s="543">
        <v>36309.949999999997</v>
      </c>
      <c r="P275" s="543">
        <v>40</v>
      </c>
      <c r="Q275" s="517"/>
      <c r="R275" s="520">
        <v>0</v>
      </c>
      <c r="S275" s="520">
        <v>0</v>
      </c>
      <c r="T275" s="520">
        <v>0</v>
      </c>
      <c r="U275" s="517"/>
      <c r="V275" s="542">
        <v>1</v>
      </c>
      <c r="W275" s="543">
        <v>36309.949999999997</v>
      </c>
    </row>
    <row r="276" spans="1:23" x14ac:dyDescent="0.25">
      <c r="A276">
        <v>271</v>
      </c>
      <c r="B276" t="s">
        <v>301</v>
      </c>
      <c r="C276" t="s">
        <v>24</v>
      </c>
      <c r="D276" t="s">
        <v>16</v>
      </c>
      <c r="F276" s="520">
        <v>0</v>
      </c>
      <c r="G276" s="520">
        <v>0</v>
      </c>
      <c r="H276" s="520">
        <v>0</v>
      </c>
      <c r="I276" s="517"/>
      <c r="J276" s="520">
        <v>0</v>
      </c>
      <c r="K276" s="520">
        <v>0</v>
      </c>
      <c r="L276" s="520">
        <v>0</v>
      </c>
      <c r="M276" s="517"/>
      <c r="N276" s="542">
        <v>0</v>
      </c>
      <c r="O276" s="543">
        <v>0</v>
      </c>
      <c r="P276" s="543">
        <v>0</v>
      </c>
      <c r="Q276" s="517"/>
      <c r="R276" s="520">
        <v>0</v>
      </c>
      <c r="S276" s="520">
        <v>0</v>
      </c>
      <c r="T276" s="520">
        <v>0</v>
      </c>
      <c r="U276" s="517"/>
      <c r="V276" s="542">
        <v>0</v>
      </c>
      <c r="W276" s="543">
        <v>0</v>
      </c>
    </row>
    <row r="277" spans="1:23" x14ac:dyDescent="0.25">
      <c r="A277">
        <v>272</v>
      </c>
      <c r="B277" t="s">
        <v>302</v>
      </c>
      <c r="C277" t="s">
        <v>24</v>
      </c>
      <c r="D277" t="s">
        <v>16</v>
      </c>
      <c r="F277" s="520">
        <v>0</v>
      </c>
      <c r="G277" s="520">
        <v>0</v>
      </c>
      <c r="H277" s="520">
        <v>0</v>
      </c>
      <c r="I277" s="517"/>
      <c r="J277" s="520">
        <v>0</v>
      </c>
      <c r="K277" s="520">
        <v>0</v>
      </c>
      <c r="L277" s="520">
        <v>0</v>
      </c>
      <c r="M277" s="517"/>
      <c r="N277" s="542">
        <v>0</v>
      </c>
      <c r="O277" s="543">
        <v>0</v>
      </c>
      <c r="P277" s="543">
        <v>0</v>
      </c>
      <c r="Q277" s="517"/>
      <c r="R277" s="520">
        <v>0</v>
      </c>
      <c r="S277" s="520">
        <v>0</v>
      </c>
      <c r="T277" s="520">
        <v>0</v>
      </c>
      <c r="U277" s="517"/>
      <c r="V277" s="542">
        <v>0</v>
      </c>
      <c r="W277" s="543">
        <v>0</v>
      </c>
    </row>
    <row r="278" spans="1:23" x14ac:dyDescent="0.25">
      <c r="A278">
        <v>273</v>
      </c>
      <c r="B278" t="s">
        <v>303</v>
      </c>
      <c r="C278" t="s">
        <v>24</v>
      </c>
      <c r="D278" t="s">
        <v>16</v>
      </c>
      <c r="F278" s="520">
        <v>0</v>
      </c>
      <c r="G278" s="520">
        <v>0</v>
      </c>
      <c r="H278" s="520">
        <v>0</v>
      </c>
      <c r="I278" s="517"/>
      <c r="J278" s="520">
        <v>0</v>
      </c>
      <c r="K278" s="520">
        <v>0</v>
      </c>
      <c r="L278" s="520">
        <v>0</v>
      </c>
      <c r="M278" s="517"/>
      <c r="N278" s="542">
        <v>0</v>
      </c>
      <c r="O278" s="543">
        <v>0</v>
      </c>
      <c r="P278" s="543">
        <v>0</v>
      </c>
      <c r="Q278" s="517"/>
      <c r="R278" s="520">
        <v>0</v>
      </c>
      <c r="S278" s="520">
        <v>0</v>
      </c>
      <c r="T278" s="520">
        <v>0</v>
      </c>
      <c r="U278" s="517"/>
      <c r="V278" s="542">
        <v>0</v>
      </c>
      <c r="W278" s="543">
        <v>0</v>
      </c>
    </row>
    <row r="279" spans="1:23" x14ac:dyDescent="0.25">
      <c r="A279">
        <v>274</v>
      </c>
      <c r="B279" t="s">
        <v>304</v>
      </c>
      <c r="C279" t="s">
        <v>24</v>
      </c>
      <c r="D279" t="s">
        <v>16</v>
      </c>
      <c r="F279" s="520">
        <v>0</v>
      </c>
      <c r="G279" s="520">
        <v>0</v>
      </c>
      <c r="H279" s="520">
        <v>0</v>
      </c>
      <c r="I279" s="517"/>
      <c r="J279" s="520">
        <v>0</v>
      </c>
      <c r="K279" s="520">
        <v>0</v>
      </c>
      <c r="L279" s="520">
        <v>0</v>
      </c>
      <c r="M279" s="517"/>
      <c r="N279" s="542">
        <v>0</v>
      </c>
      <c r="O279" s="543">
        <v>0</v>
      </c>
      <c r="P279" s="543">
        <v>0</v>
      </c>
      <c r="Q279" s="517"/>
      <c r="R279" s="520">
        <v>0</v>
      </c>
      <c r="S279" s="520">
        <v>0</v>
      </c>
      <c r="T279" s="520">
        <v>0</v>
      </c>
      <c r="U279" s="517"/>
      <c r="V279" s="542">
        <v>0</v>
      </c>
      <c r="W279" s="543">
        <v>0</v>
      </c>
    </row>
    <row r="280" spans="1:23" x14ac:dyDescent="0.25">
      <c r="A280">
        <v>275</v>
      </c>
      <c r="B280" t="s">
        <v>305</v>
      </c>
      <c r="C280" t="s">
        <v>24</v>
      </c>
      <c r="D280" t="s">
        <v>16</v>
      </c>
      <c r="F280" s="520">
        <v>0</v>
      </c>
      <c r="G280" s="520">
        <v>0</v>
      </c>
      <c r="H280" s="520">
        <v>0</v>
      </c>
      <c r="I280" s="517"/>
      <c r="J280" s="520">
        <v>0</v>
      </c>
      <c r="K280" s="520">
        <v>0</v>
      </c>
      <c r="L280" s="520">
        <v>0</v>
      </c>
      <c r="M280" s="517"/>
      <c r="N280" s="542">
        <v>0</v>
      </c>
      <c r="O280" s="543">
        <v>0</v>
      </c>
      <c r="P280" s="543">
        <v>0</v>
      </c>
      <c r="Q280" s="517"/>
      <c r="R280" s="520">
        <v>0</v>
      </c>
      <c r="S280" s="520">
        <v>0</v>
      </c>
      <c r="T280" s="520">
        <v>0</v>
      </c>
      <c r="U280" s="517"/>
      <c r="V280" s="542">
        <v>0</v>
      </c>
      <c r="W280" s="543">
        <v>0</v>
      </c>
    </row>
    <row r="281" spans="1:23" x14ac:dyDescent="0.25">
      <c r="A281">
        <v>276</v>
      </c>
      <c r="B281" t="s">
        <v>306</v>
      </c>
      <c r="C281" t="s">
        <v>24</v>
      </c>
      <c r="D281" t="s">
        <v>16</v>
      </c>
      <c r="F281" s="520">
        <v>0</v>
      </c>
      <c r="G281" s="520">
        <v>0</v>
      </c>
      <c r="H281" s="520">
        <v>0</v>
      </c>
      <c r="I281" s="517"/>
      <c r="J281" s="520">
        <v>0</v>
      </c>
      <c r="K281" s="520">
        <v>0</v>
      </c>
      <c r="L281" s="520">
        <v>0</v>
      </c>
      <c r="M281" s="517"/>
      <c r="N281" s="542">
        <v>0</v>
      </c>
      <c r="O281" s="543">
        <v>0</v>
      </c>
      <c r="P281" s="543">
        <v>0</v>
      </c>
      <c r="Q281" s="517"/>
      <c r="R281" s="520">
        <v>0</v>
      </c>
      <c r="S281" s="520">
        <v>0</v>
      </c>
      <c r="T281" s="520">
        <v>0</v>
      </c>
      <c r="U281" s="517"/>
      <c r="V281" s="542">
        <v>0</v>
      </c>
      <c r="W281" s="543">
        <v>0</v>
      </c>
    </row>
    <row r="282" spans="1:23" x14ac:dyDescent="0.25">
      <c r="A282">
        <v>277</v>
      </c>
      <c r="B282" t="s">
        <v>307</v>
      </c>
      <c r="C282" t="s">
        <v>24</v>
      </c>
      <c r="D282" t="s">
        <v>16</v>
      </c>
      <c r="F282" s="520">
        <v>2</v>
      </c>
      <c r="G282" s="520">
        <v>16672.2</v>
      </c>
      <c r="H282" s="520">
        <v>80</v>
      </c>
      <c r="I282" s="517"/>
      <c r="J282" s="520">
        <v>0</v>
      </c>
      <c r="K282" s="520">
        <v>0</v>
      </c>
      <c r="L282" s="520">
        <v>0</v>
      </c>
      <c r="M282" s="517"/>
      <c r="N282" s="542">
        <v>2</v>
      </c>
      <c r="O282" s="543">
        <v>16672.2</v>
      </c>
      <c r="P282" s="543">
        <v>80</v>
      </c>
      <c r="Q282" s="517"/>
      <c r="R282" s="520">
        <v>0</v>
      </c>
      <c r="S282" s="520">
        <v>0</v>
      </c>
      <c r="T282" s="520">
        <v>0</v>
      </c>
      <c r="U282" s="517"/>
      <c r="V282" s="542">
        <v>2</v>
      </c>
      <c r="W282" s="543">
        <v>16672.2</v>
      </c>
    </row>
    <row r="283" spans="1:23" x14ac:dyDescent="0.25">
      <c r="A283">
        <v>278</v>
      </c>
      <c r="B283" t="s">
        <v>308</v>
      </c>
      <c r="C283" t="s">
        <v>255</v>
      </c>
      <c r="D283" t="s">
        <v>16</v>
      </c>
      <c r="F283" s="520">
        <v>0</v>
      </c>
      <c r="G283" s="520">
        <v>0</v>
      </c>
      <c r="H283" s="520">
        <v>0</v>
      </c>
      <c r="I283" s="517"/>
      <c r="J283" s="520">
        <v>0</v>
      </c>
      <c r="K283" s="520">
        <v>0</v>
      </c>
      <c r="L283" s="520">
        <v>0</v>
      </c>
      <c r="M283" s="517"/>
      <c r="N283" s="542">
        <v>0</v>
      </c>
      <c r="O283" s="543">
        <v>0</v>
      </c>
      <c r="P283" s="543">
        <v>0</v>
      </c>
      <c r="Q283" s="517"/>
      <c r="R283" s="520">
        <v>0</v>
      </c>
      <c r="S283" s="520">
        <v>0</v>
      </c>
      <c r="T283" s="520">
        <v>0</v>
      </c>
      <c r="U283" s="517"/>
      <c r="V283" s="542">
        <v>0</v>
      </c>
      <c r="W283" s="543">
        <v>0</v>
      </c>
    </row>
    <row r="284" spans="1:23" x14ac:dyDescent="0.25">
      <c r="A284">
        <v>279</v>
      </c>
      <c r="B284" t="s">
        <v>309</v>
      </c>
      <c r="C284" t="s">
        <v>18</v>
      </c>
      <c r="D284" t="s">
        <v>20</v>
      </c>
      <c r="F284" s="520">
        <v>51</v>
      </c>
      <c r="G284" s="520">
        <v>334932.15000000002</v>
      </c>
      <c r="H284" s="520">
        <v>1350</v>
      </c>
      <c r="I284" s="517"/>
      <c r="J284" s="520">
        <v>0</v>
      </c>
      <c r="K284" s="520">
        <v>0</v>
      </c>
      <c r="L284" s="520">
        <v>0</v>
      </c>
      <c r="M284" s="517"/>
      <c r="N284" s="542">
        <v>51</v>
      </c>
      <c r="O284" s="543">
        <v>334932.15000000002</v>
      </c>
      <c r="P284" s="543">
        <v>1350</v>
      </c>
      <c r="Q284" s="517"/>
      <c r="R284" s="520">
        <v>0</v>
      </c>
      <c r="S284" s="520">
        <v>0</v>
      </c>
      <c r="T284" s="520">
        <v>0</v>
      </c>
      <c r="U284" s="517"/>
      <c r="V284" s="542">
        <v>51</v>
      </c>
      <c r="W284" s="543">
        <v>334932.15000000002</v>
      </c>
    </row>
    <row r="285" spans="1:23" x14ac:dyDescent="0.25">
      <c r="A285">
        <v>280</v>
      </c>
      <c r="B285" t="s">
        <v>311</v>
      </c>
      <c r="C285" t="s">
        <v>18</v>
      </c>
      <c r="D285" t="s">
        <v>16</v>
      </c>
      <c r="F285" s="520">
        <v>0</v>
      </c>
      <c r="G285" s="520">
        <v>0</v>
      </c>
      <c r="H285" s="520">
        <v>0</v>
      </c>
      <c r="I285" s="517"/>
      <c r="J285" s="520">
        <v>0</v>
      </c>
      <c r="K285" s="520">
        <v>0</v>
      </c>
      <c r="L285" s="520">
        <v>0</v>
      </c>
      <c r="M285" s="517"/>
      <c r="N285" s="542">
        <v>0</v>
      </c>
      <c r="O285" s="543">
        <v>0</v>
      </c>
      <c r="P285" s="543">
        <v>0</v>
      </c>
      <c r="Q285" s="517"/>
      <c r="R285" s="520">
        <v>0</v>
      </c>
      <c r="S285" s="520">
        <v>0</v>
      </c>
      <c r="T285" s="520">
        <v>0</v>
      </c>
      <c r="U285" s="517"/>
      <c r="V285" s="542">
        <v>0</v>
      </c>
      <c r="W285" s="543">
        <v>0</v>
      </c>
    </row>
    <row r="286" spans="1:23" x14ac:dyDescent="0.25">
      <c r="A286">
        <v>281</v>
      </c>
      <c r="B286" t="s">
        <v>310</v>
      </c>
      <c r="C286" t="s">
        <v>18</v>
      </c>
      <c r="D286" t="s">
        <v>16</v>
      </c>
      <c r="F286" s="520">
        <v>0</v>
      </c>
      <c r="G286" s="520">
        <v>0</v>
      </c>
      <c r="H286" s="520">
        <v>0</v>
      </c>
      <c r="I286" s="517"/>
      <c r="J286" s="520">
        <v>0</v>
      </c>
      <c r="K286" s="520">
        <v>0</v>
      </c>
      <c r="L286" s="520">
        <v>0</v>
      </c>
      <c r="M286" s="517"/>
      <c r="N286" s="542">
        <v>0</v>
      </c>
      <c r="O286" s="543">
        <v>0</v>
      </c>
      <c r="P286" s="543">
        <v>0</v>
      </c>
      <c r="Q286" s="517"/>
      <c r="R286" s="520">
        <v>0</v>
      </c>
      <c r="S286" s="520">
        <v>0</v>
      </c>
      <c r="T286" s="520">
        <v>0</v>
      </c>
      <c r="U286" s="517"/>
      <c r="V286" s="542">
        <v>0</v>
      </c>
      <c r="W286" s="543">
        <v>0</v>
      </c>
    </row>
    <row r="287" spans="1:23" x14ac:dyDescent="0.25">
      <c r="A287">
        <v>282</v>
      </c>
      <c r="B287" t="s">
        <v>312</v>
      </c>
      <c r="C287" t="s">
        <v>313</v>
      </c>
      <c r="D287" t="s">
        <v>16</v>
      </c>
      <c r="F287" s="520">
        <v>0</v>
      </c>
      <c r="G287" s="520">
        <v>0</v>
      </c>
      <c r="H287" s="520">
        <v>0</v>
      </c>
      <c r="I287" s="517"/>
      <c r="J287" s="520">
        <v>0</v>
      </c>
      <c r="K287" s="520">
        <v>0</v>
      </c>
      <c r="L287" s="520">
        <v>0</v>
      </c>
      <c r="M287" s="517"/>
      <c r="N287" s="542">
        <v>0</v>
      </c>
      <c r="O287" s="543">
        <v>0</v>
      </c>
      <c r="P287" s="543">
        <v>0</v>
      </c>
      <c r="Q287" s="517"/>
      <c r="R287" s="520">
        <v>0</v>
      </c>
      <c r="S287" s="520">
        <v>0</v>
      </c>
      <c r="T287" s="520">
        <v>0</v>
      </c>
      <c r="U287" s="517"/>
      <c r="V287" s="542">
        <v>0</v>
      </c>
      <c r="W287" s="543">
        <v>0</v>
      </c>
    </row>
    <row r="288" spans="1:23" x14ac:dyDescent="0.25">
      <c r="A288">
        <v>283</v>
      </c>
      <c r="B288" t="s">
        <v>314</v>
      </c>
      <c r="C288" t="s">
        <v>15</v>
      </c>
      <c r="D288" t="s">
        <v>20</v>
      </c>
      <c r="F288" s="520">
        <v>0</v>
      </c>
      <c r="G288" s="520">
        <v>0</v>
      </c>
      <c r="H288" s="520">
        <v>0</v>
      </c>
      <c r="I288" s="517"/>
      <c r="J288" s="520">
        <v>0</v>
      </c>
      <c r="K288" s="520">
        <v>0</v>
      </c>
      <c r="L288" s="520">
        <v>0</v>
      </c>
      <c r="M288" s="517"/>
      <c r="N288" s="542">
        <v>0</v>
      </c>
      <c r="O288" s="543">
        <v>0</v>
      </c>
      <c r="P288" s="543">
        <v>0</v>
      </c>
      <c r="Q288" s="517"/>
      <c r="R288" s="520">
        <v>0</v>
      </c>
      <c r="S288" s="520">
        <v>0</v>
      </c>
      <c r="T288" s="520">
        <v>0</v>
      </c>
      <c r="U288" s="517"/>
      <c r="V288" s="542">
        <v>0</v>
      </c>
      <c r="W288" s="543">
        <v>0</v>
      </c>
    </row>
    <row r="289" spans="1:23" x14ac:dyDescent="0.25">
      <c r="A289">
        <v>284</v>
      </c>
      <c r="B289" t="s">
        <v>315</v>
      </c>
      <c r="C289" t="s">
        <v>15</v>
      </c>
      <c r="D289" t="s">
        <v>16</v>
      </c>
      <c r="F289" s="520">
        <v>0</v>
      </c>
      <c r="G289" s="520">
        <v>0</v>
      </c>
      <c r="H289" s="520">
        <v>0</v>
      </c>
      <c r="I289" s="517"/>
      <c r="J289" s="520">
        <v>0</v>
      </c>
      <c r="K289" s="520">
        <v>0</v>
      </c>
      <c r="L289" s="520">
        <v>0</v>
      </c>
      <c r="M289" s="517"/>
      <c r="N289" s="542">
        <v>0</v>
      </c>
      <c r="O289" s="543">
        <v>0</v>
      </c>
      <c r="P289" s="543">
        <v>0</v>
      </c>
      <c r="Q289" s="517"/>
      <c r="R289" s="520">
        <v>0</v>
      </c>
      <c r="S289" s="520">
        <v>0</v>
      </c>
      <c r="T289" s="520">
        <v>0</v>
      </c>
      <c r="U289" s="517"/>
      <c r="V289" s="542">
        <v>0</v>
      </c>
      <c r="W289" s="543">
        <v>0</v>
      </c>
    </row>
    <row r="290" spans="1:23" x14ac:dyDescent="0.25">
      <c r="A290">
        <v>285</v>
      </c>
      <c r="B290" t="s">
        <v>316</v>
      </c>
      <c r="C290" t="s">
        <v>18</v>
      </c>
      <c r="D290" t="s">
        <v>16</v>
      </c>
      <c r="F290" s="520">
        <v>1</v>
      </c>
      <c r="G290" s="520">
        <v>10000</v>
      </c>
      <c r="H290" s="520">
        <v>25</v>
      </c>
      <c r="I290" s="517"/>
      <c r="J290" s="520">
        <v>0</v>
      </c>
      <c r="K290" s="520">
        <v>0</v>
      </c>
      <c r="L290" s="520">
        <v>0</v>
      </c>
      <c r="M290" s="517"/>
      <c r="N290" s="542">
        <v>1</v>
      </c>
      <c r="O290" s="543">
        <v>10000</v>
      </c>
      <c r="P290" s="543">
        <v>25</v>
      </c>
      <c r="Q290" s="517"/>
      <c r="R290" s="520">
        <v>0</v>
      </c>
      <c r="S290" s="520">
        <v>0</v>
      </c>
      <c r="T290" s="520">
        <v>0</v>
      </c>
      <c r="U290" s="517"/>
      <c r="V290" s="542">
        <v>1</v>
      </c>
      <c r="W290" s="543">
        <v>10000</v>
      </c>
    </row>
    <row r="291" spans="1:23" x14ac:dyDescent="0.25">
      <c r="A291">
        <v>286</v>
      </c>
      <c r="B291" t="s">
        <v>317</v>
      </c>
      <c r="C291" t="s">
        <v>148</v>
      </c>
      <c r="D291" t="s">
        <v>16</v>
      </c>
      <c r="F291" s="520">
        <v>0</v>
      </c>
      <c r="G291" s="520">
        <v>0</v>
      </c>
      <c r="H291" s="520">
        <v>0</v>
      </c>
      <c r="I291" s="517"/>
      <c r="J291" s="520">
        <v>0</v>
      </c>
      <c r="K291" s="520">
        <v>0</v>
      </c>
      <c r="L291" s="520">
        <v>0</v>
      </c>
      <c r="M291" s="517"/>
      <c r="N291" s="542">
        <v>0</v>
      </c>
      <c r="O291" s="543">
        <v>0</v>
      </c>
      <c r="P291" s="543">
        <v>0</v>
      </c>
      <c r="Q291" s="517"/>
      <c r="R291" s="520">
        <v>0</v>
      </c>
      <c r="S291" s="520">
        <v>0</v>
      </c>
      <c r="T291" s="520">
        <v>0</v>
      </c>
      <c r="U291" s="517"/>
      <c r="V291" s="542">
        <v>0</v>
      </c>
      <c r="W291" s="543">
        <v>0</v>
      </c>
    </row>
    <row r="292" spans="1:23" x14ac:dyDescent="0.25">
      <c r="A292">
        <v>287</v>
      </c>
      <c r="B292" t="s">
        <v>318</v>
      </c>
      <c r="C292" t="s">
        <v>18</v>
      </c>
      <c r="D292" t="s">
        <v>16</v>
      </c>
      <c r="F292" s="520">
        <v>0</v>
      </c>
      <c r="G292" s="520">
        <v>0</v>
      </c>
      <c r="H292" s="520">
        <v>0</v>
      </c>
      <c r="I292" s="517"/>
      <c r="J292" s="520">
        <v>0</v>
      </c>
      <c r="K292" s="520">
        <v>0</v>
      </c>
      <c r="L292" s="520">
        <v>0</v>
      </c>
      <c r="M292" s="517"/>
      <c r="N292" s="542">
        <v>0</v>
      </c>
      <c r="O292" s="543">
        <v>0</v>
      </c>
      <c r="P292" s="543">
        <v>0</v>
      </c>
      <c r="Q292" s="517"/>
      <c r="R292" s="520">
        <v>0</v>
      </c>
      <c r="S292" s="520">
        <v>0</v>
      </c>
      <c r="T292" s="520">
        <v>0</v>
      </c>
      <c r="U292" s="517"/>
      <c r="V292" s="542">
        <v>0</v>
      </c>
      <c r="W292" s="543">
        <v>0</v>
      </c>
    </row>
    <row r="293" spans="1:23" x14ac:dyDescent="0.25">
      <c r="A293">
        <v>288</v>
      </c>
      <c r="B293" t="s">
        <v>319</v>
      </c>
      <c r="C293" t="s">
        <v>18</v>
      </c>
      <c r="D293" t="s">
        <v>20</v>
      </c>
      <c r="F293" s="520">
        <v>12</v>
      </c>
      <c r="G293" s="520">
        <v>118575.28000000001</v>
      </c>
      <c r="H293" s="520">
        <v>600</v>
      </c>
      <c r="I293" s="517"/>
      <c r="J293" s="520">
        <v>0</v>
      </c>
      <c r="K293" s="520">
        <v>0</v>
      </c>
      <c r="L293" s="520">
        <v>0</v>
      </c>
      <c r="M293" s="517"/>
      <c r="N293" s="542">
        <v>12</v>
      </c>
      <c r="O293" s="543">
        <v>118575.28000000001</v>
      </c>
      <c r="P293" s="543">
        <v>600</v>
      </c>
      <c r="Q293" s="517"/>
      <c r="R293" s="520">
        <v>0</v>
      </c>
      <c r="S293" s="520">
        <v>0</v>
      </c>
      <c r="T293" s="520">
        <v>0</v>
      </c>
      <c r="U293" s="517"/>
      <c r="V293" s="542">
        <v>12</v>
      </c>
      <c r="W293" s="543">
        <v>118575.28000000001</v>
      </c>
    </row>
    <row r="294" spans="1:23" x14ac:dyDescent="0.25">
      <c r="A294">
        <v>289</v>
      </c>
      <c r="B294" t="s">
        <v>320</v>
      </c>
      <c r="C294" t="s">
        <v>18</v>
      </c>
      <c r="D294" t="s">
        <v>20</v>
      </c>
      <c r="F294" s="520">
        <v>0</v>
      </c>
      <c r="G294" s="520">
        <v>0</v>
      </c>
      <c r="H294" s="520">
        <v>0</v>
      </c>
      <c r="I294" s="517"/>
      <c r="J294" s="520">
        <v>0</v>
      </c>
      <c r="K294" s="520">
        <v>0</v>
      </c>
      <c r="L294" s="520">
        <v>0</v>
      </c>
      <c r="M294" s="517"/>
      <c r="N294" s="542">
        <v>0</v>
      </c>
      <c r="O294" s="543">
        <v>0</v>
      </c>
      <c r="P294" s="543">
        <v>0</v>
      </c>
      <c r="Q294" s="517"/>
      <c r="R294" s="520">
        <v>0</v>
      </c>
      <c r="S294" s="520">
        <v>0</v>
      </c>
      <c r="T294" s="520">
        <v>0</v>
      </c>
      <c r="U294" s="517"/>
      <c r="V294" s="542">
        <v>0</v>
      </c>
      <c r="W294" s="543">
        <v>0</v>
      </c>
    </row>
    <row r="295" spans="1:23" x14ac:dyDescent="0.25">
      <c r="A295">
        <v>290</v>
      </c>
      <c r="B295" t="s">
        <v>321</v>
      </c>
      <c r="C295" t="s">
        <v>18</v>
      </c>
      <c r="D295" t="s">
        <v>20</v>
      </c>
      <c r="F295" s="520">
        <v>14</v>
      </c>
      <c r="G295" s="520">
        <v>266779.25</v>
      </c>
      <c r="H295" s="520">
        <v>700</v>
      </c>
      <c r="I295" s="517"/>
      <c r="J295" s="520">
        <v>0</v>
      </c>
      <c r="K295" s="520">
        <v>0</v>
      </c>
      <c r="L295" s="520">
        <v>0</v>
      </c>
      <c r="M295" s="517"/>
      <c r="N295" s="542">
        <v>14</v>
      </c>
      <c r="O295" s="543">
        <v>266779.25</v>
      </c>
      <c r="P295" s="543">
        <v>700</v>
      </c>
      <c r="Q295" s="517"/>
      <c r="R295" s="520">
        <v>0</v>
      </c>
      <c r="S295" s="520">
        <v>0</v>
      </c>
      <c r="T295" s="520">
        <v>0</v>
      </c>
      <c r="U295" s="517"/>
      <c r="V295" s="542">
        <v>14</v>
      </c>
      <c r="W295" s="543">
        <v>266779.25</v>
      </c>
    </row>
    <row r="296" spans="1:23" x14ac:dyDescent="0.25">
      <c r="A296">
        <v>291</v>
      </c>
      <c r="B296" t="s">
        <v>322</v>
      </c>
      <c r="C296" t="s">
        <v>18</v>
      </c>
      <c r="D296" t="s">
        <v>20</v>
      </c>
      <c r="F296" s="520">
        <v>6</v>
      </c>
      <c r="G296" s="520">
        <v>126575.07</v>
      </c>
      <c r="H296" s="520">
        <v>300</v>
      </c>
      <c r="I296" s="517"/>
      <c r="J296" s="520">
        <v>0</v>
      </c>
      <c r="K296" s="520">
        <v>0</v>
      </c>
      <c r="L296" s="520">
        <v>0</v>
      </c>
      <c r="M296" s="517"/>
      <c r="N296" s="542">
        <v>6</v>
      </c>
      <c r="O296" s="543">
        <v>126575.07</v>
      </c>
      <c r="P296" s="543">
        <v>300</v>
      </c>
      <c r="Q296" s="517"/>
      <c r="R296" s="520">
        <v>0</v>
      </c>
      <c r="S296" s="520">
        <v>0</v>
      </c>
      <c r="T296" s="520">
        <v>0</v>
      </c>
      <c r="U296" s="517"/>
      <c r="V296" s="542">
        <v>6</v>
      </c>
      <c r="W296" s="543">
        <v>126575.07</v>
      </c>
    </row>
    <row r="297" spans="1:23" x14ac:dyDescent="0.25">
      <c r="A297">
        <v>292</v>
      </c>
      <c r="B297" t="s">
        <v>323</v>
      </c>
      <c r="C297" t="s">
        <v>18</v>
      </c>
      <c r="D297" t="s">
        <v>20</v>
      </c>
      <c r="F297" s="520">
        <v>9</v>
      </c>
      <c r="G297" s="520">
        <v>167132</v>
      </c>
      <c r="H297" s="520">
        <v>450</v>
      </c>
      <c r="I297" s="517"/>
      <c r="J297" s="520">
        <v>0</v>
      </c>
      <c r="K297" s="520">
        <v>0</v>
      </c>
      <c r="L297" s="520">
        <v>0</v>
      </c>
      <c r="M297" s="517"/>
      <c r="N297" s="542">
        <v>9</v>
      </c>
      <c r="O297" s="543">
        <v>167132</v>
      </c>
      <c r="P297" s="543">
        <v>450</v>
      </c>
      <c r="Q297" s="517"/>
      <c r="R297" s="520">
        <v>0</v>
      </c>
      <c r="S297" s="520">
        <v>0</v>
      </c>
      <c r="T297" s="520">
        <v>0</v>
      </c>
      <c r="U297" s="517"/>
      <c r="V297" s="542">
        <v>9</v>
      </c>
      <c r="W297" s="543">
        <v>167132</v>
      </c>
    </row>
    <row r="298" spans="1:23" x14ac:dyDescent="0.25">
      <c r="A298">
        <v>293</v>
      </c>
      <c r="B298" t="s">
        <v>324</v>
      </c>
      <c r="C298" t="s">
        <v>18</v>
      </c>
      <c r="D298" t="s">
        <v>20</v>
      </c>
      <c r="F298" s="520">
        <v>0</v>
      </c>
      <c r="G298" s="520">
        <v>0</v>
      </c>
      <c r="H298" s="520">
        <v>0</v>
      </c>
      <c r="I298" s="517"/>
      <c r="J298" s="520">
        <v>0</v>
      </c>
      <c r="K298" s="520">
        <v>0</v>
      </c>
      <c r="L298" s="520">
        <v>0</v>
      </c>
      <c r="M298" s="517"/>
      <c r="N298" s="542">
        <v>0</v>
      </c>
      <c r="O298" s="543">
        <v>0</v>
      </c>
      <c r="P298" s="543">
        <v>0</v>
      </c>
      <c r="Q298" s="517"/>
      <c r="R298" s="520">
        <v>0</v>
      </c>
      <c r="S298" s="520">
        <v>0</v>
      </c>
      <c r="T298" s="520">
        <v>0</v>
      </c>
      <c r="U298" s="517"/>
      <c r="V298" s="542">
        <v>0</v>
      </c>
      <c r="W298" s="543">
        <v>0</v>
      </c>
    </row>
    <row r="299" spans="1:23" x14ac:dyDescent="0.25">
      <c r="A299">
        <v>294</v>
      </c>
      <c r="B299" t="s">
        <v>325</v>
      </c>
      <c r="C299" t="s">
        <v>326</v>
      </c>
      <c r="D299" t="s">
        <v>327</v>
      </c>
      <c r="F299" s="520">
        <v>1102</v>
      </c>
      <c r="G299" s="520">
        <v>64870537.75</v>
      </c>
      <c r="H299" s="520">
        <v>66120</v>
      </c>
      <c r="I299" s="517"/>
      <c r="J299" s="520">
        <v>-1</v>
      </c>
      <c r="K299" s="520">
        <v>-201890</v>
      </c>
      <c r="L299" s="520">
        <v>-60</v>
      </c>
      <c r="M299" s="517"/>
      <c r="N299" s="542">
        <v>1101</v>
      </c>
      <c r="O299" s="543">
        <v>64668647.75</v>
      </c>
      <c r="P299" s="543">
        <v>66060</v>
      </c>
      <c r="Q299" s="517"/>
      <c r="R299" s="520">
        <v>0</v>
      </c>
      <c r="S299" s="520">
        <v>0</v>
      </c>
      <c r="T299" s="520">
        <v>0</v>
      </c>
      <c r="U299" s="517"/>
      <c r="V299" s="542">
        <v>1101</v>
      </c>
      <c r="W299" s="543">
        <v>64668647.75</v>
      </c>
    </row>
    <row r="300" spans="1:23" x14ac:dyDescent="0.25">
      <c r="A300">
        <v>295</v>
      </c>
      <c r="B300" t="s">
        <v>3079</v>
      </c>
      <c r="C300" t="s">
        <v>136</v>
      </c>
      <c r="D300" t="s">
        <v>516</v>
      </c>
      <c r="F300" s="520">
        <v>4</v>
      </c>
      <c r="G300" s="520">
        <v>84274</v>
      </c>
      <c r="H300" s="520">
        <v>120</v>
      </c>
      <c r="I300" s="517"/>
      <c r="J300" s="520">
        <v>0</v>
      </c>
      <c r="K300" s="520">
        <v>0</v>
      </c>
      <c r="L300" s="520">
        <v>0</v>
      </c>
      <c r="M300" s="517"/>
      <c r="N300" s="542">
        <v>4</v>
      </c>
      <c r="O300" s="543">
        <v>84274</v>
      </c>
      <c r="P300" s="543">
        <v>120</v>
      </c>
      <c r="Q300" s="517"/>
      <c r="R300" s="520">
        <v>0</v>
      </c>
      <c r="S300" s="520">
        <v>0</v>
      </c>
      <c r="T300" s="520">
        <v>0</v>
      </c>
      <c r="U300" s="517"/>
      <c r="V300" s="542">
        <v>4</v>
      </c>
      <c r="W300" s="543">
        <v>84274</v>
      </c>
    </row>
    <row r="301" spans="1:23" x14ac:dyDescent="0.25">
      <c r="A301">
        <v>296</v>
      </c>
      <c r="B301" t="s">
        <v>330</v>
      </c>
      <c r="D301" t="s">
        <v>16</v>
      </c>
      <c r="F301" s="520">
        <v>0</v>
      </c>
      <c r="G301" s="520">
        <v>0</v>
      </c>
      <c r="H301" s="520">
        <v>0</v>
      </c>
      <c r="I301" s="517"/>
      <c r="J301" s="520">
        <v>0</v>
      </c>
      <c r="K301" s="520">
        <v>0</v>
      </c>
      <c r="L301" s="520">
        <v>0</v>
      </c>
      <c r="M301" s="517"/>
      <c r="N301" s="542">
        <v>0</v>
      </c>
      <c r="O301" s="543">
        <v>0</v>
      </c>
      <c r="P301" s="543">
        <v>0</v>
      </c>
      <c r="Q301" s="517"/>
      <c r="R301" s="520">
        <v>0</v>
      </c>
      <c r="S301" s="520">
        <v>0</v>
      </c>
      <c r="T301" s="520">
        <v>0</v>
      </c>
      <c r="U301" s="517"/>
      <c r="V301" s="542">
        <v>0</v>
      </c>
      <c r="W301" s="543">
        <v>0</v>
      </c>
    </row>
    <row r="302" spans="1:23" x14ac:dyDescent="0.25">
      <c r="A302">
        <v>297</v>
      </c>
      <c r="B302" t="s">
        <v>331</v>
      </c>
      <c r="C302" t="s">
        <v>242</v>
      </c>
      <c r="D302" t="s">
        <v>332</v>
      </c>
      <c r="F302" s="520">
        <v>0</v>
      </c>
      <c r="G302" s="520">
        <v>0</v>
      </c>
      <c r="H302" s="520">
        <v>0</v>
      </c>
      <c r="I302" s="517"/>
      <c r="J302" s="520">
        <v>0</v>
      </c>
      <c r="K302" s="520">
        <v>0</v>
      </c>
      <c r="L302" s="520">
        <v>0</v>
      </c>
      <c r="M302" s="517"/>
      <c r="N302" s="542">
        <v>0</v>
      </c>
      <c r="O302" s="543">
        <v>0</v>
      </c>
      <c r="P302" s="543">
        <v>0</v>
      </c>
      <c r="Q302" s="517"/>
      <c r="R302" s="520">
        <v>0</v>
      </c>
      <c r="S302" s="520">
        <v>0</v>
      </c>
      <c r="T302" s="520">
        <v>0</v>
      </c>
      <c r="U302" s="517"/>
      <c r="V302" s="542">
        <v>0</v>
      </c>
      <c r="W302" s="543">
        <v>0</v>
      </c>
    </row>
    <row r="303" spans="1:23" x14ac:dyDescent="0.25">
      <c r="A303">
        <v>298</v>
      </c>
      <c r="B303" t="s">
        <v>328</v>
      </c>
      <c r="C303" t="s">
        <v>329</v>
      </c>
      <c r="D303" t="s">
        <v>16</v>
      </c>
      <c r="F303" s="520">
        <v>0</v>
      </c>
      <c r="G303" s="520">
        <v>0</v>
      </c>
      <c r="H303" s="520">
        <v>0</v>
      </c>
      <c r="I303" s="517"/>
      <c r="J303" s="520">
        <v>0</v>
      </c>
      <c r="K303" s="520">
        <v>0</v>
      </c>
      <c r="L303" s="520">
        <v>0</v>
      </c>
      <c r="M303" s="517"/>
      <c r="N303" s="542">
        <v>0</v>
      </c>
      <c r="O303" s="543">
        <v>0</v>
      </c>
      <c r="P303" s="543">
        <v>0</v>
      </c>
      <c r="Q303" s="517"/>
      <c r="R303" s="520">
        <v>0</v>
      </c>
      <c r="S303" s="520">
        <v>0</v>
      </c>
      <c r="T303" s="520">
        <v>0</v>
      </c>
      <c r="U303" s="517"/>
      <c r="V303" s="542">
        <v>0</v>
      </c>
      <c r="W303" s="543">
        <v>0</v>
      </c>
    </row>
    <row r="304" spans="1:23" x14ac:dyDescent="0.25">
      <c r="A304">
        <v>299</v>
      </c>
      <c r="B304" t="s">
        <v>333</v>
      </c>
      <c r="F304" s="520">
        <v>4</v>
      </c>
      <c r="G304" s="520">
        <v>4597</v>
      </c>
      <c r="H304" s="520">
        <v>60</v>
      </c>
      <c r="I304" s="517"/>
      <c r="J304" s="520">
        <v>0</v>
      </c>
      <c r="K304" s="520">
        <v>0</v>
      </c>
      <c r="L304" s="520">
        <v>0</v>
      </c>
      <c r="M304" s="517"/>
      <c r="N304" s="542">
        <v>4</v>
      </c>
      <c r="O304" s="543">
        <v>4597</v>
      </c>
      <c r="P304" s="543">
        <v>60</v>
      </c>
      <c r="Q304" s="517"/>
      <c r="R304" s="520">
        <v>0</v>
      </c>
      <c r="S304" s="520">
        <v>0</v>
      </c>
      <c r="T304" s="520">
        <v>0</v>
      </c>
      <c r="U304" s="517"/>
      <c r="V304" s="542">
        <v>4</v>
      </c>
      <c r="W304" s="543">
        <v>4597</v>
      </c>
    </row>
    <row r="305" spans="1:23" x14ac:dyDescent="0.25">
      <c r="A305">
        <v>300</v>
      </c>
      <c r="B305" t="s">
        <v>334</v>
      </c>
      <c r="C305" t="s">
        <v>18</v>
      </c>
      <c r="D305" t="s">
        <v>16</v>
      </c>
      <c r="F305" s="520">
        <v>27</v>
      </c>
      <c r="G305" s="520">
        <v>283068.79999999999</v>
      </c>
      <c r="H305" s="520">
        <v>810</v>
      </c>
      <c r="I305" s="517"/>
      <c r="J305" s="520">
        <v>0</v>
      </c>
      <c r="K305" s="520">
        <v>0</v>
      </c>
      <c r="L305" s="520">
        <v>0</v>
      </c>
      <c r="M305" s="517"/>
      <c r="N305" s="542">
        <v>27</v>
      </c>
      <c r="O305" s="543">
        <v>283068.79999999999</v>
      </c>
      <c r="P305" s="543">
        <v>810</v>
      </c>
      <c r="Q305" s="517"/>
      <c r="R305" s="520">
        <v>0</v>
      </c>
      <c r="S305" s="520">
        <v>0</v>
      </c>
      <c r="T305" s="520">
        <v>0</v>
      </c>
      <c r="U305" s="517"/>
      <c r="V305" s="542">
        <v>27</v>
      </c>
      <c r="W305" s="543">
        <v>283068.79999999999</v>
      </c>
    </row>
    <row r="306" spans="1:23" x14ac:dyDescent="0.25">
      <c r="A306">
        <v>301</v>
      </c>
      <c r="B306" t="s">
        <v>2230</v>
      </c>
      <c r="C306" t="s">
        <v>18</v>
      </c>
      <c r="D306" t="s">
        <v>20</v>
      </c>
      <c r="F306" s="520">
        <v>0</v>
      </c>
      <c r="G306" s="520">
        <v>0</v>
      </c>
      <c r="H306" s="520">
        <v>0</v>
      </c>
      <c r="I306" s="517"/>
      <c r="J306" s="520">
        <v>0</v>
      </c>
      <c r="K306" s="520">
        <v>0</v>
      </c>
      <c r="L306" s="520">
        <v>0</v>
      </c>
      <c r="M306" s="517"/>
      <c r="N306" s="542">
        <v>0</v>
      </c>
      <c r="O306" s="543">
        <v>0</v>
      </c>
      <c r="P306" s="543">
        <v>0</v>
      </c>
      <c r="Q306" s="517"/>
      <c r="R306" s="520">
        <v>0</v>
      </c>
      <c r="S306" s="520">
        <v>0</v>
      </c>
      <c r="T306" s="520">
        <v>0</v>
      </c>
      <c r="U306" s="517"/>
      <c r="V306" s="542">
        <v>0</v>
      </c>
      <c r="W306" s="543">
        <v>0</v>
      </c>
    </row>
    <row r="307" spans="1:23" x14ac:dyDescent="0.25">
      <c r="A307">
        <v>302</v>
      </c>
      <c r="B307" t="s">
        <v>335</v>
      </c>
      <c r="C307" t="s">
        <v>18</v>
      </c>
      <c r="D307" t="s">
        <v>20</v>
      </c>
      <c r="F307" s="520">
        <v>0</v>
      </c>
      <c r="G307" s="520">
        <v>0</v>
      </c>
      <c r="H307" s="520">
        <v>0</v>
      </c>
      <c r="I307" s="517"/>
      <c r="J307" s="520">
        <v>0</v>
      </c>
      <c r="K307" s="520">
        <v>0</v>
      </c>
      <c r="L307" s="520">
        <v>0</v>
      </c>
      <c r="M307" s="517"/>
      <c r="N307" s="542">
        <v>0</v>
      </c>
      <c r="O307" s="543">
        <v>0</v>
      </c>
      <c r="P307" s="543">
        <v>0</v>
      </c>
      <c r="Q307" s="517"/>
      <c r="R307" s="520">
        <v>0</v>
      </c>
      <c r="S307" s="520">
        <v>0</v>
      </c>
      <c r="T307" s="520">
        <v>0</v>
      </c>
      <c r="U307" s="517"/>
      <c r="V307" s="542">
        <v>0</v>
      </c>
      <c r="W307" s="543">
        <v>0</v>
      </c>
    </row>
    <row r="308" spans="1:23" x14ac:dyDescent="0.25">
      <c r="A308">
        <v>303</v>
      </c>
      <c r="B308" t="s">
        <v>2231</v>
      </c>
      <c r="C308" t="s">
        <v>18</v>
      </c>
      <c r="D308" t="s">
        <v>20</v>
      </c>
      <c r="F308" s="520">
        <v>0</v>
      </c>
      <c r="G308" s="520">
        <v>0</v>
      </c>
      <c r="H308" s="520">
        <v>0</v>
      </c>
      <c r="I308" s="517"/>
      <c r="J308" s="520">
        <v>0</v>
      </c>
      <c r="K308" s="520">
        <v>0</v>
      </c>
      <c r="L308" s="520">
        <v>0</v>
      </c>
      <c r="M308" s="517"/>
      <c r="N308" s="542">
        <v>0</v>
      </c>
      <c r="O308" s="543">
        <v>0</v>
      </c>
      <c r="P308" s="543">
        <v>0</v>
      </c>
      <c r="Q308" s="517"/>
      <c r="R308" s="520">
        <v>0</v>
      </c>
      <c r="S308" s="520">
        <v>0</v>
      </c>
      <c r="T308" s="520">
        <v>0</v>
      </c>
      <c r="U308" s="517"/>
      <c r="V308" s="542">
        <v>0</v>
      </c>
      <c r="W308" s="543">
        <v>0</v>
      </c>
    </row>
    <row r="309" spans="1:23" x14ac:dyDescent="0.25">
      <c r="A309">
        <v>304</v>
      </c>
      <c r="B309" t="s">
        <v>2232</v>
      </c>
      <c r="C309" t="s">
        <v>18</v>
      </c>
      <c r="D309" t="s">
        <v>20</v>
      </c>
      <c r="F309" s="520">
        <v>0</v>
      </c>
      <c r="G309" s="520">
        <v>0</v>
      </c>
      <c r="H309" s="520">
        <v>0</v>
      </c>
      <c r="I309" s="517"/>
      <c r="J309" s="520">
        <v>0</v>
      </c>
      <c r="K309" s="520">
        <v>0</v>
      </c>
      <c r="L309" s="520">
        <v>0</v>
      </c>
      <c r="M309" s="517"/>
      <c r="N309" s="542">
        <v>0</v>
      </c>
      <c r="O309" s="543">
        <v>0</v>
      </c>
      <c r="P309" s="543">
        <v>0</v>
      </c>
      <c r="Q309" s="517"/>
      <c r="R309" s="520">
        <v>0</v>
      </c>
      <c r="S309" s="520">
        <v>0</v>
      </c>
      <c r="T309" s="520">
        <v>0</v>
      </c>
      <c r="U309" s="517"/>
      <c r="V309" s="542">
        <v>0</v>
      </c>
      <c r="W309" s="543">
        <v>0</v>
      </c>
    </row>
    <row r="310" spans="1:23" x14ac:dyDescent="0.25">
      <c r="A310">
        <v>305</v>
      </c>
      <c r="B310" t="s">
        <v>336</v>
      </c>
      <c r="C310" t="s">
        <v>18</v>
      </c>
      <c r="D310" t="s">
        <v>16</v>
      </c>
      <c r="F310" s="520">
        <v>1</v>
      </c>
      <c r="G310" s="520">
        <v>5000</v>
      </c>
      <c r="H310" s="520">
        <v>25</v>
      </c>
      <c r="I310" s="517"/>
      <c r="J310" s="520">
        <v>0</v>
      </c>
      <c r="K310" s="520">
        <v>0</v>
      </c>
      <c r="L310" s="520">
        <v>0</v>
      </c>
      <c r="M310" s="517"/>
      <c r="N310" s="542">
        <v>1</v>
      </c>
      <c r="O310" s="543">
        <v>5000</v>
      </c>
      <c r="P310" s="543">
        <v>25</v>
      </c>
      <c r="Q310" s="517"/>
      <c r="R310" s="520">
        <v>0</v>
      </c>
      <c r="S310" s="520">
        <v>0</v>
      </c>
      <c r="T310" s="520">
        <v>0</v>
      </c>
      <c r="U310" s="517"/>
      <c r="V310" s="542">
        <v>1</v>
      </c>
      <c r="W310" s="543">
        <v>5000</v>
      </c>
    </row>
    <row r="311" spans="1:23" x14ac:dyDescent="0.25">
      <c r="A311">
        <v>306</v>
      </c>
      <c r="B311" t="s">
        <v>337</v>
      </c>
      <c r="C311" t="s">
        <v>39</v>
      </c>
      <c r="D311" t="s">
        <v>16</v>
      </c>
      <c r="F311" s="520">
        <v>0</v>
      </c>
      <c r="G311" s="520">
        <v>0</v>
      </c>
      <c r="H311" s="520">
        <v>0</v>
      </c>
      <c r="I311" s="517"/>
      <c r="J311" s="520">
        <v>0</v>
      </c>
      <c r="K311" s="520">
        <v>0</v>
      </c>
      <c r="L311" s="520">
        <v>0</v>
      </c>
      <c r="M311" s="517"/>
      <c r="N311" s="542">
        <v>0</v>
      </c>
      <c r="O311" s="543">
        <v>0</v>
      </c>
      <c r="P311" s="543">
        <v>0</v>
      </c>
      <c r="Q311" s="517"/>
      <c r="R311" s="520">
        <v>0</v>
      </c>
      <c r="S311" s="520">
        <v>0</v>
      </c>
      <c r="T311" s="520">
        <v>0</v>
      </c>
      <c r="U311" s="517"/>
      <c r="V311" s="542">
        <v>0</v>
      </c>
      <c r="W311" s="543">
        <v>0</v>
      </c>
    </row>
    <row r="312" spans="1:23" x14ac:dyDescent="0.25">
      <c r="A312">
        <v>307</v>
      </c>
      <c r="B312" t="s">
        <v>338</v>
      </c>
      <c r="C312" t="s">
        <v>18</v>
      </c>
      <c r="D312" t="s">
        <v>16</v>
      </c>
      <c r="F312" s="520">
        <v>3</v>
      </c>
      <c r="G312" s="520">
        <v>2266.2600000000002</v>
      </c>
      <c r="H312" s="520">
        <v>21</v>
      </c>
      <c r="I312" s="517"/>
      <c r="J312" s="520">
        <v>0</v>
      </c>
      <c r="K312" s="520">
        <v>0</v>
      </c>
      <c r="L312" s="520">
        <v>0</v>
      </c>
      <c r="M312" s="517"/>
      <c r="N312" s="542">
        <v>3</v>
      </c>
      <c r="O312" s="543">
        <v>2266.2600000000002</v>
      </c>
      <c r="P312" s="543">
        <v>21</v>
      </c>
      <c r="Q312" s="517"/>
      <c r="R312" s="520">
        <v>0</v>
      </c>
      <c r="S312" s="520">
        <v>0</v>
      </c>
      <c r="T312" s="520">
        <v>0</v>
      </c>
      <c r="U312" s="517"/>
      <c r="V312" s="542">
        <v>3</v>
      </c>
      <c r="W312" s="543">
        <v>2266.2600000000002</v>
      </c>
    </row>
    <row r="313" spans="1:23" x14ac:dyDescent="0.25">
      <c r="A313">
        <v>308</v>
      </c>
      <c r="B313" t="s">
        <v>339</v>
      </c>
      <c r="C313" t="s">
        <v>39</v>
      </c>
      <c r="D313" t="s">
        <v>16</v>
      </c>
      <c r="F313" s="520">
        <v>5</v>
      </c>
      <c r="G313" s="520">
        <v>921811.48</v>
      </c>
      <c r="H313" s="520">
        <v>2850</v>
      </c>
      <c r="I313" s="517"/>
      <c r="J313" s="520">
        <v>0</v>
      </c>
      <c r="K313" s="520">
        <v>0</v>
      </c>
      <c r="L313" s="520">
        <v>0</v>
      </c>
      <c r="M313" s="517"/>
      <c r="N313" s="542">
        <v>5</v>
      </c>
      <c r="O313" s="543">
        <v>921811.48</v>
      </c>
      <c r="P313" s="543">
        <v>2850</v>
      </c>
      <c r="Q313" s="517"/>
      <c r="R313" s="520">
        <v>0</v>
      </c>
      <c r="S313" s="520">
        <v>0</v>
      </c>
      <c r="T313" s="520">
        <v>0</v>
      </c>
      <c r="U313" s="517"/>
      <c r="V313" s="542">
        <v>5</v>
      </c>
      <c r="W313" s="543">
        <v>921811.48</v>
      </c>
    </row>
    <row r="314" spans="1:23" x14ac:dyDescent="0.25">
      <c r="A314">
        <v>309</v>
      </c>
      <c r="B314" t="s">
        <v>340</v>
      </c>
      <c r="C314" t="s">
        <v>15</v>
      </c>
      <c r="D314" t="s">
        <v>20</v>
      </c>
      <c r="F314" s="520">
        <v>0</v>
      </c>
      <c r="G314" s="520">
        <v>0</v>
      </c>
      <c r="H314" s="520">
        <v>0</v>
      </c>
      <c r="I314" s="517"/>
      <c r="J314" s="520">
        <v>0</v>
      </c>
      <c r="K314" s="520">
        <v>0</v>
      </c>
      <c r="L314" s="520">
        <v>0</v>
      </c>
      <c r="M314" s="517"/>
      <c r="N314" s="542">
        <v>0</v>
      </c>
      <c r="O314" s="543">
        <v>0</v>
      </c>
      <c r="P314" s="543">
        <v>0</v>
      </c>
      <c r="Q314" s="517"/>
      <c r="R314" s="520">
        <v>0</v>
      </c>
      <c r="S314" s="520">
        <v>0</v>
      </c>
      <c r="T314" s="520">
        <v>0</v>
      </c>
      <c r="U314" s="517"/>
      <c r="V314" s="542">
        <v>0</v>
      </c>
      <c r="W314" s="543">
        <v>0</v>
      </c>
    </row>
    <row r="315" spans="1:23" x14ac:dyDescent="0.25">
      <c r="A315">
        <v>310</v>
      </c>
      <c r="B315" t="s">
        <v>3190</v>
      </c>
      <c r="C315" t="s">
        <v>39</v>
      </c>
      <c r="D315" t="s">
        <v>16</v>
      </c>
      <c r="F315" s="520">
        <v>0</v>
      </c>
      <c r="G315" s="520">
        <v>0</v>
      </c>
      <c r="H315" s="520">
        <v>0</v>
      </c>
      <c r="I315" s="517"/>
      <c r="J315" s="520">
        <v>0</v>
      </c>
      <c r="K315" s="520">
        <v>0</v>
      </c>
      <c r="L315" s="520">
        <v>0</v>
      </c>
      <c r="M315" s="517"/>
      <c r="N315" s="542">
        <v>0</v>
      </c>
      <c r="O315" s="543">
        <v>0</v>
      </c>
      <c r="P315" s="543">
        <v>0</v>
      </c>
      <c r="Q315" s="517"/>
      <c r="R315" s="520">
        <v>0</v>
      </c>
      <c r="S315" s="520">
        <v>0</v>
      </c>
      <c r="T315" s="520">
        <v>0</v>
      </c>
      <c r="U315" s="517"/>
      <c r="V315" s="542">
        <v>0</v>
      </c>
      <c r="W315" s="543">
        <v>0</v>
      </c>
    </row>
    <row r="316" spans="1:23" x14ac:dyDescent="0.25">
      <c r="A316">
        <v>311</v>
      </c>
      <c r="B316" t="s">
        <v>341</v>
      </c>
      <c r="D316" t="s">
        <v>16</v>
      </c>
      <c r="F316" s="520">
        <v>1</v>
      </c>
      <c r="G316" s="520">
        <v>36566.1</v>
      </c>
      <c r="H316" s="520">
        <v>50</v>
      </c>
      <c r="I316" s="517"/>
      <c r="J316" s="520">
        <v>0</v>
      </c>
      <c r="K316" s="520">
        <v>0</v>
      </c>
      <c r="L316" s="520">
        <v>0</v>
      </c>
      <c r="M316" s="517"/>
      <c r="N316" s="542">
        <v>1</v>
      </c>
      <c r="O316" s="543">
        <v>36566.1</v>
      </c>
      <c r="P316" s="543">
        <v>50</v>
      </c>
      <c r="Q316" s="517"/>
      <c r="R316" s="520">
        <v>0</v>
      </c>
      <c r="S316" s="520">
        <v>0</v>
      </c>
      <c r="T316" s="520">
        <v>0</v>
      </c>
      <c r="U316" s="517"/>
      <c r="V316" s="542">
        <v>1</v>
      </c>
      <c r="W316" s="543">
        <v>36566.1</v>
      </c>
    </row>
    <row r="317" spans="1:23" x14ac:dyDescent="0.25">
      <c r="A317">
        <v>312</v>
      </c>
      <c r="B317" t="s">
        <v>342</v>
      </c>
      <c r="D317" t="s">
        <v>16</v>
      </c>
      <c r="F317" s="520">
        <v>0</v>
      </c>
      <c r="G317" s="520">
        <v>0</v>
      </c>
      <c r="H317" s="520">
        <v>0</v>
      </c>
      <c r="I317" s="517"/>
      <c r="J317" s="520">
        <v>0</v>
      </c>
      <c r="K317" s="520">
        <v>0</v>
      </c>
      <c r="L317" s="520">
        <v>0</v>
      </c>
      <c r="M317" s="517"/>
      <c r="N317" s="542">
        <v>0</v>
      </c>
      <c r="O317" s="543">
        <v>0</v>
      </c>
      <c r="P317" s="543">
        <v>0</v>
      </c>
      <c r="Q317" s="517"/>
      <c r="R317" s="520">
        <v>0</v>
      </c>
      <c r="S317" s="520">
        <v>0</v>
      </c>
      <c r="T317" s="520">
        <v>0</v>
      </c>
      <c r="U317" s="517"/>
      <c r="V317" s="542">
        <v>0</v>
      </c>
      <c r="W317" s="543">
        <v>0</v>
      </c>
    </row>
    <row r="318" spans="1:23" x14ac:dyDescent="0.25">
      <c r="A318">
        <v>313</v>
      </c>
      <c r="B318" t="s">
        <v>343</v>
      </c>
      <c r="C318" t="s">
        <v>148</v>
      </c>
      <c r="D318" t="s">
        <v>16</v>
      </c>
      <c r="F318" s="520">
        <v>0</v>
      </c>
      <c r="G318" s="520">
        <v>0</v>
      </c>
      <c r="H318" s="520">
        <v>0</v>
      </c>
      <c r="I318" s="517"/>
      <c r="J318" s="520">
        <v>0</v>
      </c>
      <c r="K318" s="520">
        <v>0</v>
      </c>
      <c r="L318" s="520">
        <v>0</v>
      </c>
      <c r="M318" s="517"/>
      <c r="N318" s="542">
        <v>0</v>
      </c>
      <c r="O318" s="543">
        <v>0</v>
      </c>
      <c r="P318" s="543">
        <v>0</v>
      </c>
      <c r="Q318" s="517"/>
      <c r="R318" s="520">
        <v>0</v>
      </c>
      <c r="S318" s="520">
        <v>0</v>
      </c>
      <c r="T318" s="520">
        <v>0</v>
      </c>
      <c r="U318" s="517"/>
      <c r="V318" s="542">
        <v>0</v>
      </c>
      <c r="W318" s="543">
        <v>0</v>
      </c>
    </row>
    <row r="319" spans="1:23" x14ac:dyDescent="0.25">
      <c r="A319">
        <v>314</v>
      </c>
      <c r="B319" t="s">
        <v>344</v>
      </c>
      <c r="C319" t="s">
        <v>15</v>
      </c>
      <c r="D319" t="s">
        <v>16</v>
      </c>
      <c r="F319" s="520">
        <v>1</v>
      </c>
      <c r="G319" s="520">
        <v>4000</v>
      </c>
      <c r="H319" s="520">
        <v>25</v>
      </c>
      <c r="I319" s="517"/>
      <c r="J319" s="520">
        <v>0</v>
      </c>
      <c r="K319" s="520">
        <v>0</v>
      </c>
      <c r="L319" s="520">
        <v>0</v>
      </c>
      <c r="M319" s="517"/>
      <c r="N319" s="542">
        <v>1</v>
      </c>
      <c r="O319" s="543">
        <v>4000</v>
      </c>
      <c r="P319" s="543">
        <v>25</v>
      </c>
      <c r="Q319" s="517"/>
      <c r="R319" s="520">
        <v>0</v>
      </c>
      <c r="S319" s="520">
        <v>0</v>
      </c>
      <c r="T319" s="520">
        <v>0</v>
      </c>
      <c r="U319" s="517"/>
      <c r="V319" s="542">
        <v>1</v>
      </c>
      <c r="W319" s="543">
        <v>4000</v>
      </c>
    </row>
    <row r="320" spans="1:23" x14ac:dyDescent="0.25">
      <c r="A320">
        <v>315</v>
      </c>
      <c r="B320" t="s">
        <v>345</v>
      </c>
      <c r="C320" t="s">
        <v>329</v>
      </c>
      <c r="D320" t="s">
        <v>16</v>
      </c>
      <c r="F320" s="520">
        <v>0</v>
      </c>
      <c r="G320" s="520">
        <v>0</v>
      </c>
      <c r="H320" s="520">
        <v>0</v>
      </c>
      <c r="I320" s="517"/>
      <c r="J320" s="520">
        <v>0</v>
      </c>
      <c r="K320" s="520">
        <v>0</v>
      </c>
      <c r="L320" s="520">
        <v>0</v>
      </c>
      <c r="M320" s="517"/>
      <c r="N320" s="542">
        <v>0</v>
      </c>
      <c r="O320" s="543">
        <v>0</v>
      </c>
      <c r="P320" s="543">
        <v>0</v>
      </c>
      <c r="Q320" s="517"/>
      <c r="R320" s="520">
        <v>0</v>
      </c>
      <c r="S320" s="520">
        <v>0</v>
      </c>
      <c r="T320" s="520">
        <v>0</v>
      </c>
      <c r="U320" s="517"/>
      <c r="V320" s="542">
        <v>0</v>
      </c>
      <c r="W320" s="543">
        <v>0</v>
      </c>
    </row>
    <row r="321" spans="1:23" x14ac:dyDescent="0.25">
      <c r="A321">
        <v>316</v>
      </c>
      <c r="B321" t="s">
        <v>346</v>
      </c>
      <c r="C321" t="s">
        <v>27</v>
      </c>
      <c r="D321" t="s">
        <v>16</v>
      </c>
      <c r="F321" s="520">
        <v>0</v>
      </c>
      <c r="G321" s="520">
        <v>0</v>
      </c>
      <c r="H321" s="520">
        <v>0</v>
      </c>
      <c r="I321" s="517"/>
      <c r="J321" s="520">
        <v>0</v>
      </c>
      <c r="K321" s="520">
        <v>0</v>
      </c>
      <c r="L321" s="520">
        <v>0</v>
      </c>
      <c r="M321" s="517"/>
      <c r="N321" s="542">
        <v>0</v>
      </c>
      <c r="O321" s="543">
        <v>0</v>
      </c>
      <c r="P321" s="543">
        <v>0</v>
      </c>
      <c r="Q321" s="517"/>
      <c r="R321" s="520">
        <v>0</v>
      </c>
      <c r="S321" s="520">
        <v>0</v>
      </c>
      <c r="T321" s="520">
        <v>0</v>
      </c>
      <c r="U321" s="517"/>
      <c r="V321" s="542">
        <v>0</v>
      </c>
      <c r="W321" s="543">
        <v>0</v>
      </c>
    </row>
    <row r="322" spans="1:23" x14ac:dyDescent="0.25">
      <c r="A322">
        <v>317</v>
      </c>
      <c r="B322" t="s">
        <v>347</v>
      </c>
      <c r="C322" t="s">
        <v>25</v>
      </c>
      <c r="D322" t="s">
        <v>16</v>
      </c>
      <c r="F322" s="520">
        <v>1</v>
      </c>
      <c r="G322" s="520">
        <v>16480</v>
      </c>
      <c r="H322" s="520">
        <v>25</v>
      </c>
      <c r="I322" s="517"/>
      <c r="J322" s="520">
        <v>0</v>
      </c>
      <c r="K322" s="520">
        <v>0</v>
      </c>
      <c r="L322" s="520">
        <v>0</v>
      </c>
      <c r="M322" s="517"/>
      <c r="N322" s="542">
        <v>1</v>
      </c>
      <c r="O322" s="543">
        <v>16480</v>
      </c>
      <c r="P322" s="543">
        <v>25</v>
      </c>
      <c r="Q322" s="517"/>
      <c r="R322" s="520">
        <v>0</v>
      </c>
      <c r="S322" s="520">
        <v>0</v>
      </c>
      <c r="T322" s="520">
        <v>0</v>
      </c>
      <c r="U322" s="517"/>
      <c r="V322" s="542">
        <v>1</v>
      </c>
      <c r="W322" s="543">
        <v>16480</v>
      </c>
    </row>
    <row r="323" spans="1:23" x14ac:dyDescent="0.25">
      <c r="A323">
        <v>318</v>
      </c>
      <c r="B323" t="s">
        <v>348</v>
      </c>
      <c r="C323" t="s">
        <v>25</v>
      </c>
      <c r="D323" t="s">
        <v>16</v>
      </c>
      <c r="F323" s="520">
        <v>0</v>
      </c>
      <c r="G323" s="520">
        <v>0</v>
      </c>
      <c r="H323" s="520">
        <v>0</v>
      </c>
      <c r="I323" s="517"/>
      <c r="J323" s="520">
        <v>0</v>
      </c>
      <c r="K323" s="520">
        <v>0</v>
      </c>
      <c r="L323" s="520">
        <v>0</v>
      </c>
      <c r="M323" s="517"/>
      <c r="N323" s="542">
        <v>0</v>
      </c>
      <c r="O323" s="543">
        <v>0</v>
      </c>
      <c r="P323" s="543">
        <v>0</v>
      </c>
      <c r="Q323" s="517"/>
      <c r="R323" s="520">
        <v>0</v>
      </c>
      <c r="S323" s="520">
        <v>0</v>
      </c>
      <c r="T323" s="520">
        <v>0</v>
      </c>
      <c r="U323" s="517"/>
      <c r="V323" s="542">
        <v>0</v>
      </c>
      <c r="W323" s="543">
        <v>0</v>
      </c>
    </row>
    <row r="324" spans="1:23" x14ac:dyDescent="0.25">
      <c r="A324">
        <v>319</v>
      </c>
      <c r="B324" t="s">
        <v>350</v>
      </c>
      <c r="C324" t="s">
        <v>351</v>
      </c>
      <c r="D324" t="s">
        <v>20</v>
      </c>
      <c r="F324" s="520">
        <v>1</v>
      </c>
      <c r="G324" s="520">
        <v>10920</v>
      </c>
      <c r="H324" s="520">
        <v>5</v>
      </c>
      <c r="I324" s="517"/>
      <c r="J324" s="520">
        <v>0</v>
      </c>
      <c r="K324" s="520">
        <v>0</v>
      </c>
      <c r="L324" s="520">
        <v>0</v>
      </c>
      <c r="M324" s="517"/>
      <c r="N324" s="542">
        <v>1</v>
      </c>
      <c r="O324" s="543">
        <v>10920</v>
      </c>
      <c r="P324" s="543">
        <v>5</v>
      </c>
      <c r="Q324" s="517"/>
      <c r="R324" s="520">
        <v>0</v>
      </c>
      <c r="S324" s="520">
        <v>0</v>
      </c>
      <c r="T324" s="520">
        <v>0</v>
      </c>
      <c r="U324" s="517"/>
      <c r="V324" s="542">
        <v>1</v>
      </c>
      <c r="W324" s="543">
        <v>10920</v>
      </c>
    </row>
    <row r="325" spans="1:23" x14ac:dyDescent="0.25">
      <c r="A325">
        <v>320</v>
      </c>
      <c r="B325" t="s">
        <v>352</v>
      </c>
      <c r="D325" t="s">
        <v>20</v>
      </c>
      <c r="F325" s="520">
        <v>0</v>
      </c>
      <c r="G325" s="520">
        <v>0</v>
      </c>
      <c r="H325" s="520">
        <v>0</v>
      </c>
      <c r="I325" s="517"/>
      <c r="J325" s="520">
        <v>0</v>
      </c>
      <c r="K325" s="520">
        <v>0</v>
      </c>
      <c r="L325" s="520">
        <v>0</v>
      </c>
      <c r="M325" s="517"/>
      <c r="N325" s="542">
        <v>0</v>
      </c>
      <c r="O325" s="543">
        <v>0</v>
      </c>
      <c r="P325" s="543">
        <v>0</v>
      </c>
      <c r="Q325" s="517"/>
      <c r="R325" s="520">
        <v>0</v>
      </c>
      <c r="S325" s="520">
        <v>0</v>
      </c>
      <c r="T325" s="520">
        <v>0</v>
      </c>
      <c r="U325" s="517"/>
      <c r="V325" s="542">
        <v>0</v>
      </c>
      <c r="W325" s="543">
        <v>0</v>
      </c>
    </row>
    <row r="326" spans="1:23" x14ac:dyDescent="0.25">
      <c r="A326">
        <v>321</v>
      </c>
      <c r="B326" t="s">
        <v>353</v>
      </c>
      <c r="C326" t="s">
        <v>25</v>
      </c>
      <c r="D326" t="s">
        <v>20</v>
      </c>
      <c r="F326" s="520">
        <v>0</v>
      </c>
      <c r="G326" s="520">
        <v>0</v>
      </c>
      <c r="H326" s="520">
        <v>0</v>
      </c>
      <c r="I326" s="517"/>
      <c r="J326" s="520">
        <v>0</v>
      </c>
      <c r="K326" s="520">
        <v>0</v>
      </c>
      <c r="L326" s="520">
        <v>0</v>
      </c>
      <c r="M326" s="517"/>
      <c r="N326" s="542">
        <v>0</v>
      </c>
      <c r="O326" s="543">
        <v>0</v>
      </c>
      <c r="P326" s="543">
        <v>0</v>
      </c>
      <c r="Q326" s="517"/>
      <c r="R326" s="520">
        <v>0</v>
      </c>
      <c r="S326" s="520">
        <v>0</v>
      </c>
      <c r="T326" s="520">
        <v>0</v>
      </c>
      <c r="U326" s="517"/>
      <c r="V326" s="542">
        <v>0</v>
      </c>
      <c r="W326" s="543">
        <v>0</v>
      </c>
    </row>
    <row r="327" spans="1:23" x14ac:dyDescent="0.25">
      <c r="A327">
        <v>322</v>
      </c>
      <c r="B327" t="s">
        <v>356</v>
      </c>
      <c r="C327" t="s">
        <v>15</v>
      </c>
      <c r="D327" t="s">
        <v>16</v>
      </c>
      <c r="F327" s="520">
        <v>0</v>
      </c>
      <c r="G327" s="520">
        <v>0</v>
      </c>
      <c r="H327" s="520">
        <v>0</v>
      </c>
      <c r="I327" s="517"/>
      <c r="J327" s="520">
        <v>0</v>
      </c>
      <c r="K327" s="520">
        <v>0</v>
      </c>
      <c r="L327" s="520">
        <v>0</v>
      </c>
      <c r="M327" s="517"/>
      <c r="N327" s="542">
        <v>0</v>
      </c>
      <c r="O327" s="543">
        <v>0</v>
      </c>
      <c r="P327" s="543">
        <v>0</v>
      </c>
      <c r="Q327" s="517"/>
      <c r="R327" s="520">
        <v>0</v>
      </c>
      <c r="S327" s="520">
        <v>0</v>
      </c>
      <c r="T327" s="520">
        <v>0</v>
      </c>
      <c r="U327" s="517"/>
      <c r="V327" s="542">
        <v>0</v>
      </c>
      <c r="W327" s="543">
        <v>0</v>
      </c>
    </row>
    <row r="328" spans="1:23" x14ac:dyDescent="0.25">
      <c r="A328">
        <v>323</v>
      </c>
      <c r="B328" t="s">
        <v>357</v>
      </c>
      <c r="C328" t="s">
        <v>18</v>
      </c>
      <c r="D328" t="s">
        <v>20</v>
      </c>
      <c r="F328" s="520">
        <v>12</v>
      </c>
      <c r="G328" s="520">
        <v>411382.92000000004</v>
      </c>
      <c r="H328" s="520">
        <v>360</v>
      </c>
      <c r="I328" s="517"/>
      <c r="J328" s="520">
        <v>0</v>
      </c>
      <c r="K328" s="520">
        <v>0</v>
      </c>
      <c r="L328" s="520">
        <v>0</v>
      </c>
      <c r="M328" s="517"/>
      <c r="N328" s="542">
        <v>12</v>
      </c>
      <c r="O328" s="543">
        <v>411382.92000000004</v>
      </c>
      <c r="P328" s="543">
        <v>360</v>
      </c>
      <c r="Q328" s="517"/>
      <c r="R328" s="520">
        <v>0</v>
      </c>
      <c r="S328" s="520">
        <v>0</v>
      </c>
      <c r="T328" s="520">
        <v>0</v>
      </c>
      <c r="U328" s="517"/>
      <c r="V328" s="542">
        <v>12</v>
      </c>
      <c r="W328" s="543">
        <v>411382.92000000004</v>
      </c>
    </row>
    <row r="329" spans="1:23" x14ac:dyDescent="0.25">
      <c r="A329">
        <v>324</v>
      </c>
      <c r="B329" t="s">
        <v>358</v>
      </c>
      <c r="C329" t="s">
        <v>18</v>
      </c>
      <c r="D329" t="s">
        <v>20</v>
      </c>
      <c r="F329" s="520">
        <v>7</v>
      </c>
      <c r="G329" s="520">
        <v>336321.82</v>
      </c>
      <c r="H329" s="520">
        <v>210</v>
      </c>
      <c r="I329" s="517"/>
      <c r="J329" s="520">
        <v>0</v>
      </c>
      <c r="K329" s="520">
        <v>0</v>
      </c>
      <c r="L329" s="520">
        <v>0</v>
      </c>
      <c r="M329" s="517"/>
      <c r="N329" s="542">
        <v>7</v>
      </c>
      <c r="O329" s="543">
        <v>336321.82</v>
      </c>
      <c r="P329" s="543">
        <v>210</v>
      </c>
      <c r="Q329" s="517"/>
      <c r="R329" s="520">
        <v>0</v>
      </c>
      <c r="S329" s="520">
        <v>0</v>
      </c>
      <c r="T329" s="520">
        <v>0</v>
      </c>
      <c r="U329" s="517"/>
      <c r="V329" s="542">
        <v>7</v>
      </c>
      <c r="W329" s="543">
        <v>336321.82</v>
      </c>
    </row>
    <row r="330" spans="1:23" x14ac:dyDescent="0.25">
      <c r="A330">
        <v>325</v>
      </c>
      <c r="B330" t="s">
        <v>2233</v>
      </c>
      <c r="C330" t="s">
        <v>18</v>
      </c>
      <c r="D330" t="s">
        <v>20</v>
      </c>
      <c r="F330" s="520">
        <v>8</v>
      </c>
      <c r="G330" s="520">
        <v>950314</v>
      </c>
      <c r="H330" s="520">
        <v>240</v>
      </c>
      <c r="I330" s="517"/>
      <c r="J330" s="520">
        <v>0</v>
      </c>
      <c r="K330" s="520">
        <v>0</v>
      </c>
      <c r="L330" s="520">
        <v>0</v>
      </c>
      <c r="M330" s="517"/>
      <c r="N330" s="542">
        <v>8</v>
      </c>
      <c r="O330" s="543">
        <v>950314</v>
      </c>
      <c r="P330" s="543">
        <v>240</v>
      </c>
      <c r="Q330" s="517"/>
      <c r="R330" s="520">
        <v>0</v>
      </c>
      <c r="S330" s="520">
        <v>0</v>
      </c>
      <c r="T330" s="520">
        <v>0</v>
      </c>
      <c r="U330" s="517"/>
      <c r="V330" s="542">
        <v>8</v>
      </c>
      <c r="W330" s="543">
        <v>950314</v>
      </c>
    </row>
    <row r="331" spans="1:23" x14ac:dyDescent="0.25">
      <c r="A331">
        <v>326</v>
      </c>
      <c r="B331" t="s">
        <v>2234</v>
      </c>
      <c r="C331" t="s">
        <v>18</v>
      </c>
      <c r="D331" t="s">
        <v>20</v>
      </c>
      <c r="F331" s="520">
        <v>26</v>
      </c>
      <c r="G331" s="520">
        <v>1367774.88</v>
      </c>
      <c r="H331" s="520">
        <v>780</v>
      </c>
      <c r="I331" s="517"/>
      <c r="J331" s="520">
        <v>0</v>
      </c>
      <c r="K331" s="520">
        <v>0</v>
      </c>
      <c r="L331" s="520">
        <v>0</v>
      </c>
      <c r="M331" s="517"/>
      <c r="N331" s="542">
        <v>26</v>
      </c>
      <c r="O331" s="543">
        <v>1367774.88</v>
      </c>
      <c r="P331" s="543">
        <v>780</v>
      </c>
      <c r="Q331" s="517"/>
      <c r="R331" s="520">
        <v>0</v>
      </c>
      <c r="S331" s="520">
        <v>0</v>
      </c>
      <c r="T331" s="520">
        <v>0</v>
      </c>
      <c r="U331" s="517"/>
      <c r="V331" s="542">
        <v>26</v>
      </c>
      <c r="W331" s="543">
        <v>1367774.88</v>
      </c>
    </row>
    <row r="332" spans="1:23" x14ac:dyDescent="0.25">
      <c r="A332">
        <v>327</v>
      </c>
      <c r="B332" t="s">
        <v>359</v>
      </c>
      <c r="C332" t="s">
        <v>18</v>
      </c>
      <c r="D332" t="s">
        <v>20</v>
      </c>
      <c r="F332" s="520">
        <v>2</v>
      </c>
      <c r="G332" s="520">
        <v>83067.5</v>
      </c>
      <c r="H332" s="520">
        <v>60</v>
      </c>
      <c r="I332" s="517"/>
      <c r="J332" s="520">
        <v>0</v>
      </c>
      <c r="K332" s="520">
        <v>0</v>
      </c>
      <c r="L332" s="520">
        <v>0</v>
      </c>
      <c r="M332" s="517"/>
      <c r="N332" s="542">
        <v>2</v>
      </c>
      <c r="O332" s="543">
        <v>83067.5</v>
      </c>
      <c r="P332" s="543">
        <v>60</v>
      </c>
      <c r="Q332" s="517"/>
      <c r="R332" s="520">
        <v>0</v>
      </c>
      <c r="S332" s="520">
        <v>0</v>
      </c>
      <c r="T332" s="520">
        <v>0</v>
      </c>
      <c r="U332" s="517"/>
      <c r="V332" s="542">
        <v>2</v>
      </c>
      <c r="W332" s="543">
        <v>83067.5</v>
      </c>
    </row>
    <row r="333" spans="1:23" x14ac:dyDescent="0.25">
      <c r="A333">
        <v>328</v>
      </c>
      <c r="B333" t="s">
        <v>2423</v>
      </c>
      <c r="C333" t="s">
        <v>24</v>
      </c>
      <c r="D333" t="s">
        <v>20</v>
      </c>
      <c r="F333" s="520">
        <v>19</v>
      </c>
      <c r="G333" s="520">
        <v>926712.89</v>
      </c>
      <c r="H333" s="520">
        <v>570</v>
      </c>
      <c r="I333" s="517"/>
      <c r="J333" s="520">
        <v>0</v>
      </c>
      <c r="K333" s="520">
        <v>0</v>
      </c>
      <c r="L333" s="520">
        <v>0</v>
      </c>
      <c r="M333" s="517"/>
      <c r="N333" s="542">
        <v>19</v>
      </c>
      <c r="O333" s="543">
        <v>926712.89</v>
      </c>
      <c r="P333" s="543">
        <v>570</v>
      </c>
      <c r="Q333" s="517"/>
      <c r="R333" s="520">
        <v>0</v>
      </c>
      <c r="S333" s="520">
        <v>0</v>
      </c>
      <c r="T333" s="520">
        <v>0</v>
      </c>
      <c r="U333" s="517"/>
      <c r="V333" s="542">
        <v>19</v>
      </c>
      <c r="W333" s="543">
        <v>926712.89</v>
      </c>
    </row>
    <row r="334" spans="1:23" x14ac:dyDescent="0.25">
      <c r="A334">
        <v>329</v>
      </c>
      <c r="B334" t="s">
        <v>2424</v>
      </c>
      <c r="C334" t="s">
        <v>24</v>
      </c>
      <c r="D334" t="s">
        <v>20</v>
      </c>
      <c r="F334" s="520">
        <v>10</v>
      </c>
      <c r="G334" s="520">
        <v>336912.13</v>
      </c>
      <c r="H334" s="520">
        <v>300</v>
      </c>
      <c r="I334" s="517"/>
      <c r="J334" s="520">
        <v>0</v>
      </c>
      <c r="K334" s="520">
        <v>0</v>
      </c>
      <c r="L334" s="520">
        <v>0</v>
      </c>
      <c r="M334" s="517"/>
      <c r="N334" s="542">
        <v>10</v>
      </c>
      <c r="O334" s="543">
        <v>336912.13</v>
      </c>
      <c r="P334" s="543">
        <v>300</v>
      </c>
      <c r="Q334" s="517"/>
      <c r="R334" s="520">
        <v>0</v>
      </c>
      <c r="S334" s="520">
        <v>0</v>
      </c>
      <c r="T334" s="520">
        <v>0</v>
      </c>
      <c r="U334" s="517"/>
      <c r="V334" s="542">
        <v>10</v>
      </c>
      <c r="W334" s="543">
        <v>336912.13</v>
      </c>
    </row>
    <row r="335" spans="1:23" x14ac:dyDescent="0.25">
      <c r="A335">
        <v>330</v>
      </c>
      <c r="B335" t="s">
        <v>354</v>
      </c>
      <c r="C335" t="s">
        <v>355</v>
      </c>
      <c r="D335" t="s">
        <v>16</v>
      </c>
      <c r="F335" s="520">
        <v>0</v>
      </c>
      <c r="G335" s="520">
        <v>0</v>
      </c>
      <c r="H335" s="520">
        <v>0</v>
      </c>
      <c r="I335" s="517"/>
      <c r="J335" s="520">
        <v>0</v>
      </c>
      <c r="K335" s="520">
        <v>0</v>
      </c>
      <c r="L335" s="520">
        <v>0</v>
      </c>
      <c r="M335" s="517"/>
      <c r="N335" s="542">
        <v>0</v>
      </c>
      <c r="O335" s="543">
        <v>0</v>
      </c>
      <c r="P335" s="543">
        <v>0</v>
      </c>
      <c r="Q335" s="517"/>
      <c r="R335" s="520">
        <v>0</v>
      </c>
      <c r="S335" s="520">
        <v>0</v>
      </c>
      <c r="T335" s="520">
        <v>0</v>
      </c>
      <c r="U335" s="517"/>
      <c r="V335" s="542">
        <v>0</v>
      </c>
      <c r="W335" s="543">
        <v>0</v>
      </c>
    </row>
    <row r="336" spans="1:23" x14ac:dyDescent="0.25">
      <c r="A336">
        <v>331</v>
      </c>
      <c r="B336" t="s">
        <v>360</v>
      </c>
      <c r="C336" t="s">
        <v>25</v>
      </c>
      <c r="D336" t="s">
        <v>16</v>
      </c>
      <c r="F336" s="520">
        <v>0</v>
      </c>
      <c r="G336" s="520">
        <v>0</v>
      </c>
      <c r="H336" s="520">
        <v>0</v>
      </c>
      <c r="I336" s="517"/>
      <c r="J336" s="520">
        <v>0</v>
      </c>
      <c r="K336" s="520">
        <v>0</v>
      </c>
      <c r="L336" s="520">
        <v>0</v>
      </c>
      <c r="M336" s="517"/>
      <c r="N336" s="542">
        <v>0</v>
      </c>
      <c r="O336" s="543">
        <v>0</v>
      </c>
      <c r="P336" s="543">
        <v>0</v>
      </c>
      <c r="Q336" s="517"/>
      <c r="R336" s="520">
        <v>0</v>
      </c>
      <c r="S336" s="520">
        <v>0</v>
      </c>
      <c r="T336" s="520">
        <v>0</v>
      </c>
      <c r="U336" s="517"/>
      <c r="V336" s="542">
        <v>0</v>
      </c>
      <c r="W336" s="543">
        <v>0</v>
      </c>
    </row>
    <row r="337" spans="1:23" x14ac:dyDescent="0.25">
      <c r="A337">
        <v>332</v>
      </c>
      <c r="B337" t="s">
        <v>361</v>
      </c>
      <c r="C337" t="s">
        <v>355</v>
      </c>
      <c r="D337" t="s">
        <v>16</v>
      </c>
      <c r="F337" s="520">
        <v>0</v>
      </c>
      <c r="G337" s="520">
        <v>0</v>
      </c>
      <c r="H337" s="520">
        <v>0</v>
      </c>
      <c r="I337" s="517"/>
      <c r="J337" s="520">
        <v>0</v>
      </c>
      <c r="K337" s="520">
        <v>0</v>
      </c>
      <c r="L337" s="520">
        <v>0</v>
      </c>
      <c r="M337" s="517"/>
      <c r="N337" s="542">
        <v>0</v>
      </c>
      <c r="O337" s="543">
        <v>0</v>
      </c>
      <c r="P337" s="543">
        <v>0</v>
      </c>
      <c r="Q337" s="517"/>
      <c r="R337" s="520">
        <v>0</v>
      </c>
      <c r="S337" s="520">
        <v>0</v>
      </c>
      <c r="T337" s="520">
        <v>0</v>
      </c>
      <c r="U337" s="517"/>
      <c r="V337" s="542">
        <v>0</v>
      </c>
      <c r="W337" s="543">
        <v>0</v>
      </c>
    </row>
    <row r="338" spans="1:23" x14ac:dyDescent="0.25">
      <c r="A338">
        <v>333</v>
      </c>
      <c r="B338" t="s">
        <v>362</v>
      </c>
      <c r="C338" t="s">
        <v>15</v>
      </c>
      <c r="D338" t="s">
        <v>45</v>
      </c>
      <c r="F338" s="520">
        <v>16</v>
      </c>
      <c r="G338" s="520">
        <v>263455</v>
      </c>
      <c r="H338" s="520">
        <v>475</v>
      </c>
      <c r="I338" s="517"/>
      <c r="J338" s="520">
        <v>0</v>
      </c>
      <c r="K338" s="520">
        <v>0</v>
      </c>
      <c r="L338" s="520">
        <v>0</v>
      </c>
      <c r="M338" s="517"/>
      <c r="N338" s="542">
        <v>16</v>
      </c>
      <c r="O338" s="543">
        <v>263455</v>
      </c>
      <c r="P338" s="543">
        <v>475</v>
      </c>
      <c r="Q338" s="517"/>
      <c r="R338" s="520">
        <v>0</v>
      </c>
      <c r="S338" s="520">
        <v>0</v>
      </c>
      <c r="T338" s="520">
        <v>0</v>
      </c>
      <c r="U338" s="517"/>
      <c r="V338" s="542">
        <v>16</v>
      </c>
      <c r="W338" s="543">
        <v>263455</v>
      </c>
    </row>
    <row r="339" spans="1:23" x14ac:dyDescent="0.25">
      <c r="A339">
        <v>334</v>
      </c>
      <c r="B339" t="s">
        <v>363</v>
      </c>
      <c r="C339" t="s">
        <v>15</v>
      </c>
      <c r="D339" t="s">
        <v>45</v>
      </c>
      <c r="F339" s="520">
        <v>0</v>
      </c>
      <c r="G339" s="520">
        <v>0</v>
      </c>
      <c r="H339" s="520">
        <v>0</v>
      </c>
      <c r="I339" s="517"/>
      <c r="J339" s="520">
        <v>0</v>
      </c>
      <c r="K339" s="520">
        <v>0</v>
      </c>
      <c r="L339" s="520">
        <v>0</v>
      </c>
      <c r="M339" s="517"/>
      <c r="N339" s="542">
        <v>0</v>
      </c>
      <c r="O339" s="543">
        <v>0</v>
      </c>
      <c r="P339" s="543">
        <v>0</v>
      </c>
      <c r="Q339" s="517"/>
      <c r="R339" s="520">
        <v>0</v>
      </c>
      <c r="S339" s="520">
        <v>0</v>
      </c>
      <c r="T339" s="520">
        <v>0</v>
      </c>
      <c r="U339" s="517"/>
      <c r="V339" s="542">
        <v>0</v>
      </c>
      <c r="W339" s="543">
        <v>0</v>
      </c>
    </row>
    <row r="340" spans="1:23" x14ac:dyDescent="0.25">
      <c r="A340">
        <v>335</v>
      </c>
      <c r="B340" t="s">
        <v>364</v>
      </c>
      <c r="C340" t="s">
        <v>25</v>
      </c>
      <c r="D340" t="s">
        <v>16</v>
      </c>
      <c r="F340" s="520">
        <v>0</v>
      </c>
      <c r="G340" s="520">
        <v>0</v>
      </c>
      <c r="H340" s="520">
        <v>0</v>
      </c>
      <c r="I340" s="517"/>
      <c r="J340" s="520">
        <v>0</v>
      </c>
      <c r="K340" s="520">
        <v>0</v>
      </c>
      <c r="L340" s="520">
        <v>0</v>
      </c>
      <c r="M340" s="517"/>
      <c r="N340" s="542">
        <v>0</v>
      </c>
      <c r="O340" s="543">
        <v>0</v>
      </c>
      <c r="P340" s="543">
        <v>0</v>
      </c>
      <c r="Q340" s="517"/>
      <c r="R340" s="520">
        <v>0</v>
      </c>
      <c r="S340" s="520">
        <v>0</v>
      </c>
      <c r="T340" s="520">
        <v>0</v>
      </c>
      <c r="U340" s="517"/>
      <c r="V340" s="542">
        <v>0</v>
      </c>
      <c r="W340" s="543">
        <v>0</v>
      </c>
    </row>
    <row r="341" spans="1:23" x14ac:dyDescent="0.25">
      <c r="A341">
        <v>336</v>
      </c>
      <c r="B341" t="s">
        <v>365</v>
      </c>
      <c r="C341" t="s">
        <v>366</v>
      </c>
      <c r="D341" t="s">
        <v>16</v>
      </c>
      <c r="F341" s="520">
        <v>2</v>
      </c>
      <c r="G341" s="520">
        <v>15000</v>
      </c>
      <c r="H341" s="520">
        <v>45</v>
      </c>
      <c r="I341" s="517"/>
      <c r="J341" s="520">
        <v>0</v>
      </c>
      <c r="K341" s="520">
        <v>0</v>
      </c>
      <c r="L341" s="520">
        <v>0</v>
      </c>
      <c r="M341" s="517"/>
      <c r="N341" s="542">
        <v>2</v>
      </c>
      <c r="O341" s="543">
        <v>15000</v>
      </c>
      <c r="P341" s="543">
        <v>45</v>
      </c>
      <c r="Q341" s="517"/>
      <c r="R341" s="520">
        <v>0</v>
      </c>
      <c r="S341" s="520">
        <v>0</v>
      </c>
      <c r="T341" s="520">
        <v>0</v>
      </c>
      <c r="U341" s="517"/>
      <c r="V341" s="542">
        <v>2</v>
      </c>
      <c r="W341" s="543">
        <v>15000</v>
      </c>
    </row>
    <row r="342" spans="1:23" x14ac:dyDescent="0.25">
      <c r="A342">
        <v>337</v>
      </c>
      <c r="B342" t="s">
        <v>367</v>
      </c>
      <c r="C342" t="s">
        <v>51</v>
      </c>
      <c r="D342" t="s">
        <v>16</v>
      </c>
      <c r="F342" s="520">
        <v>9</v>
      </c>
      <c r="G342" s="520">
        <v>547940</v>
      </c>
      <c r="H342" s="520">
        <v>1250</v>
      </c>
      <c r="I342" s="517"/>
      <c r="J342" s="520">
        <v>0</v>
      </c>
      <c r="K342" s="520">
        <v>0</v>
      </c>
      <c r="L342" s="520">
        <v>0</v>
      </c>
      <c r="M342" s="517"/>
      <c r="N342" s="542">
        <v>9</v>
      </c>
      <c r="O342" s="543">
        <v>547940</v>
      </c>
      <c r="P342" s="543">
        <v>1250</v>
      </c>
      <c r="Q342" s="517"/>
      <c r="R342" s="520">
        <v>0</v>
      </c>
      <c r="S342" s="520">
        <v>0</v>
      </c>
      <c r="T342" s="520">
        <v>0</v>
      </c>
      <c r="U342" s="517"/>
      <c r="V342" s="542">
        <v>9</v>
      </c>
      <c r="W342" s="543">
        <v>547940</v>
      </c>
    </row>
    <row r="343" spans="1:23" x14ac:dyDescent="0.25">
      <c r="A343">
        <v>338</v>
      </c>
      <c r="B343" t="s">
        <v>368</v>
      </c>
      <c r="C343" t="s">
        <v>25</v>
      </c>
      <c r="D343" t="s">
        <v>369</v>
      </c>
      <c r="F343" s="520">
        <v>214</v>
      </c>
      <c r="G343" s="520">
        <v>414952.88999999996</v>
      </c>
      <c r="H343" s="520">
        <v>1926</v>
      </c>
      <c r="I343" s="517"/>
      <c r="J343" s="520">
        <v>0</v>
      </c>
      <c r="K343" s="520">
        <v>0</v>
      </c>
      <c r="L343" s="520">
        <v>0</v>
      </c>
      <c r="M343" s="517"/>
      <c r="N343" s="542">
        <v>214</v>
      </c>
      <c r="O343" s="543">
        <v>414952.88999999996</v>
      </c>
      <c r="P343" s="543">
        <v>1926</v>
      </c>
      <c r="Q343" s="517"/>
      <c r="R343" s="520">
        <v>0</v>
      </c>
      <c r="S343" s="520">
        <v>0</v>
      </c>
      <c r="T343" s="520">
        <v>0</v>
      </c>
      <c r="U343" s="517"/>
      <c r="V343" s="542">
        <v>214</v>
      </c>
      <c r="W343" s="543">
        <v>414952.88999999996</v>
      </c>
    </row>
    <row r="344" spans="1:23" x14ac:dyDescent="0.25">
      <c r="A344">
        <v>339</v>
      </c>
      <c r="B344" t="s">
        <v>370</v>
      </c>
      <c r="D344" t="s">
        <v>43</v>
      </c>
      <c r="F344" s="520">
        <v>0</v>
      </c>
      <c r="G344" s="520">
        <v>0</v>
      </c>
      <c r="H344" s="520">
        <v>0</v>
      </c>
      <c r="I344" s="517"/>
      <c r="J344" s="520">
        <v>0</v>
      </c>
      <c r="K344" s="520">
        <v>0</v>
      </c>
      <c r="L344" s="520">
        <v>0</v>
      </c>
      <c r="M344" s="517"/>
      <c r="N344" s="542">
        <v>0</v>
      </c>
      <c r="O344" s="543">
        <v>0</v>
      </c>
      <c r="P344" s="543">
        <v>0</v>
      </c>
      <c r="Q344" s="517"/>
      <c r="R344" s="520">
        <v>0</v>
      </c>
      <c r="S344" s="520">
        <v>0</v>
      </c>
      <c r="T344" s="520">
        <v>0</v>
      </c>
      <c r="U344" s="517"/>
      <c r="V344" s="542">
        <v>0</v>
      </c>
      <c r="W344" s="543">
        <v>0</v>
      </c>
    </row>
    <row r="345" spans="1:23" x14ac:dyDescent="0.25">
      <c r="A345">
        <v>340</v>
      </c>
      <c r="B345" t="s">
        <v>371</v>
      </c>
      <c r="C345" t="s">
        <v>136</v>
      </c>
      <c r="D345" t="s">
        <v>87</v>
      </c>
      <c r="F345" s="520">
        <v>372</v>
      </c>
      <c r="G345" s="520">
        <v>6027558.5799999991</v>
      </c>
      <c r="H345" s="520">
        <v>14960</v>
      </c>
      <c r="I345" s="517"/>
      <c r="J345" s="520">
        <v>0</v>
      </c>
      <c r="K345" s="520">
        <v>0</v>
      </c>
      <c r="L345" s="520">
        <v>0</v>
      </c>
      <c r="M345" s="517"/>
      <c r="N345" s="542">
        <v>372</v>
      </c>
      <c r="O345" s="543">
        <v>6027558.5799999991</v>
      </c>
      <c r="P345" s="543">
        <v>14960</v>
      </c>
      <c r="Q345" s="517"/>
      <c r="R345" s="520">
        <v>0</v>
      </c>
      <c r="S345" s="520">
        <v>0</v>
      </c>
      <c r="T345" s="520">
        <v>0</v>
      </c>
      <c r="U345" s="517"/>
      <c r="V345" s="542">
        <v>372</v>
      </c>
      <c r="W345" s="543">
        <v>6027558.5799999991</v>
      </c>
    </row>
    <row r="346" spans="1:23" x14ac:dyDescent="0.25">
      <c r="A346">
        <v>341</v>
      </c>
      <c r="B346" t="s">
        <v>372</v>
      </c>
      <c r="C346" t="s">
        <v>24</v>
      </c>
      <c r="D346" t="s">
        <v>16</v>
      </c>
      <c r="F346" s="520">
        <v>24</v>
      </c>
      <c r="G346" s="520">
        <v>1855869.72</v>
      </c>
      <c r="H346" s="520">
        <v>925</v>
      </c>
      <c r="I346" s="517"/>
      <c r="J346" s="520">
        <v>0</v>
      </c>
      <c r="K346" s="520">
        <v>0</v>
      </c>
      <c r="L346" s="520">
        <v>0</v>
      </c>
      <c r="M346" s="517"/>
      <c r="N346" s="542">
        <v>24</v>
      </c>
      <c r="O346" s="543">
        <v>1855869.72</v>
      </c>
      <c r="P346" s="543">
        <v>925</v>
      </c>
      <c r="Q346" s="517"/>
      <c r="R346" s="520">
        <v>0</v>
      </c>
      <c r="S346" s="520">
        <v>0</v>
      </c>
      <c r="T346" s="520">
        <v>0</v>
      </c>
      <c r="U346" s="517"/>
      <c r="V346" s="542">
        <v>24</v>
      </c>
      <c r="W346" s="543">
        <v>1855869.72</v>
      </c>
    </row>
    <row r="347" spans="1:23" x14ac:dyDescent="0.25">
      <c r="A347">
        <v>342</v>
      </c>
      <c r="B347" t="s">
        <v>373</v>
      </c>
      <c r="C347" t="s">
        <v>366</v>
      </c>
      <c r="D347" t="s">
        <v>16</v>
      </c>
      <c r="F347" s="520">
        <v>1</v>
      </c>
      <c r="G347" s="520">
        <v>8000</v>
      </c>
      <c r="H347" s="520">
        <v>15</v>
      </c>
      <c r="I347" s="517"/>
      <c r="J347" s="520">
        <v>0</v>
      </c>
      <c r="K347" s="520">
        <v>0</v>
      </c>
      <c r="L347" s="520">
        <v>0</v>
      </c>
      <c r="M347" s="517"/>
      <c r="N347" s="542">
        <v>1</v>
      </c>
      <c r="O347" s="543">
        <v>8000</v>
      </c>
      <c r="P347" s="543">
        <v>15</v>
      </c>
      <c r="Q347" s="517"/>
      <c r="R347" s="520">
        <v>0</v>
      </c>
      <c r="S347" s="520">
        <v>0</v>
      </c>
      <c r="T347" s="520">
        <v>0</v>
      </c>
      <c r="U347" s="517"/>
      <c r="V347" s="542">
        <v>1</v>
      </c>
      <c r="W347" s="543">
        <v>8000</v>
      </c>
    </row>
    <row r="348" spans="1:23" x14ac:dyDescent="0.25">
      <c r="A348">
        <v>343</v>
      </c>
      <c r="B348" t="s">
        <v>374</v>
      </c>
      <c r="C348" t="s">
        <v>15</v>
      </c>
      <c r="D348" t="s">
        <v>20</v>
      </c>
      <c r="F348" s="520">
        <v>0</v>
      </c>
      <c r="G348" s="520">
        <v>0</v>
      </c>
      <c r="H348" s="520">
        <v>0</v>
      </c>
      <c r="I348" s="517"/>
      <c r="J348" s="520">
        <v>0</v>
      </c>
      <c r="K348" s="520">
        <v>0</v>
      </c>
      <c r="L348" s="520">
        <v>0</v>
      </c>
      <c r="M348" s="517"/>
      <c r="N348" s="542">
        <v>0</v>
      </c>
      <c r="O348" s="543">
        <v>0</v>
      </c>
      <c r="P348" s="543">
        <v>0</v>
      </c>
      <c r="Q348" s="517"/>
      <c r="R348" s="520">
        <v>0</v>
      </c>
      <c r="S348" s="520">
        <v>0</v>
      </c>
      <c r="T348" s="520">
        <v>0</v>
      </c>
      <c r="U348" s="517"/>
      <c r="V348" s="542">
        <v>0</v>
      </c>
      <c r="W348" s="543">
        <v>0</v>
      </c>
    </row>
    <row r="349" spans="1:23" x14ac:dyDescent="0.25">
      <c r="A349">
        <v>344</v>
      </c>
      <c r="B349" t="s">
        <v>2986</v>
      </c>
      <c r="C349" t="s">
        <v>355</v>
      </c>
      <c r="D349" t="s">
        <v>16</v>
      </c>
      <c r="F349" s="520">
        <v>0</v>
      </c>
      <c r="G349" s="520">
        <v>0</v>
      </c>
      <c r="H349" s="520">
        <v>0</v>
      </c>
      <c r="I349" s="517"/>
      <c r="J349" s="520">
        <v>0</v>
      </c>
      <c r="K349" s="520">
        <v>0</v>
      </c>
      <c r="L349" s="520">
        <v>0</v>
      </c>
      <c r="M349" s="517"/>
      <c r="N349" s="542">
        <v>0</v>
      </c>
      <c r="O349" s="543">
        <v>0</v>
      </c>
      <c r="P349" s="543">
        <v>0</v>
      </c>
      <c r="Q349" s="517"/>
      <c r="R349" s="520">
        <v>0</v>
      </c>
      <c r="S349" s="520">
        <v>0</v>
      </c>
      <c r="T349" s="520">
        <v>0</v>
      </c>
      <c r="U349" s="517"/>
      <c r="V349" s="542">
        <v>0</v>
      </c>
      <c r="W349" s="543">
        <v>0</v>
      </c>
    </row>
    <row r="350" spans="1:23" x14ac:dyDescent="0.25">
      <c r="A350">
        <v>345</v>
      </c>
      <c r="B350" t="s">
        <v>375</v>
      </c>
      <c r="C350" t="s">
        <v>108</v>
      </c>
      <c r="D350" t="s">
        <v>16</v>
      </c>
      <c r="F350" s="520">
        <v>0</v>
      </c>
      <c r="G350" s="520">
        <v>0</v>
      </c>
      <c r="H350" s="520">
        <v>0</v>
      </c>
      <c r="I350" s="517"/>
      <c r="J350" s="520">
        <v>0</v>
      </c>
      <c r="K350" s="520">
        <v>0</v>
      </c>
      <c r="L350" s="520">
        <v>0</v>
      </c>
      <c r="M350" s="517"/>
      <c r="N350" s="542">
        <v>0</v>
      </c>
      <c r="O350" s="543">
        <v>0</v>
      </c>
      <c r="P350" s="543">
        <v>0</v>
      </c>
      <c r="Q350" s="517"/>
      <c r="R350" s="520">
        <v>0</v>
      </c>
      <c r="S350" s="520">
        <v>0</v>
      </c>
      <c r="T350" s="520">
        <v>0</v>
      </c>
      <c r="U350" s="517"/>
      <c r="V350" s="542">
        <v>0</v>
      </c>
      <c r="W350" s="543">
        <v>0</v>
      </c>
    </row>
    <row r="351" spans="1:23" x14ac:dyDescent="0.25">
      <c r="A351">
        <v>346</v>
      </c>
      <c r="B351" t="s">
        <v>376</v>
      </c>
      <c r="D351" t="s">
        <v>16</v>
      </c>
      <c r="F351" s="520">
        <v>30</v>
      </c>
      <c r="G351" s="520">
        <v>18236.310000000001</v>
      </c>
      <c r="H351" s="520">
        <v>300</v>
      </c>
      <c r="I351" s="517"/>
      <c r="J351" s="520">
        <v>0</v>
      </c>
      <c r="K351" s="520">
        <v>0</v>
      </c>
      <c r="L351" s="520">
        <v>0</v>
      </c>
      <c r="M351" s="517"/>
      <c r="N351" s="542">
        <v>30</v>
      </c>
      <c r="O351" s="543">
        <v>18236.310000000001</v>
      </c>
      <c r="P351" s="543">
        <v>300</v>
      </c>
      <c r="Q351" s="517"/>
      <c r="R351" s="520">
        <v>0</v>
      </c>
      <c r="S351" s="520">
        <v>0</v>
      </c>
      <c r="T351" s="520">
        <v>0</v>
      </c>
      <c r="U351" s="517"/>
      <c r="V351" s="542">
        <v>30</v>
      </c>
      <c r="W351" s="543">
        <v>18236.310000000001</v>
      </c>
    </row>
    <row r="352" spans="1:23" x14ac:dyDescent="0.25">
      <c r="A352">
        <v>347</v>
      </c>
      <c r="B352" t="s">
        <v>377</v>
      </c>
      <c r="C352" t="s">
        <v>15</v>
      </c>
      <c r="D352" t="s">
        <v>16</v>
      </c>
      <c r="F352" s="520">
        <v>19</v>
      </c>
      <c r="G352" s="520">
        <v>24144.53</v>
      </c>
      <c r="H352" s="520">
        <v>190</v>
      </c>
      <c r="I352" s="517"/>
      <c r="J352" s="520">
        <v>0</v>
      </c>
      <c r="K352" s="520">
        <v>0</v>
      </c>
      <c r="L352" s="520">
        <v>0</v>
      </c>
      <c r="M352" s="517"/>
      <c r="N352" s="542">
        <v>19</v>
      </c>
      <c r="O352" s="543">
        <v>24144.53</v>
      </c>
      <c r="P352" s="543">
        <v>190</v>
      </c>
      <c r="Q352" s="517"/>
      <c r="R352" s="520">
        <v>0</v>
      </c>
      <c r="S352" s="520">
        <v>0</v>
      </c>
      <c r="T352" s="520">
        <v>0</v>
      </c>
      <c r="U352" s="517"/>
      <c r="V352" s="542">
        <v>19</v>
      </c>
      <c r="W352" s="543">
        <v>24144.53</v>
      </c>
    </row>
    <row r="353" spans="1:23" x14ac:dyDescent="0.25">
      <c r="A353">
        <v>348</v>
      </c>
      <c r="B353" t="s">
        <v>378</v>
      </c>
      <c r="D353" t="s">
        <v>16</v>
      </c>
      <c r="F353" s="520">
        <v>25</v>
      </c>
      <c r="G353" s="520">
        <v>13211.369999999999</v>
      </c>
      <c r="H353" s="520">
        <v>250</v>
      </c>
      <c r="I353" s="517"/>
      <c r="J353" s="520">
        <v>0</v>
      </c>
      <c r="K353" s="520">
        <v>0</v>
      </c>
      <c r="L353" s="520">
        <v>0</v>
      </c>
      <c r="M353" s="517"/>
      <c r="N353" s="542">
        <v>25</v>
      </c>
      <c r="O353" s="543">
        <v>13211.369999999999</v>
      </c>
      <c r="P353" s="543">
        <v>250</v>
      </c>
      <c r="Q353" s="517"/>
      <c r="R353" s="520">
        <v>0</v>
      </c>
      <c r="S353" s="520">
        <v>0</v>
      </c>
      <c r="T353" s="520">
        <v>0</v>
      </c>
      <c r="U353" s="517"/>
      <c r="V353" s="542">
        <v>25</v>
      </c>
      <c r="W353" s="543">
        <v>13211.369999999999</v>
      </c>
    </row>
    <row r="354" spans="1:23" x14ac:dyDescent="0.25">
      <c r="A354">
        <v>349</v>
      </c>
      <c r="B354" t="s">
        <v>379</v>
      </c>
      <c r="C354" t="s">
        <v>24</v>
      </c>
      <c r="D354" t="s">
        <v>16</v>
      </c>
      <c r="F354" s="520">
        <v>3</v>
      </c>
      <c r="G354" s="520">
        <v>11658</v>
      </c>
      <c r="H354" s="520">
        <v>300</v>
      </c>
      <c r="I354" s="517"/>
      <c r="J354" s="520">
        <v>0</v>
      </c>
      <c r="K354" s="520">
        <v>0</v>
      </c>
      <c r="L354" s="520">
        <v>0</v>
      </c>
      <c r="M354" s="517"/>
      <c r="N354" s="542">
        <v>3</v>
      </c>
      <c r="O354" s="543">
        <v>11658</v>
      </c>
      <c r="P354" s="543">
        <v>300</v>
      </c>
      <c r="Q354" s="517"/>
      <c r="R354" s="520">
        <v>0</v>
      </c>
      <c r="S354" s="520">
        <v>0</v>
      </c>
      <c r="T354" s="520">
        <v>0</v>
      </c>
      <c r="U354" s="517"/>
      <c r="V354" s="542">
        <v>3</v>
      </c>
      <c r="W354" s="543">
        <v>11658</v>
      </c>
    </row>
    <row r="355" spans="1:23" x14ac:dyDescent="0.25">
      <c r="A355">
        <v>350</v>
      </c>
      <c r="B355" t="s">
        <v>3304</v>
      </c>
      <c r="C355" t="s">
        <v>22</v>
      </c>
      <c r="D355" t="s">
        <v>20</v>
      </c>
      <c r="F355" s="520">
        <v>0</v>
      </c>
      <c r="G355" s="520">
        <v>0</v>
      </c>
      <c r="H355" s="520">
        <v>0</v>
      </c>
      <c r="I355" s="517"/>
      <c r="J355" s="520">
        <v>0</v>
      </c>
      <c r="K355" s="520">
        <v>0</v>
      </c>
      <c r="L355" s="520">
        <v>0</v>
      </c>
      <c r="M355" s="517"/>
      <c r="N355" s="542">
        <v>0</v>
      </c>
      <c r="O355" s="543">
        <v>0</v>
      </c>
      <c r="P355" s="543">
        <v>0</v>
      </c>
      <c r="Q355" s="517"/>
      <c r="R355" s="520">
        <v>0</v>
      </c>
      <c r="S355" s="520">
        <v>0</v>
      </c>
      <c r="T355" s="520">
        <v>0</v>
      </c>
      <c r="U355" s="517"/>
      <c r="V355" s="542">
        <v>0</v>
      </c>
      <c r="W355" s="543">
        <v>0</v>
      </c>
    </row>
    <row r="356" spans="1:23" x14ac:dyDescent="0.25">
      <c r="A356">
        <v>351</v>
      </c>
      <c r="B356" t="s">
        <v>3227</v>
      </c>
      <c r="C356" t="s">
        <v>3228</v>
      </c>
      <c r="D356" t="s">
        <v>380</v>
      </c>
      <c r="F356" s="520">
        <v>0</v>
      </c>
      <c r="G356" s="520">
        <v>0</v>
      </c>
      <c r="H356" s="520">
        <v>0</v>
      </c>
      <c r="I356" s="517"/>
      <c r="J356" s="520">
        <v>0</v>
      </c>
      <c r="K356" s="520">
        <v>0</v>
      </c>
      <c r="L356" s="520">
        <v>0</v>
      </c>
      <c r="M356" s="517"/>
      <c r="N356" s="542">
        <v>0</v>
      </c>
      <c r="O356" s="543">
        <v>0</v>
      </c>
      <c r="P356" s="543">
        <v>0</v>
      </c>
      <c r="Q356" s="517"/>
      <c r="R356" s="520">
        <v>0</v>
      </c>
      <c r="S356" s="520">
        <v>0</v>
      </c>
      <c r="T356" s="520">
        <v>0</v>
      </c>
      <c r="U356" s="517"/>
      <c r="V356" s="542">
        <v>0</v>
      </c>
      <c r="W356" s="543">
        <v>0</v>
      </c>
    </row>
    <row r="357" spans="1:23" x14ac:dyDescent="0.25">
      <c r="A357">
        <v>352</v>
      </c>
      <c r="B357" t="s">
        <v>381</v>
      </c>
      <c r="D357" t="s">
        <v>20</v>
      </c>
      <c r="F357" s="520">
        <v>1097</v>
      </c>
      <c r="G357" s="520">
        <v>953940.42999999993</v>
      </c>
      <c r="H357" s="520">
        <v>5500</v>
      </c>
      <c r="I357" s="517"/>
      <c r="J357" s="520">
        <v>0</v>
      </c>
      <c r="K357" s="520">
        <v>0</v>
      </c>
      <c r="L357" s="520">
        <v>0</v>
      </c>
      <c r="M357" s="517"/>
      <c r="N357" s="542">
        <v>1097</v>
      </c>
      <c r="O357" s="543">
        <v>953940.42999999993</v>
      </c>
      <c r="P357" s="543">
        <v>5500</v>
      </c>
      <c r="Q357" s="517"/>
      <c r="R357" s="520">
        <v>0</v>
      </c>
      <c r="S357" s="520">
        <v>0</v>
      </c>
      <c r="T357" s="520">
        <v>0</v>
      </c>
      <c r="U357" s="517"/>
      <c r="V357" s="542">
        <v>1097</v>
      </c>
      <c r="W357" s="543">
        <v>953940.42999999993</v>
      </c>
    </row>
    <row r="358" spans="1:23" x14ac:dyDescent="0.25">
      <c r="A358">
        <v>353</v>
      </c>
      <c r="B358" t="s">
        <v>382</v>
      </c>
      <c r="C358" t="s">
        <v>25</v>
      </c>
      <c r="D358" t="s">
        <v>369</v>
      </c>
      <c r="F358" s="520">
        <v>110</v>
      </c>
      <c r="G358" s="520">
        <v>653453</v>
      </c>
      <c r="H358" s="520">
        <v>3300</v>
      </c>
      <c r="I358" s="517"/>
      <c r="J358" s="520">
        <v>0</v>
      </c>
      <c r="K358" s="520">
        <v>0</v>
      </c>
      <c r="L358" s="520">
        <v>0</v>
      </c>
      <c r="M358" s="517"/>
      <c r="N358" s="542">
        <v>110</v>
      </c>
      <c r="O358" s="543">
        <v>653453</v>
      </c>
      <c r="P358" s="543">
        <v>3300</v>
      </c>
      <c r="Q358" s="517"/>
      <c r="R358" s="520">
        <v>0</v>
      </c>
      <c r="S358" s="520">
        <v>0</v>
      </c>
      <c r="T358" s="520">
        <v>0</v>
      </c>
      <c r="U358" s="517"/>
      <c r="V358" s="542">
        <v>110</v>
      </c>
      <c r="W358" s="543">
        <v>653453</v>
      </c>
    </row>
    <row r="359" spans="1:23" x14ac:dyDescent="0.25">
      <c r="A359">
        <v>354</v>
      </c>
      <c r="B359" t="s">
        <v>383</v>
      </c>
      <c r="C359" t="s">
        <v>25</v>
      </c>
      <c r="D359" t="s">
        <v>45</v>
      </c>
      <c r="F359" s="520">
        <v>0</v>
      </c>
      <c r="G359" s="520">
        <v>0</v>
      </c>
      <c r="H359" s="520">
        <v>0</v>
      </c>
      <c r="I359" s="517"/>
      <c r="J359" s="520">
        <v>0</v>
      </c>
      <c r="K359" s="520">
        <v>0</v>
      </c>
      <c r="L359" s="520">
        <v>0</v>
      </c>
      <c r="M359" s="517"/>
      <c r="N359" s="542">
        <v>0</v>
      </c>
      <c r="O359" s="543">
        <v>0</v>
      </c>
      <c r="P359" s="543">
        <v>0</v>
      </c>
      <c r="Q359" s="517"/>
      <c r="R359" s="520">
        <v>0</v>
      </c>
      <c r="S359" s="520">
        <v>0</v>
      </c>
      <c r="T359" s="520">
        <v>0</v>
      </c>
      <c r="U359" s="517"/>
      <c r="V359" s="542">
        <v>0</v>
      </c>
      <c r="W359" s="543">
        <v>0</v>
      </c>
    </row>
    <row r="360" spans="1:23" x14ac:dyDescent="0.25">
      <c r="A360">
        <v>355</v>
      </c>
      <c r="B360" t="s">
        <v>384</v>
      </c>
      <c r="C360" t="s">
        <v>15</v>
      </c>
      <c r="D360" t="s">
        <v>45</v>
      </c>
      <c r="F360" s="520">
        <v>28</v>
      </c>
      <c r="G360" s="520">
        <v>1665474.5499999998</v>
      </c>
      <c r="H360" s="520">
        <v>2250</v>
      </c>
      <c r="I360" s="517"/>
      <c r="J360" s="520">
        <v>0</v>
      </c>
      <c r="K360" s="520">
        <v>0</v>
      </c>
      <c r="L360" s="520">
        <v>0</v>
      </c>
      <c r="M360" s="517"/>
      <c r="N360" s="542">
        <v>28</v>
      </c>
      <c r="O360" s="543">
        <v>1665474.5499999998</v>
      </c>
      <c r="P360" s="543">
        <v>2250</v>
      </c>
      <c r="Q360" s="517"/>
      <c r="R360" s="520">
        <v>0</v>
      </c>
      <c r="S360" s="520">
        <v>0</v>
      </c>
      <c r="T360" s="520">
        <v>0</v>
      </c>
      <c r="U360" s="517"/>
      <c r="V360" s="542">
        <v>28</v>
      </c>
      <c r="W360" s="543">
        <v>1665474.5499999998</v>
      </c>
    </row>
    <row r="361" spans="1:23" x14ac:dyDescent="0.25">
      <c r="A361">
        <v>356</v>
      </c>
      <c r="B361" t="s">
        <v>385</v>
      </c>
      <c r="C361" t="s">
        <v>78</v>
      </c>
      <c r="D361" t="s">
        <v>20</v>
      </c>
      <c r="F361" s="520">
        <v>0</v>
      </c>
      <c r="G361" s="520">
        <v>0</v>
      </c>
      <c r="H361" s="520">
        <v>0</v>
      </c>
      <c r="I361" s="517"/>
      <c r="J361" s="520">
        <v>0</v>
      </c>
      <c r="K361" s="520">
        <v>0</v>
      </c>
      <c r="L361" s="520">
        <v>0</v>
      </c>
      <c r="M361" s="517"/>
      <c r="N361" s="542">
        <v>0</v>
      </c>
      <c r="O361" s="543">
        <v>0</v>
      </c>
      <c r="P361" s="543">
        <v>0</v>
      </c>
      <c r="Q361" s="517"/>
      <c r="R361" s="520">
        <v>0</v>
      </c>
      <c r="S361" s="520">
        <v>0</v>
      </c>
      <c r="T361" s="520">
        <v>0</v>
      </c>
      <c r="U361" s="517"/>
      <c r="V361" s="542">
        <v>0</v>
      </c>
      <c r="W361" s="543">
        <v>0</v>
      </c>
    </row>
    <row r="362" spans="1:23" x14ac:dyDescent="0.25">
      <c r="A362">
        <v>357</v>
      </c>
      <c r="B362" t="s">
        <v>386</v>
      </c>
      <c r="C362" t="s">
        <v>18</v>
      </c>
      <c r="D362" t="s">
        <v>20</v>
      </c>
      <c r="F362" s="520">
        <v>0</v>
      </c>
      <c r="G362" s="520">
        <v>0</v>
      </c>
      <c r="H362" s="520">
        <v>0</v>
      </c>
      <c r="I362" s="517"/>
      <c r="J362" s="520">
        <v>0</v>
      </c>
      <c r="K362" s="520">
        <v>0</v>
      </c>
      <c r="L362" s="520">
        <v>0</v>
      </c>
      <c r="M362" s="517"/>
      <c r="N362" s="542">
        <v>0</v>
      </c>
      <c r="O362" s="543">
        <v>0</v>
      </c>
      <c r="P362" s="543">
        <v>0</v>
      </c>
      <c r="Q362" s="517"/>
      <c r="R362" s="520">
        <v>0</v>
      </c>
      <c r="S362" s="520">
        <v>0</v>
      </c>
      <c r="T362" s="520">
        <v>0</v>
      </c>
      <c r="U362" s="517"/>
      <c r="V362" s="542">
        <v>0</v>
      </c>
      <c r="W362" s="543">
        <v>0</v>
      </c>
    </row>
    <row r="363" spans="1:23" x14ac:dyDescent="0.25">
      <c r="A363">
        <v>358</v>
      </c>
      <c r="B363" t="s">
        <v>387</v>
      </c>
      <c r="C363" t="s">
        <v>18</v>
      </c>
      <c r="D363" t="s">
        <v>20</v>
      </c>
      <c r="F363" s="520">
        <v>1</v>
      </c>
      <c r="G363" s="520">
        <v>350</v>
      </c>
      <c r="H363" s="520">
        <v>10</v>
      </c>
      <c r="I363" s="517"/>
      <c r="J363" s="520">
        <v>0</v>
      </c>
      <c r="K363" s="520">
        <v>0</v>
      </c>
      <c r="L363" s="520">
        <v>0</v>
      </c>
      <c r="M363" s="517"/>
      <c r="N363" s="542">
        <v>1</v>
      </c>
      <c r="O363" s="543">
        <v>350</v>
      </c>
      <c r="P363" s="543">
        <v>10</v>
      </c>
      <c r="Q363" s="517"/>
      <c r="R363" s="520">
        <v>0</v>
      </c>
      <c r="S363" s="520">
        <v>0</v>
      </c>
      <c r="T363" s="520">
        <v>0</v>
      </c>
      <c r="U363" s="517"/>
      <c r="V363" s="542">
        <v>1</v>
      </c>
      <c r="W363" s="543">
        <v>350</v>
      </c>
    </row>
    <row r="364" spans="1:23" x14ac:dyDescent="0.25">
      <c r="A364">
        <v>359</v>
      </c>
      <c r="B364" t="s">
        <v>388</v>
      </c>
      <c r="C364" t="s">
        <v>108</v>
      </c>
      <c r="D364" t="s">
        <v>16</v>
      </c>
      <c r="F364" s="520">
        <v>0</v>
      </c>
      <c r="G364" s="520">
        <v>0</v>
      </c>
      <c r="H364" s="520">
        <v>0</v>
      </c>
      <c r="I364" s="517"/>
      <c r="J364" s="520">
        <v>0</v>
      </c>
      <c r="K364" s="520">
        <v>0</v>
      </c>
      <c r="L364" s="520">
        <v>0</v>
      </c>
      <c r="M364" s="517"/>
      <c r="N364" s="542">
        <v>0</v>
      </c>
      <c r="O364" s="543">
        <v>0</v>
      </c>
      <c r="P364" s="543">
        <v>0</v>
      </c>
      <c r="Q364" s="517"/>
      <c r="R364" s="520">
        <v>0</v>
      </c>
      <c r="S364" s="520">
        <v>0</v>
      </c>
      <c r="T364" s="520">
        <v>0</v>
      </c>
      <c r="U364" s="517"/>
      <c r="V364" s="542">
        <v>0</v>
      </c>
      <c r="W364" s="543">
        <v>0</v>
      </c>
    </row>
    <row r="365" spans="1:23" x14ac:dyDescent="0.25">
      <c r="A365">
        <v>360</v>
      </c>
      <c r="B365" t="s">
        <v>389</v>
      </c>
      <c r="C365" t="s">
        <v>51</v>
      </c>
      <c r="D365" t="s">
        <v>16</v>
      </c>
      <c r="F365" s="520">
        <v>303</v>
      </c>
      <c r="G365" s="520">
        <v>586342.73999999976</v>
      </c>
      <c r="H365" s="520">
        <v>3030</v>
      </c>
      <c r="I365" s="517"/>
      <c r="J365" s="520">
        <v>0</v>
      </c>
      <c r="K365" s="520">
        <v>0</v>
      </c>
      <c r="L365" s="520">
        <v>0</v>
      </c>
      <c r="M365" s="517"/>
      <c r="N365" s="542">
        <v>303</v>
      </c>
      <c r="O365" s="543">
        <v>586342.73999999976</v>
      </c>
      <c r="P365" s="543">
        <v>3030</v>
      </c>
      <c r="Q365" s="517"/>
      <c r="R365" s="520">
        <v>0</v>
      </c>
      <c r="S365" s="520">
        <v>0</v>
      </c>
      <c r="T365" s="520">
        <v>0</v>
      </c>
      <c r="U365" s="517"/>
      <c r="V365" s="542">
        <v>303</v>
      </c>
      <c r="W365" s="543">
        <v>586342.73999999976</v>
      </c>
    </row>
    <row r="366" spans="1:23" x14ac:dyDescent="0.25">
      <c r="A366">
        <v>361</v>
      </c>
      <c r="B366" t="s">
        <v>390</v>
      </c>
      <c r="C366" t="s">
        <v>15</v>
      </c>
      <c r="D366" t="s">
        <v>16</v>
      </c>
      <c r="F366" s="520">
        <v>0</v>
      </c>
      <c r="G366" s="520">
        <v>0</v>
      </c>
      <c r="H366" s="520">
        <v>0</v>
      </c>
      <c r="I366" s="517"/>
      <c r="J366" s="520">
        <v>0</v>
      </c>
      <c r="K366" s="520">
        <v>0</v>
      </c>
      <c r="L366" s="520">
        <v>0</v>
      </c>
      <c r="M366" s="517"/>
      <c r="N366" s="542">
        <v>0</v>
      </c>
      <c r="O366" s="543">
        <v>0</v>
      </c>
      <c r="P366" s="543">
        <v>0</v>
      </c>
      <c r="Q366" s="517"/>
      <c r="R366" s="520">
        <v>0</v>
      </c>
      <c r="S366" s="520">
        <v>0</v>
      </c>
      <c r="T366" s="520">
        <v>0</v>
      </c>
      <c r="U366" s="517"/>
      <c r="V366" s="542">
        <v>0</v>
      </c>
      <c r="W366" s="543">
        <v>0</v>
      </c>
    </row>
    <row r="367" spans="1:23" x14ac:dyDescent="0.25">
      <c r="A367">
        <v>362</v>
      </c>
      <c r="B367" t="s">
        <v>391</v>
      </c>
      <c r="C367" t="s">
        <v>15</v>
      </c>
      <c r="D367" t="s">
        <v>16</v>
      </c>
      <c r="F367" s="520">
        <v>210</v>
      </c>
      <c r="G367" s="520">
        <v>6072829.1199999992</v>
      </c>
      <c r="H367" s="520">
        <v>7350</v>
      </c>
      <c r="I367" s="517"/>
      <c r="J367" s="520">
        <v>0</v>
      </c>
      <c r="K367" s="520">
        <v>0</v>
      </c>
      <c r="L367" s="520">
        <v>0</v>
      </c>
      <c r="M367" s="517"/>
      <c r="N367" s="542">
        <v>210</v>
      </c>
      <c r="O367" s="543">
        <v>6072829.1199999992</v>
      </c>
      <c r="P367" s="543">
        <v>7350</v>
      </c>
      <c r="Q367" s="517"/>
      <c r="R367" s="520">
        <v>0</v>
      </c>
      <c r="S367" s="520">
        <v>0</v>
      </c>
      <c r="T367" s="520">
        <v>0</v>
      </c>
      <c r="U367" s="517"/>
      <c r="V367" s="542">
        <v>210</v>
      </c>
      <c r="W367" s="543">
        <v>6072829.1199999992</v>
      </c>
    </row>
    <row r="368" spans="1:23" x14ac:dyDescent="0.25">
      <c r="A368">
        <v>363</v>
      </c>
      <c r="B368" t="s">
        <v>392</v>
      </c>
      <c r="D368" t="s">
        <v>40</v>
      </c>
      <c r="F368" s="520">
        <v>0</v>
      </c>
      <c r="G368" s="520">
        <v>0</v>
      </c>
      <c r="H368" s="520">
        <v>0</v>
      </c>
      <c r="I368" s="517"/>
      <c r="J368" s="520">
        <v>0</v>
      </c>
      <c r="K368" s="520">
        <v>0</v>
      </c>
      <c r="L368" s="520">
        <v>0</v>
      </c>
      <c r="M368" s="517"/>
      <c r="N368" s="542">
        <v>0</v>
      </c>
      <c r="O368" s="543">
        <v>0</v>
      </c>
      <c r="P368" s="543">
        <v>0</v>
      </c>
      <c r="Q368" s="517"/>
      <c r="R368" s="520">
        <v>0</v>
      </c>
      <c r="S368" s="520">
        <v>0</v>
      </c>
      <c r="T368" s="520">
        <v>0</v>
      </c>
      <c r="U368" s="517"/>
      <c r="V368" s="542">
        <v>0</v>
      </c>
      <c r="W368" s="543">
        <v>0</v>
      </c>
    </row>
    <row r="369" spans="1:23" x14ac:dyDescent="0.25">
      <c r="A369">
        <v>364</v>
      </c>
      <c r="B369" t="s">
        <v>393</v>
      </c>
      <c r="D369" t="s">
        <v>16</v>
      </c>
      <c r="F369" s="520">
        <v>1</v>
      </c>
      <c r="G369" s="520">
        <v>58624.959999999999</v>
      </c>
      <c r="H369" s="520">
        <v>20</v>
      </c>
      <c r="I369" s="517"/>
      <c r="J369" s="520">
        <v>0</v>
      </c>
      <c r="K369" s="520">
        <v>0</v>
      </c>
      <c r="L369" s="520">
        <v>0</v>
      </c>
      <c r="M369" s="517"/>
      <c r="N369" s="542">
        <v>1</v>
      </c>
      <c r="O369" s="543">
        <v>58624.959999999999</v>
      </c>
      <c r="P369" s="543">
        <v>20</v>
      </c>
      <c r="Q369" s="517"/>
      <c r="R369" s="520">
        <v>0</v>
      </c>
      <c r="S369" s="520">
        <v>0</v>
      </c>
      <c r="T369" s="520">
        <v>0</v>
      </c>
      <c r="U369" s="517"/>
      <c r="V369" s="542">
        <v>1</v>
      </c>
      <c r="W369" s="543">
        <v>58624.959999999999</v>
      </c>
    </row>
    <row r="370" spans="1:23" x14ac:dyDescent="0.25">
      <c r="A370">
        <v>365</v>
      </c>
      <c r="B370" t="s">
        <v>394</v>
      </c>
      <c r="D370" t="s">
        <v>16</v>
      </c>
      <c r="F370" s="520">
        <v>0</v>
      </c>
      <c r="G370" s="520">
        <v>0</v>
      </c>
      <c r="H370" s="520">
        <v>0</v>
      </c>
      <c r="I370" s="517"/>
      <c r="J370" s="520">
        <v>0</v>
      </c>
      <c r="K370" s="520">
        <v>0</v>
      </c>
      <c r="L370" s="520">
        <v>0</v>
      </c>
      <c r="M370" s="517"/>
      <c r="N370" s="542">
        <v>0</v>
      </c>
      <c r="O370" s="543">
        <v>0</v>
      </c>
      <c r="P370" s="543">
        <v>0</v>
      </c>
      <c r="Q370" s="517"/>
      <c r="R370" s="520">
        <v>0</v>
      </c>
      <c r="S370" s="520">
        <v>0</v>
      </c>
      <c r="T370" s="520">
        <v>0</v>
      </c>
      <c r="U370" s="517"/>
      <c r="V370" s="542">
        <v>0</v>
      </c>
      <c r="W370" s="543">
        <v>0</v>
      </c>
    </row>
    <row r="371" spans="1:23" x14ac:dyDescent="0.25">
      <c r="A371">
        <v>366</v>
      </c>
      <c r="B371" t="s">
        <v>2177</v>
      </c>
      <c r="F371" s="520">
        <v>4</v>
      </c>
      <c r="G371" s="520">
        <v>35885.94</v>
      </c>
      <c r="H371" s="520">
        <v>120</v>
      </c>
      <c r="I371" s="517"/>
      <c r="J371" s="520">
        <v>0</v>
      </c>
      <c r="K371" s="520">
        <v>0</v>
      </c>
      <c r="L371" s="520">
        <v>0</v>
      </c>
      <c r="M371" s="517"/>
      <c r="N371" s="542">
        <v>4</v>
      </c>
      <c r="O371" s="543">
        <v>35885.94</v>
      </c>
      <c r="P371" s="543">
        <v>120</v>
      </c>
      <c r="Q371" s="517"/>
      <c r="R371" s="520">
        <v>0</v>
      </c>
      <c r="S371" s="520">
        <v>0</v>
      </c>
      <c r="T371" s="520">
        <v>0</v>
      </c>
      <c r="U371" s="517"/>
      <c r="V371" s="542">
        <v>4</v>
      </c>
      <c r="W371" s="543">
        <v>35885.94</v>
      </c>
    </row>
    <row r="372" spans="1:23" x14ac:dyDescent="0.25">
      <c r="A372">
        <v>367</v>
      </c>
      <c r="B372" t="s">
        <v>3225</v>
      </c>
      <c r="D372" t="s">
        <v>16</v>
      </c>
      <c r="F372" s="520">
        <v>0</v>
      </c>
      <c r="G372" s="520">
        <v>0</v>
      </c>
      <c r="H372" s="520">
        <v>0</v>
      </c>
      <c r="I372" s="517"/>
      <c r="J372" s="520">
        <v>0</v>
      </c>
      <c r="K372" s="520">
        <v>0</v>
      </c>
      <c r="L372" s="520">
        <v>0</v>
      </c>
      <c r="M372" s="517"/>
      <c r="N372" s="542">
        <v>0</v>
      </c>
      <c r="O372" s="543">
        <v>0</v>
      </c>
      <c r="P372" s="543">
        <v>0</v>
      </c>
      <c r="Q372" s="517"/>
      <c r="R372" s="520">
        <v>0</v>
      </c>
      <c r="S372" s="520">
        <v>0</v>
      </c>
      <c r="T372" s="520">
        <v>0</v>
      </c>
      <c r="U372" s="517"/>
      <c r="V372" s="542">
        <v>0</v>
      </c>
      <c r="W372" s="543">
        <v>0</v>
      </c>
    </row>
    <row r="373" spans="1:23" x14ac:dyDescent="0.25">
      <c r="A373">
        <v>368</v>
      </c>
      <c r="B373" t="s">
        <v>3229</v>
      </c>
      <c r="C373" t="s">
        <v>15</v>
      </c>
      <c r="D373" t="s">
        <v>20</v>
      </c>
      <c r="F373" s="520">
        <v>0</v>
      </c>
      <c r="G373" s="520">
        <v>0</v>
      </c>
      <c r="H373" s="520">
        <v>0</v>
      </c>
      <c r="I373" s="517"/>
      <c r="J373" s="520">
        <v>0</v>
      </c>
      <c r="K373" s="520">
        <v>0</v>
      </c>
      <c r="L373" s="520">
        <v>0</v>
      </c>
      <c r="M373" s="517"/>
      <c r="N373" s="542">
        <v>0</v>
      </c>
      <c r="O373" s="543">
        <v>0</v>
      </c>
      <c r="P373" s="543">
        <v>0</v>
      </c>
      <c r="Q373" s="517"/>
      <c r="R373" s="520">
        <v>0</v>
      </c>
      <c r="S373" s="520">
        <v>0</v>
      </c>
      <c r="T373" s="520">
        <v>0</v>
      </c>
      <c r="U373" s="517"/>
      <c r="V373" s="542">
        <v>0</v>
      </c>
      <c r="W373" s="543">
        <v>0</v>
      </c>
    </row>
    <row r="374" spans="1:23" x14ac:dyDescent="0.25">
      <c r="A374">
        <v>369</v>
      </c>
      <c r="B374" t="s">
        <v>2987</v>
      </c>
      <c r="F374" s="520">
        <v>12</v>
      </c>
      <c r="G374" s="520">
        <v>165289.97</v>
      </c>
      <c r="H374" s="520">
        <v>360</v>
      </c>
      <c r="I374" s="517"/>
      <c r="J374" s="520">
        <v>0</v>
      </c>
      <c r="K374" s="520">
        <v>0</v>
      </c>
      <c r="L374" s="520">
        <v>0</v>
      </c>
      <c r="M374" s="517"/>
      <c r="N374" s="542">
        <v>12</v>
      </c>
      <c r="O374" s="543">
        <v>165289.97</v>
      </c>
      <c r="P374" s="543">
        <v>360</v>
      </c>
      <c r="Q374" s="517"/>
      <c r="R374" s="520">
        <v>0</v>
      </c>
      <c r="S374" s="520">
        <v>0</v>
      </c>
      <c r="T374" s="520">
        <v>0</v>
      </c>
      <c r="U374" s="517"/>
      <c r="V374" s="542">
        <v>12</v>
      </c>
      <c r="W374" s="543">
        <v>165289.97</v>
      </c>
    </row>
    <row r="375" spans="1:23" x14ac:dyDescent="0.25">
      <c r="A375">
        <v>370</v>
      </c>
      <c r="B375" t="s">
        <v>395</v>
      </c>
      <c r="D375" t="s">
        <v>40</v>
      </c>
      <c r="F375" s="520">
        <v>0</v>
      </c>
      <c r="G375" s="520">
        <v>0</v>
      </c>
      <c r="H375" s="520">
        <v>0</v>
      </c>
      <c r="I375" s="517"/>
      <c r="J375" s="520">
        <v>0</v>
      </c>
      <c r="K375" s="520">
        <v>0</v>
      </c>
      <c r="L375" s="520">
        <v>0</v>
      </c>
      <c r="M375" s="517"/>
      <c r="N375" s="542">
        <v>0</v>
      </c>
      <c r="O375" s="543">
        <v>0</v>
      </c>
      <c r="P375" s="543">
        <v>0</v>
      </c>
      <c r="Q375" s="517"/>
      <c r="R375" s="520">
        <v>0</v>
      </c>
      <c r="S375" s="520">
        <v>0</v>
      </c>
      <c r="T375" s="520">
        <v>0</v>
      </c>
      <c r="U375" s="517"/>
      <c r="V375" s="542">
        <v>0</v>
      </c>
      <c r="W375" s="543">
        <v>0</v>
      </c>
    </row>
    <row r="376" spans="1:23" x14ac:dyDescent="0.25">
      <c r="A376">
        <v>371</v>
      </c>
      <c r="B376" t="s">
        <v>396</v>
      </c>
      <c r="C376" t="s">
        <v>154</v>
      </c>
      <c r="D376" t="s">
        <v>16</v>
      </c>
      <c r="F376" s="520">
        <v>0</v>
      </c>
      <c r="G376" s="520">
        <v>0</v>
      </c>
      <c r="H376" s="520">
        <v>0</v>
      </c>
      <c r="I376" s="517"/>
      <c r="J376" s="520">
        <v>0</v>
      </c>
      <c r="K376" s="520">
        <v>0</v>
      </c>
      <c r="L376" s="520">
        <v>0</v>
      </c>
      <c r="M376" s="517"/>
      <c r="N376" s="542">
        <v>0</v>
      </c>
      <c r="O376" s="543">
        <v>0</v>
      </c>
      <c r="P376" s="543">
        <v>0</v>
      </c>
      <c r="Q376" s="517"/>
      <c r="R376" s="520">
        <v>0</v>
      </c>
      <c r="S376" s="520">
        <v>0</v>
      </c>
      <c r="T376" s="520">
        <v>0</v>
      </c>
      <c r="U376" s="517"/>
      <c r="V376" s="542">
        <v>0</v>
      </c>
      <c r="W376" s="543">
        <v>0</v>
      </c>
    </row>
    <row r="377" spans="1:23" x14ac:dyDescent="0.25">
      <c r="A377">
        <v>372</v>
      </c>
      <c r="B377" t="s">
        <v>3167</v>
      </c>
      <c r="F377" s="520">
        <v>0</v>
      </c>
      <c r="G377" s="520">
        <v>0</v>
      </c>
      <c r="H377" s="520">
        <v>0</v>
      </c>
      <c r="I377" s="517"/>
      <c r="J377" s="520">
        <v>0</v>
      </c>
      <c r="K377" s="520">
        <v>0</v>
      </c>
      <c r="L377" s="520">
        <v>0</v>
      </c>
      <c r="M377" s="517"/>
      <c r="N377" s="542">
        <v>0</v>
      </c>
      <c r="O377" s="543">
        <v>0</v>
      </c>
      <c r="P377" s="543">
        <v>0</v>
      </c>
      <c r="Q377" s="517"/>
      <c r="R377" s="520">
        <v>0</v>
      </c>
      <c r="S377" s="520">
        <v>0</v>
      </c>
      <c r="T377" s="520">
        <v>0</v>
      </c>
      <c r="U377" s="517"/>
      <c r="V377" s="542">
        <v>0</v>
      </c>
      <c r="W377" s="543">
        <v>0</v>
      </c>
    </row>
    <row r="378" spans="1:23" x14ac:dyDescent="0.25">
      <c r="A378">
        <v>373</v>
      </c>
      <c r="B378" t="s">
        <v>397</v>
      </c>
      <c r="C378" t="s">
        <v>25</v>
      </c>
      <c r="D378" t="s">
        <v>40</v>
      </c>
      <c r="F378" s="520">
        <v>4</v>
      </c>
      <c r="G378" s="520">
        <v>1679.23</v>
      </c>
      <c r="H378" s="520">
        <v>0</v>
      </c>
      <c r="I378" s="517"/>
      <c r="J378" s="520">
        <v>0</v>
      </c>
      <c r="K378" s="520">
        <v>0</v>
      </c>
      <c r="L378" s="520">
        <v>0</v>
      </c>
      <c r="M378" s="517"/>
      <c r="N378" s="542">
        <v>4</v>
      </c>
      <c r="O378" s="543">
        <v>1679.23</v>
      </c>
      <c r="P378" s="543">
        <v>0</v>
      </c>
      <c r="Q378" s="517"/>
      <c r="R378" s="520">
        <v>0</v>
      </c>
      <c r="S378" s="520">
        <v>0</v>
      </c>
      <c r="T378" s="520">
        <v>0</v>
      </c>
      <c r="U378" s="517"/>
      <c r="V378" s="542">
        <v>4</v>
      </c>
      <c r="W378" s="543">
        <v>1679.23</v>
      </c>
    </row>
    <row r="379" spans="1:23" x14ac:dyDescent="0.25">
      <c r="A379">
        <v>374</v>
      </c>
      <c r="B379" t="s">
        <v>2962</v>
      </c>
      <c r="F379" s="520">
        <v>0</v>
      </c>
      <c r="G379" s="520">
        <v>0</v>
      </c>
      <c r="H379" s="520">
        <v>0</v>
      </c>
      <c r="I379" s="517"/>
      <c r="J379" s="520">
        <v>0</v>
      </c>
      <c r="K379" s="520">
        <v>0</v>
      </c>
      <c r="L379" s="520">
        <v>0</v>
      </c>
      <c r="M379" s="517"/>
      <c r="N379" s="542">
        <v>0</v>
      </c>
      <c r="O379" s="543">
        <v>0</v>
      </c>
      <c r="P379" s="543">
        <v>0</v>
      </c>
      <c r="Q379" s="517"/>
      <c r="R379" s="520">
        <v>0</v>
      </c>
      <c r="S379" s="520">
        <v>0</v>
      </c>
      <c r="T379" s="520">
        <v>0</v>
      </c>
      <c r="U379" s="517"/>
      <c r="V379" s="542">
        <v>0</v>
      </c>
      <c r="W379" s="543">
        <v>0</v>
      </c>
    </row>
    <row r="380" spans="1:23" x14ac:dyDescent="0.25">
      <c r="A380">
        <v>375</v>
      </c>
      <c r="B380" t="s">
        <v>398</v>
      </c>
      <c r="C380" t="s">
        <v>18</v>
      </c>
      <c r="D380" t="s">
        <v>16</v>
      </c>
      <c r="F380" s="520">
        <v>0</v>
      </c>
      <c r="G380" s="520">
        <v>0</v>
      </c>
      <c r="H380" s="520">
        <v>0</v>
      </c>
      <c r="I380" s="517"/>
      <c r="J380" s="520">
        <v>0</v>
      </c>
      <c r="K380" s="520">
        <v>0</v>
      </c>
      <c r="L380" s="520">
        <v>0</v>
      </c>
      <c r="M380" s="517"/>
      <c r="N380" s="542">
        <v>0</v>
      </c>
      <c r="O380" s="543">
        <v>0</v>
      </c>
      <c r="P380" s="543">
        <v>0</v>
      </c>
      <c r="Q380" s="517"/>
      <c r="R380" s="520">
        <v>0</v>
      </c>
      <c r="S380" s="520">
        <v>0</v>
      </c>
      <c r="T380" s="520">
        <v>0</v>
      </c>
      <c r="U380" s="517"/>
      <c r="V380" s="542">
        <v>0</v>
      </c>
      <c r="W380" s="543">
        <v>0</v>
      </c>
    </row>
    <row r="381" spans="1:23" x14ac:dyDescent="0.25">
      <c r="A381">
        <v>376</v>
      </c>
      <c r="B381" t="s">
        <v>2995</v>
      </c>
      <c r="C381" t="s">
        <v>294</v>
      </c>
      <c r="D381" t="s">
        <v>16</v>
      </c>
      <c r="F381" s="520">
        <v>46</v>
      </c>
      <c r="G381" s="520">
        <v>167138.29999999999</v>
      </c>
      <c r="H381" s="520">
        <v>460</v>
      </c>
      <c r="I381" s="517"/>
      <c r="J381" s="520">
        <v>0</v>
      </c>
      <c r="K381" s="520">
        <v>0</v>
      </c>
      <c r="L381" s="520">
        <v>0</v>
      </c>
      <c r="M381" s="517"/>
      <c r="N381" s="542">
        <v>46</v>
      </c>
      <c r="O381" s="543">
        <v>167138.29999999999</v>
      </c>
      <c r="P381" s="543">
        <v>460</v>
      </c>
      <c r="Q381" s="517"/>
      <c r="R381" s="520">
        <v>0</v>
      </c>
      <c r="S381" s="520">
        <v>0</v>
      </c>
      <c r="T381" s="520">
        <v>0</v>
      </c>
      <c r="U381" s="517"/>
      <c r="V381" s="542">
        <v>46</v>
      </c>
      <c r="W381" s="543">
        <v>167138.29999999999</v>
      </c>
    </row>
    <row r="382" spans="1:23" x14ac:dyDescent="0.25">
      <c r="A382">
        <v>377</v>
      </c>
      <c r="B382" t="s">
        <v>399</v>
      </c>
      <c r="C382" t="s">
        <v>24</v>
      </c>
      <c r="D382" t="s">
        <v>16</v>
      </c>
      <c r="F382" s="520">
        <v>45</v>
      </c>
      <c r="G382" s="520">
        <v>1869955.75</v>
      </c>
      <c r="H382" s="520">
        <v>1525</v>
      </c>
      <c r="I382" s="517"/>
      <c r="J382" s="520">
        <v>0</v>
      </c>
      <c r="K382" s="520">
        <v>0</v>
      </c>
      <c r="L382" s="520">
        <v>0</v>
      </c>
      <c r="M382" s="517"/>
      <c r="N382" s="542">
        <v>45</v>
      </c>
      <c r="O382" s="543">
        <v>1869955.75</v>
      </c>
      <c r="P382" s="543">
        <v>1525</v>
      </c>
      <c r="Q382" s="517"/>
      <c r="R382" s="520">
        <v>0</v>
      </c>
      <c r="S382" s="520">
        <v>0</v>
      </c>
      <c r="T382" s="520">
        <v>0</v>
      </c>
      <c r="U382" s="517"/>
      <c r="V382" s="542">
        <v>45</v>
      </c>
      <c r="W382" s="543">
        <v>1869955.75</v>
      </c>
    </row>
    <row r="383" spans="1:23" x14ac:dyDescent="0.25">
      <c r="A383">
        <v>378</v>
      </c>
      <c r="B383" t="s">
        <v>3089</v>
      </c>
      <c r="C383" t="s">
        <v>18</v>
      </c>
      <c r="D383" t="s">
        <v>20</v>
      </c>
      <c r="F383" s="520">
        <v>4</v>
      </c>
      <c r="G383" s="520">
        <v>6925</v>
      </c>
      <c r="H383" s="520">
        <v>0</v>
      </c>
      <c r="I383" s="517"/>
      <c r="J383" s="520">
        <v>0</v>
      </c>
      <c r="K383" s="520">
        <v>0</v>
      </c>
      <c r="L383" s="520">
        <v>0</v>
      </c>
      <c r="M383" s="517"/>
      <c r="N383" s="542">
        <v>4</v>
      </c>
      <c r="O383" s="543">
        <v>6925</v>
      </c>
      <c r="P383" s="543">
        <v>0</v>
      </c>
      <c r="Q383" s="517"/>
      <c r="R383" s="520">
        <v>0</v>
      </c>
      <c r="S383" s="520">
        <v>0</v>
      </c>
      <c r="T383" s="520">
        <v>0</v>
      </c>
      <c r="U383" s="517"/>
      <c r="V383" s="542">
        <v>4</v>
      </c>
      <c r="W383" s="543">
        <v>6925</v>
      </c>
    </row>
    <row r="384" spans="1:23" x14ac:dyDescent="0.25">
      <c r="A384">
        <v>379</v>
      </c>
      <c r="B384" t="s">
        <v>3090</v>
      </c>
      <c r="C384" t="s">
        <v>18</v>
      </c>
      <c r="D384" t="s">
        <v>20</v>
      </c>
      <c r="F384" s="520">
        <v>0</v>
      </c>
      <c r="G384" s="520">
        <v>0</v>
      </c>
      <c r="H384" s="520">
        <v>0</v>
      </c>
      <c r="I384" s="517"/>
      <c r="J384" s="520">
        <v>0</v>
      </c>
      <c r="K384" s="520">
        <v>0</v>
      </c>
      <c r="L384" s="520">
        <v>0</v>
      </c>
      <c r="M384" s="517"/>
      <c r="N384" s="542">
        <v>0</v>
      </c>
      <c r="O384" s="543">
        <v>0</v>
      </c>
      <c r="P384" s="543">
        <v>0</v>
      </c>
      <c r="Q384" s="517"/>
      <c r="R384" s="520">
        <v>0</v>
      </c>
      <c r="S384" s="520">
        <v>0</v>
      </c>
      <c r="T384" s="520">
        <v>0</v>
      </c>
      <c r="U384" s="517"/>
      <c r="V384" s="542">
        <v>0</v>
      </c>
      <c r="W384" s="543">
        <v>0</v>
      </c>
    </row>
    <row r="385" spans="1:23" x14ac:dyDescent="0.25">
      <c r="A385">
        <v>380</v>
      </c>
      <c r="B385" t="s">
        <v>400</v>
      </c>
      <c r="C385" t="s">
        <v>148</v>
      </c>
      <c r="D385" t="s">
        <v>20</v>
      </c>
      <c r="F385" s="520">
        <v>21</v>
      </c>
      <c r="G385" s="520">
        <v>513659.59</v>
      </c>
      <c r="H385" s="520">
        <v>630</v>
      </c>
      <c r="I385" s="517"/>
      <c r="J385" s="520">
        <v>0</v>
      </c>
      <c r="K385" s="520">
        <v>0</v>
      </c>
      <c r="L385" s="520">
        <v>0</v>
      </c>
      <c r="M385" s="517"/>
      <c r="N385" s="542">
        <v>21</v>
      </c>
      <c r="O385" s="543">
        <v>513659.59</v>
      </c>
      <c r="P385" s="543">
        <v>630</v>
      </c>
      <c r="Q385" s="517"/>
      <c r="R385" s="520">
        <v>0</v>
      </c>
      <c r="S385" s="520">
        <v>0</v>
      </c>
      <c r="T385" s="520">
        <v>0</v>
      </c>
      <c r="U385" s="517"/>
      <c r="V385" s="542">
        <v>21</v>
      </c>
      <c r="W385" s="543">
        <v>513659.59</v>
      </c>
    </row>
    <row r="386" spans="1:23" x14ac:dyDescent="0.25">
      <c r="A386">
        <v>381</v>
      </c>
      <c r="B386" t="s">
        <v>401</v>
      </c>
      <c r="C386" t="s">
        <v>148</v>
      </c>
      <c r="D386" t="s">
        <v>20</v>
      </c>
      <c r="F386" s="520">
        <v>7</v>
      </c>
      <c r="G386" s="520">
        <v>224000.09</v>
      </c>
      <c r="H386" s="520">
        <v>210</v>
      </c>
      <c r="I386" s="517"/>
      <c r="J386" s="520">
        <v>0</v>
      </c>
      <c r="K386" s="520">
        <v>0</v>
      </c>
      <c r="L386" s="520">
        <v>0</v>
      </c>
      <c r="M386" s="517"/>
      <c r="N386" s="542">
        <v>7</v>
      </c>
      <c r="O386" s="543">
        <v>224000.09</v>
      </c>
      <c r="P386" s="543">
        <v>210</v>
      </c>
      <c r="Q386" s="517"/>
      <c r="R386" s="520">
        <v>0</v>
      </c>
      <c r="S386" s="520">
        <v>0</v>
      </c>
      <c r="T386" s="520">
        <v>0</v>
      </c>
      <c r="U386" s="517"/>
      <c r="V386" s="542">
        <v>7</v>
      </c>
      <c r="W386" s="543">
        <v>224000.09</v>
      </c>
    </row>
    <row r="387" spans="1:23" x14ac:dyDescent="0.25">
      <c r="A387">
        <v>382</v>
      </c>
      <c r="B387" t="s">
        <v>402</v>
      </c>
      <c r="C387" t="s">
        <v>148</v>
      </c>
      <c r="D387" t="s">
        <v>20</v>
      </c>
      <c r="F387" s="520">
        <v>8</v>
      </c>
      <c r="G387" s="520">
        <v>131199.72999999998</v>
      </c>
      <c r="H387" s="520">
        <v>240</v>
      </c>
      <c r="I387" s="517"/>
      <c r="J387" s="520">
        <v>0</v>
      </c>
      <c r="K387" s="520">
        <v>0</v>
      </c>
      <c r="L387" s="520">
        <v>0</v>
      </c>
      <c r="M387" s="517"/>
      <c r="N387" s="542">
        <v>8</v>
      </c>
      <c r="O387" s="543">
        <v>131199.72999999998</v>
      </c>
      <c r="P387" s="543">
        <v>240</v>
      </c>
      <c r="Q387" s="517"/>
      <c r="R387" s="520">
        <v>0</v>
      </c>
      <c r="S387" s="520">
        <v>0</v>
      </c>
      <c r="T387" s="520">
        <v>0</v>
      </c>
      <c r="U387" s="517"/>
      <c r="V387" s="542">
        <v>8</v>
      </c>
      <c r="W387" s="543">
        <v>131199.72999999998</v>
      </c>
    </row>
    <row r="388" spans="1:23" x14ac:dyDescent="0.25">
      <c r="A388">
        <v>383</v>
      </c>
      <c r="B388" t="s">
        <v>403</v>
      </c>
      <c r="C388" t="s">
        <v>355</v>
      </c>
      <c r="D388" t="s">
        <v>16</v>
      </c>
      <c r="F388" s="520">
        <v>0</v>
      </c>
      <c r="G388" s="520">
        <v>0</v>
      </c>
      <c r="H388" s="520">
        <v>0</v>
      </c>
      <c r="I388" s="517"/>
      <c r="J388" s="520">
        <v>0</v>
      </c>
      <c r="K388" s="520">
        <v>0</v>
      </c>
      <c r="L388" s="520">
        <v>0</v>
      </c>
      <c r="M388" s="517"/>
      <c r="N388" s="542">
        <v>0</v>
      </c>
      <c r="O388" s="543">
        <v>0</v>
      </c>
      <c r="P388" s="543">
        <v>0</v>
      </c>
      <c r="Q388" s="517"/>
      <c r="R388" s="520">
        <v>0</v>
      </c>
      <c r="S388" s="520">
        <v>0</v>
      </c>
      <c r="T388" s="520">
        <v>0</v>
      </c>
      <c r="U388" s="517"/>
      <c r="V388" s="542">
        <v>0</v>
      </c>
      <c r="W388" s="543">
        <v>0</v>
      </c>
    </row>
    <row r="389" spans="1:23" x14ac:dyDescent="0.25">
      <c r="A389">
        <v>384</v>
      </c>
      <c r="B389" t="s">
        <v>405</v>
      </c>
      <c r="C389" t="s">
        <v>25</v>
      </c>
      <c r="D389" t="s">
        <v>16</v>
      </c>
      <c r="F389" s="520">
        <v>9</v>
      </c>
      <c r="G389" s="520">
        <v>6232</v>
      </c>
      <c r="H389" s="520">
        <v>72</v>
      </c>
      <c r="I389" s="517"/>
      <c r="J389" s="520">
        <v>0</v>
      </c>
      <c r="K389" s="520">
        <v>0</v>
      </c>
      <c r="L389" s="520">
        <v>0</v>
      </c>
      <c r="M389" s="517"/>
      <c r="N389" s="542">
        <v>9</v>
      </c>
      <c r="O389" s="543">
        <v>6232</v>
      </c>
      <c r="P389" s="543">
        <v>72</v>
      </c>
      <c r="Q389" s="517"/>
      <c r="R389" s="520">
        <v>0</v>
      </c>
      <c r="S389" s="520">
        <v>0</v>
      </c>
      <c r="T389" s="520">
        <v>0</v>
      </c>
      <c r="U389" s="517"/>
      <c r="V389" s="542">
        <v>9</v>
      </c>
      <c r="W389" s="543">
        <v>6232</v>
      </c>
    </row>
    <row r="390" spans="1:23" x14ac:dyDescent="0.25">
      <c r="A390">
        <v>385</v>
      </c>
      <c r="B390" t="s">
        <v>406</v>
      </c>
      <c r="C390" t="s">
        <v>25</v>
      </c>
      <c r="D390" t="s">
        <v>16</v>
      </c>
      <c r="F390" s="520">
        <v>0</v>
      </c>
      <c r="G390" s="520">
        <v>0</v>
      </c>
      <c r="H390" s="520">
        <v>0</v>
      </c>
      <c r="I390" s="517"/>
      <c r="J390" s="520">
        <v>0</v>
      </c>
      <c r="K390" s="520">
        <v>0</v>
      </c>
      <c r="L390" s="520">
        <v>0</v>
      </c>
      <c r="M390" s="517"/>
      <c r="N390" s="542">
        <v>0</v>
      </c>
      <c r="O390" s="543">
        <v>0</v>
      </c>
      <c r="P390" s="543">
        <v>0</v>
      </c>
      <c r="Q390" s="517"/>
      <c r="R390" s="520">
        <v>0</v>
      </c>
      <c r="S390" s="520">
        <v>0</v>
      </c>
      <c r="T390" s="520">
        <v>0</v>
      </c>
      <c r="U390" s="517"/>
      <c r="V390" s="542">
        <v>0</v>
      </c>
      <c r="W390" s="543">
        <v>0</v>
      </c>
    </row>
    <row r="391" spans="1:23" x14ac:dyDescent="0.25">
      <c r="A391">
        <v>386</v>
      </c>
      <c r="B391" t="s">
        <v>407</v>
      </c>
      <c r="C391" t="s">
        <v>25</v>
      </c>
      <c r="D391" t="s">
        <v>16</v>
      </c>
      <c r="F391" s="520">
        <v>0</v>
      </c>
      <c r="G391" s="520">
        <v>0</v>
      </c>
      <c r="H391" s="520">
        <v>0</v>
      </c>
      <c r="I391" s="517"/>
      <c r="J391" s="520">
        <v>0</v>
      </c>
      <c r="K391" s="520">
        <v>0</v>
      </c>
      <c r="L391" s="520">
        <v>0</v>
      </c>
      <c r="M391" s="517"/>
      <c r="N391" s="542">
        <v>0</v>
      </c>
      <c r="O391" s="543">
        <v>0</v>
      </c>
      <c r="P391" s="543">
        <v>0</v>
      </c>
      <c r="Q391" s="517"/>
      <c r="R391" s="520">
        <v>0</v>
      </c>
      <c r="S391" s="520">
        <v>0</v>
      </c>
      <c r="T391" s="520">
        <v>0</v>
      </c>
      <c r="U391" s="517"/>
      <c r="V391" s="542">
        <v>0</v>
      </c>
      <c r="W391" s="543">
        <v>0</v>
      </c>
    </row>
    <row r="392" spans="1:23" x14ac:dyDescent="0.25">
      <c r="A392">
        <v>387</v>
      </c>
      <c r="B392" t="s">
        <v>408</v>
      </c>
      <c r="C392" t="s">
        <v>18</v>
      </c>
      <c r="D392" t="s">
        <v>16</v>
      </c>
      <c r="F392" s="520">
        <v>1</v>
      </c>
      <c r="G392" s="520">
        <v>4450</v>
      </c>
      <c r="H392" s="520">
        <v>30</v>
      </c>
      <c r="I392" s="517"/>
      <c r="J392" s="520">
        <v>0</v>
      </c>
      <c r="K392" s="520">
        <v>0</v>
      </c>
      <c r="L392" s="520">
        <v>0</v>
      </c>
      <c r="M392" s="517"/>
      <c r="N392" s="542">
        <v>1</v>
      </c>
      <c r="O392" s="543">
        <v>4450</v>
      </c>
      <c r="P392" s="543">
        <v>30</v>
      </c>
      <c r="Q392" s="517"/>
      <c r="R392" s="520">
        <v>0</v>
      </c>
      <c r="S392" s="520">
        <v>0</v>
      </c>
      <c r="T392" s="520">
        <v>0</v>
      </c>
      <c r="U392" s="517"/>
      <c r="V392" s="542">
        <v>1</v>
      </c>
      <c r="W392" s="543">
        <v>4450</v>
      </c>
    </row>
    <row r="393" spans="1:23" x14ac:dyDescent="0.25">
      <c r="A393">
        <v>388</v>
      </c>
      <c r="B393" t="s">
        <v>409</v>
      </c>
      <c r="F393" s="520">
        <v>0</v>
      </c>
      <c r="G393" s="520">
        <v>0</v>
      </c>
      <c r="H393" s="520">
        <v>0</v>
      </c>
      <c r="I393" s="517"/>
      <c r="J393" s="520">
        <v>0</v>
      </c>
      <c r="K393" s="520">
        <v>0</v>
      </c>
      <c r="L393" s="520">
        <v>0</v>
      </c>
      <c r="M393" s="517"/>
      <c r="N393" s="542">
        <v>0</v>
      </c>
      <c r="O393" s="543">
        <v>0</v>
      </c>
      <c r="P393" s="543">
        <v>0</v>
      </c>
      <c r="Q393" s="517"/>
      <c r="R393" s="520">
        <v>0</v>
      </c>
      <c r="S393" s="520">
        <v>0</v>
      </c>
      <c r="T393" s="520">
        <v>0</v>
      </c>
      <c r="U393" s="517"/>
      <c r="V393" s="542">
        <v>0</v>
      </c>
      <c r="W393" s="543">
        <v>0</v>
      </c>
    </row>
    <row r="394" spans="1:23" x14ac:dyDescent="0.25">
      <c r="A394">
        <v>389</v>
      </c>
      <c r="B394" t="s">
        <v>3086</v>
      </c>
      <c r="C394" t="s">
        <v>18</v>
      </c>
      <c r="D394" t="s">
        <v>16</v>
      </c>
      <c r="F394" s="520">
        <v>0</v>
      </c>
      <c r="G394" s="520">
        <v>0</v>
      </c>
      <c r="H394" s="520">
        <v>0</v>
      </c>
      <c r="I394" s="517"/>
      <c r="J394" s="520">
        <v>0</v>
      </c>
      <c r="K394" s="520">
        <v>0</v>
      </c>
      <c r="L394" s="520">
        <v>0</v>
      </c>
      <c r="M394" s="517"/>
      <c r="N394" s="542">
        <v>0</v>
      </c>
      <c r="O394" s="543">
        <v>0</v>
      </c>
      <c r="P394" s="543">
        <v>0</v>
      </c>
      <c r="Q394" s="517"/>
      <c r="R394" s="520">
        <v>0</v>
      </c>
      <c r="S394" s="520">
        <v>0</v>
      </c>
      <c r="T394" s="520">
        <v>0</v>
      </c>
      <c r="U394" s="517"/>
      <c r="V394" s="542">
        <v>0</v>
      </c>
      <c r="W394" s="543">
        <v>0</v>
      </c>
    </row>
    <row r="395" spans="1:23" x14ac:dyDescent="0.25">
      <c r="A395">
        <v>390</v>
      </c>
      <c r="B395" t="s">
        <v>410</v>
      </c>
      <c r="D395" t="s">
        <v>16</v>
      </c>
      <c r="F395" s="520">
        <v>0</v>
      </c>
      <c r="G395" s="520">
        <v>0</v>
      </c>
      <c r="H395" s="520">
        <v>0</v>
      </c>
      <c r="I395" s="517"/>
      <c r="J395" s="520">
        <v>0</v>
      </c>
      <c r="K395" s="520">
        <v>0</v>
      </c>
      <c r="L395" s="520">
        <v>0</v>
      </c>
      <c r="M395" s="517"/>
      <c r="N395" s="542">
        <v>0</v>
      </c>
      <c r="O395" s="543">
        <v>0</v>
      </c>
      <c r="P395" s="543">
        <v>0</v>
      </c>
      <c r="Q395" s="517"/>
      <c r="R395" s="520">
        <v>0</v>
      </c>
      <c r="S395" s="520">
        <v>0</v>
      </c>
      <c r="T395" s="520">
        <v>0</v>
      </c>
      <c r="U395" s="517"/>
      <c r="V395" s="542">
        <v>0</v>
      </c>
      <c r="W395" s="543">
        <v>0</v>
      </c>
    </row>
    <row r="396" spans="1:23" x14ac:dyDescent="0.25">
      <c r="A396">
        <v>391</v>
      </c>
      <c r="B396" t="s">
        <v>411</v>
      </c>
      <c r="C396" t="s">
        <v>15</v>
      </c>
      <c r="D396" t="s">
        <v>16</v>
      </c>
      <c r="F396" s="520">
        <v>0</v>
      </c>
      <c r="G396" s="520">
        <v>0</v>
      </c>
      <c r="H396" s="520">
        <v>0</v>
      </c>
      <c r="I396" s="517"/>
      <c r="J396" s="520">
        <v>0</v>
      </c>
      <c r="K396" s="520">
        <v>0</v>
      </c>
      <c r="L396" s="520">
        <v>0</v>
      </c>
      <c r="M396" s="517"/>
      <c r="N396" s="542">
        <v>0</v>
      </c>
      <c r="O396" s="543">
        <v>0</v>
      </c>
      <c r="P396" s="543">
        <v>0</v>
      </c>
      <c r="Q396" s="517"/>
      <c r="R396" s="520">
        <v>0</v>
      </c>
      <c r="S396" s="520">
        <v>0</v>
      </c>
      <c r="T396" s="520">
        <v>0</v>
      </c>
      <c r="U396" s="517"/>
      <c r="V396" s="542">
        <v>0</v>
      </c>
      <c r="W396" s="543">
        <v>0</v>
      </c>
    </row>
    <row r="397" spans="1:23" x14ac:dyDescent="0.25">
      <c r="A397">
        <v>392</v>
      </c>
      <c r="B397" t="s">
        <v>412</v>
      </c>
      <c r="C397" t="s">
        <v>18</v>
      </c>
      <c r="D397" t="s">
        <v>16</v>
      </c>
      <c r="F397" s="520">
        <v>0</v>
      </c>
      <c r="G397" s="520">
        <v>0</v>
      </c>
      <c r="H397" s="520">
        <v>0</v>
      </c>
      <c r="I397" s="517"/>
      <c r="J397" s="520">
        <v>0</v>
      </c>
      <c r="K397" s="520">
        <v>0</v>
      </c>
      <c r="L397" s="520">
        <v>0</v>
      </c>
      <c r="M397" s="517"/>
      <c r="N397" s="542">
        <v>0</v>
      </c>
      <c r="O397" s="543">
        <v>0</v>
      </c>
      <c r="P397" s="543">
        <v>0</v>
      </c>
      <c r="Q397" s="517"/>
      <c r="R397" s="520">
        <v>0</v>
      </c>
      <c r="S397" s="520">
        <v>0</v>
      </c>
      <c r="T397" s="520">
        <v>0</v>
      </c>
      <c r="U397" s="517"/>
      <c r="V397" s="542">
        <v>0</v>
      </c>
      <c r="W397" s="543">
        <v>0</v>
      </c>
    </row>
    <row r="398" spans="1:23" x14ac:dyDescent="0.25">
      <c r="A398">
        <v>393</v>
      </c>
      <c r="B398" t="s">
        <v>413</v>
      </c>
      <c r="D398" t="s">
        <v>16</v>
      </c>
      <c r="F398" s="520">
        <v>0</v>
      </c>
      <c r="G398" s="520">
        <v>0</v>
      </c>
      <c r="H398" s="520">
        <v>0</v>
      </c>
      <c r="I398" s="517"/>
      <c r="J398" s="520">
        <v>0</v>
      </c>
      <c r="K398" s="520">
        <v>0</v>
      </c>
      <c r="L398" s="520">
        <v>0</v>
      </c>
      <c r="M398" s="517"/>
      <c r="N398" s="542">
        <v>0</v>
      </c>
      <c r="O398" s="543">
        <v>0</v>
      </c>
      <c r="P398" s="543">
        <v>0</v>
      </c>
      <c r="Q398" s="517"/>
      <c r="R398" s="520">
        <v>0</v>
      </c>
      <c r="S398" s="520">
        <v>0</v>
      </c>
      <c r="T398" s="520">
        <v>0</v>
      </c>
      <c r="U398" s="517"/>
      <c r="V398" s="542">
        <v>0</v>
      </c>
      <c r="W398" s="543">
        <v>0</v>
      </c>
    </row>
    <row r="399" spans="1:23" x14ac:dyDescent="0.25">
      <c r="A399">
        <v>394</v>
      </c>
      <c r="B399" t="s">
        <v>415</v>
      </c>
      <c r="C399" t="s">
        <v>51</v>
      </c>
      <c r="D399" t="s">
        <v>16</v>
      </c>
      <c r="F399" s="520">
        <v>620</v>
      </c>
      <c r="G399" s="520">
        <v>567297.29999999958</v>
      </c>
      <c r="H399" s="520">
        <v>3125</v>
      </c>
      <c r="I399" s="517"/>
      <c r="J399" s="520">
        <v>0</v>
      </c>
      <c r="K399" s="520">
        <v>0</v>
      </c>
      <c r="L399" s="520">
        <v>0</v>
      </c>
      <c r="M399" s="517"/>
      <c r="N399" s="542">
        <v>620</v>
      </c>
      <c r="O399" s="543">
        <v>567297.29999999958</v>
      </c>
      <c r="P399" s="543">
        <v>3125</v>
      </c>
      <c r="Q399" s="517"/>
      <c r="R399" s="520">
        <v>0</v>
      </c>
      <c r="S399" s="520">
        <v>0</v>
      </c>
      <c r="T399" s="520">
        <v>0</v>
      </c>
      <c r="U399" s="517"/>
      <c r="V399" s="542">
        <v>620</v>
      </c>
      <c r="W399" s="543">
        <v>567297.29999999958</v>
      </c>
    </row>
    <row r="400" spans="1:23" x14ac:dyDescent="0.25">
      <c r="A400">
        <v>395</v>
      </c>
      <c r="B400" t="s">
        <v>416</v>
      </c>
      <c r="D400" t="s">
        <v>16</v>
      </c>
      <c r="F400" s="520">
        <v>0</v>
      </c>
      <c r="G400" s="520">
        <v>0</v>
      </c>
      <c r="H400" s="520">
        <v>0</v>
      </c>
      <c r="I400" s="517"/>
      <c r="J400" s="520">
        <v>0</v>
      </c>
      <c r="K400" s="520">
        <v>0</v>
      </c>
      <c r="L400" s="520">
        <v>0</v>
      </c>
      <c r="M400" s="517"/>
      <c r="N400" s="542">
        <v>0</v>
      </c>
      <c r="O400" s="543">
        <v>0</v>
      </c>
      <c r="P400" s="543">
        <v>0</v>
      </c>
      <c r="Q400" s="517"/>
      <c r="R400" s="520">
        <v>0</v>
      </c>
      <c r="S400" s="520">
        <v>0</v>
      </c>
      <c r="T400" s="520">
        <v>0</v>
      </c>
      <c r="U400" s="517"/>
      <c r="V400" s="542">
        <v>0</v>
      </c>
      <c r="W400" s="543">
        <v>0</v>
      </c>
    </row>
    <row r="401" spans="1:23" x14ac:dyDescent="0.25">
      <c r="A401">
        <v>396</v>
      </c>
      <c r="B401" t="s">
        <v>417</v>
      </c>
      <c r="D401" t="s">
        <v>16</v>
      </c>
      <c r="F401" s="520">
        <v>0</v>
      </c>
      <c r="G401" s="520">
        <v>0</v>
      </c>
      <c r="H401" s="520">
        <v>0</v>
      </c>
      <c r="I401" s="517"/>
      <c r="J401" s="520">
        <v>0</v>
      </c>
      <c r="K401" s="520">
        <v>0</v>
      </c>
      <c r="L401" s="520">
        <v>0</v>
      </c>
      <c r="M401" s="517"/>
      <c r="N401" s="542">
        <v>0</v>
      </c>
      <c r="O401" s="543">
        <v>0</v>
      </c>
      <c r="P401" s="543">
        <v>0</v>
      </c>
      <c r="Q401" s="517"/>
      <c r="R401" s="520">
        <v>0</v>
      </c>
      <c r="S401" s="520">
        <v>0</v>
      </c>
      <c r="T401" s="520">
        <v>0</v>
      </c>
      <c r="U401" s="517"/>
      <c r="V401" s="542">
        <v>0</v>
      </c>
      <c r="W401" s="543">
        <v>0</v>
      </c>
    </row>
    <row r="402" spans="1:23" x14ac:dyDescent="0.25">
      <c r="A402">
        <v>397</v>
      </c>
      <c r="B402" t="s">
        <v>418</v>
      </c>
      <c r="C402" t="s">
        <v>51</v>
      </c>
      <c r="D402" t="s">
        <v>414</v>
      </c>
      <c r="F402" s="520">
        <v>1</v>
      </c>
      <c r="G402" s="520">
        <v>80300</v>
      </c>
      <c r="H402" s="520">
        <v>50</v>
      </c>
      <c r="I402" s="517"/>
      <c r="J402" s="520">
        <v>0</v>
      </c>
      <c r="K402" s="520">
        <v>0</v>
      </c>
      <c r="L402" s="520">
        <v>0</v>
      </c>
      <c r="M402" s="517"/>
      <c r="N402" s="542">
        <v>1</v>
      </c>
      <c r="O402" s="543">
        <v>80300</v>
      </c>
      <c r="P402" s="543">
        <v>50</v>
      </c>
      <c r="Q402" s="517"/>
      <c r="R402" s="520">
        <v>0</v>
      </c>
      <c r="S402" s="520">
        <v>0</v>
      </c>
      <c r="T402" s="520">
        <v>0</v>
      </c>
      <c r="U402" s="517"/>
      <c r="V402" s="542">
        <v>1</v>
      </c>
      <c r="W402" s="543">
        <v>80300</v>
      </c>
    </row>
    <row r="403" spans="1:23" x14ac:dyDescent="0.25">
      <c r="A403">
        <v>398</v>
      </c>
      <c r="B403" t="s">
        <v>419</v>
      </c>
      <c r="C403" t="s">
        <v>25</v>
      </c>
      <c r="D403" t="s">
        <v>20</v>
      </c>
      <c r="F403" s="520">
        <v>0</v>
      </c>
      <c r="G403" s="520">
        <v>0</v>
      </c>
      <c r="H403" s="520">
        <v>0</v>
      </c>
      <c r="I403" s="517"/>
      <c r="J403" s="520">
        <v>0</v>
      </c>
      <c r="K403" s="520">
        <v>0</v>
      </c>
      <c r="L403" s="520">
        <v>0</v>
      </c>
      <c r="M403" s="517"/>
      <c r="N403" s="542">
        <v>0</v>
      </c>
      <c r="O403" s="543">
        <v>0</v>
      </c>
      <c r="P403" s="543">
        <v>0</v>
      </c>
      <c r="Q403" s="517"/>
      <c r="R403" s="520">
        <v>0</v>
      </c>
      <c r="S403" s="520">
        <v>0</v>
      </c>
      <c r="T403" s="520">
        <v>0</v>
      </c>
      <c r="U403" s="517"/>
      <c r="V403" s="542">
        <v>0</v>
      </c>
      <c r="W403" s="543">
        <v>0</v>
      </c>
    </row>
    <row r="404" spans="1:23" x14ac:dyDescent="0.25">
      <c r="A404">
        <v>399</v>
      </c>
      <c r="B404" t="s">
        <v>420</v>
      </c>
      <c r="C404" t="s">
        <v>25</v>
      </c>
      <c r="D404" t="s">
        <v>20</v>
      </c>
      <c r="F404" s="520">
        <v>0</v>
      </c>
      <c r="G404" s="520">
        <v>0</v>
      </c>
      <c r="H404" s="520">
        <v>0</v>
      </c>
      <c r="I404" s="517"/>
      <c r="J404" s="520">
        <v>0</v>
      </c>
      <c r="K404" s="520">
        <v>0</v>
      </c>
      <c r="L404" s="520">
        <v>0</v>
      </c>
      <c r="M404" s="517"/>
      <c r="N404" s="542">
        <v>0</v>
      </c>
      <c r="O404" s="543">
        <v>0</v>
      </c>
      <c r="P404" s="543">
        <v>0</v>
      </c>
      <c r="Q404" s="517"/>
      <c r="R404" s="520">
        <v>0</v>
      </c>
      <c r="S404" s="520">
        <v>0</v>
      </c>
      <c r="T404" s="520">
        <v>0</v>
      </c>
      <c r="U404" s="517"/>
      <c r="V404" s="542">
        <v>0</v>
      </c>
      <c r="W404" s="543">
        <v>0</v>
      </c>
    </row>
    <row r="405" spans="1:23" x14ac:dyDescent="0.25">
      <c r="A405">
        <v>400</v>
      </c>
      <c r="B405" t="s">
        <v>421</v>
      </c>
      <c r="C405" t="s">
        <v>15</v>
      </c>
      <c r="D405" t="s">
        <v>16</v>
      </c>
      <c r="F405" s="520">
        <v>481</v>
      </c>
      <c r="G405" s="520">
        <v>571343.21000000008</v>
      </c>
      <c r="H405" s="520">
        <v>4810</v>
      </c>
      <c r="I405" s="517"/>
      <c r="J405" s="520">
        <v>-1</v>
      </c>
      <c r="K405" s="520">
        <v>-603.62</v>
      </c>
      <c r="L405" s="520">
        <v>-10</v>
      </c>
      <c r="M405" s="517"/>
      <c r="N405" s="542">
        <v>480</v>
      </c>
      <c r="O405" s="543">
        <v>570739.59000000008</v>
      </c>
      <c r="P405" s="543">
        <v>4800</v>
      </c>
      <c r="Q405" s="517"/>
      <c r="R405" s="520">
        <v>0</v>
      </c>
      <c r="S405" s="520">
        <v>0</v>
      </c>
      <c r="T405" s="520">
        <v>0</v>
      </c>
      <c r="U405" s="517"/>
      <c r="V405" s="542">
        <v>480</v>
      </c>
      <c r="W405" s="543">
        <v>570739.59000000008</v>
      </c>
    </row>
    <row r="406" spans="1:23" x14ac:dyDescent="0.25">
      <c r="A406">
        <v>401</v>
      </c>
      <c r="B406" t="s">
        <v>422</v>
      </c>
      <c r="D406" t="s">
        <v>16</v>
      </c>
      <c r="F406" s="520">
        <v>17</v>
      </c>
      <c r="G406" s="520">
        <v>51770</v>
      </c>
      <c r="H406" s="520">
        <v>360</v>
      </c>
      <c r="I406" s="517"/>
      <c r="J406" s="520">
        <v>0</v>
      </c>
      <c r="K406" s="520">
        <v>0</v>
      </c>
      <c r="L406" s="520">
        <v>0</v>
      </c>
      <c r="M406" s="517"/>
      <c r="N406" s="542">
        <v>17</v>
      </c>
      <c r="O406" s="543">
        <v>51770</v>
      </c>
      <c r="P406" s="543">
        <v>360</v>
      </c>
      <c r="Q406" s="517"/>
      <c r="R406" s="520">
        <v>0</v>
      </c>
      <c r="S406" s="520">
        <v>0</v>
      </c>
      <c r="T406" s="520">
        <v>0</v>
      </c>
      <c r="U406" s="517"/>
      <c r="V406" s="542">
        <v>17</v>
      </c>
      <c r="W406" s="543">
        <v>51770</v>
      </c>
    </row>
    <row r="407" spans="1:23" x14ac:dyDescent="0.25">
      <c r="A407">
        <v>402</v>
      </c>
      <c r="B407" t="s">
        <v>423</v>
      </c>
      <c r="D407" t="s">
        <v>20</v>
      </c>
      <c r="F407" s="520">
        <v>0</v>
      </c>
      <c r="G407" s="520">
        <v>0</v>
      </c>
      <c r="H407" s="520">
        <v>0</v>
      </c>
      <c r="I407" s="517"/>
      <c r="J407" s="520">
        <v>0</v>
      </c>
      <c r="K407" s="520">
        <v>0</v>
      </c>
      <c r="L407" s="520">
        <v>0</v>
      </c>
      <c r="M407" s="517"/>
      <c r="N407" s="542">
        <v>0</v>
      </c>
      <c r="O407" s="543">
        <v>0</v>
      </c>
      <c r="P407" s="543">
        <v>0</v>
      </c>
      <c r="Q407" s="517"/>
      <c r="R407" s="520">
        <v>0</v>
      </c>
      <c r="S407" s="520">
        <v>0</v>
      </c>
      <c r="T407" s="520">
        <v>0</v>
      </c>
      <c r="U407" s="517"/>
      <c r="V407" s="542">
        <v>0</v>
      </c>
      <c r="W407" s="543">
        <v>0</v>
      </c>
    </row>
    <row r="408" spans="1:23" x14ac:dyDescent="0.25">
      <c r="A408">
        <v>403</v>
      </c>
      <c r="B408" t="s">
        <v>424</v>
      </c>
      <c r="D408" t="s">
        <v>16</v>
      </c>
      <c r="F408" s="520">
        <v>0</v>
      </c>
      <c r="G408" s="520">
        <v>0</v>
      </c>
      <c r="H408" s="520">
        <v>0</v>
      </c>
      <c r="I408" s="517"/>
      <c r="J408" s="520">
        <v>0</v>
      </c>
      <c r="K408" s="520">
        <v>0</v>
      </c>
      <c r="L408" s="520">
        <v>0</v>
      </c>
      <c r="M408" s="517"/>
      <c r="N408" s="542">
        <v>0</v>
      </c>
      <c r="O408" s="543">
        <v>0</v>
      </c>
      <c r="P408" s="543">
        <v>0</v>
      </c>
      <c r="Q408" s="517"/>
      <c r="R408" s="520">
        <v>0</v>
      </c>
      <c r="S408" s="520">
        <v>0</v>
      </c>
      <c r="T408" s="520">
        <v>0</v>
      </c>
      <c r="U408" s="517"/>
      <c r="V408" s="542">
        <v>0</v>
      </c>
      <c r="W408" s="543">
        <v>0</v>
      </c>
    </row>
    <row r="409" spans="1:23" x14ac:dyDescent="0.25">
      <c r="A409">
        <v>404</v>
      </c>
      <c r="B409" t="s">
        <v>2219</v>
      </c>
      <c r="D409" t="s">
        <v>16</v>
      </c>
      <c r="F409" s="520">
        <v>64</v>
      </c>
      <c r="G409" s="520">
        <v>140424.25</v>
      </c>
      <c r="H409" s="520">
        <v>640</v>
      </c>
      <c r="I409" s="517"/>
      <c r="J409" s="520">
        <v>0</v>
      </c>
      <c r="K409" s="520">
        <v>0</v>
      </c>
      <c r="L409" s="520">
        <v>0</v>
      </c>
      <c r="M409" s="517"/>
      <c r="N409" s="542">
        <v>64</v>
      </c>
      <c r="O409" s="543">
        <v>140424.25</v>
      </c>
      <c r="P409" s="543">
        <v>640</v>
      </c>
      <c r="Q409" s="517"/>
      <c r="R409" s="520">
        <v>0</v>
      </c>
      <c r="S409" s="520">
        <v>0</v>
      </c>
      <c r="T409" s="520">
        <v>0</v>
      </c>
      <c r="U409" s="517"/>
      <c r="V409" s="542">
        <v>64</v>
      </c>
      <c r="W409" s="543">
        <v>140424.25</v>
      </c>
    </row>
    <row r="410" spans="1:23" x14ac:dyDescent="0.25">
      <c r="A410">
        <v>405</v>
      </c>
      <c r="B410" t="s">
        <v>425</v>
      </c>
      <c r="C410" t="s">
        <v>41</v>
      </c>
      <c r="D410" t="s">
        <v>16</v>
      </c>
      <c r="F410" s="520">
        <v>0</v>
      </c>
      <c r="G410" s="520">
        <v>0</v>
      </c>
      <c r="H410" s="520">
        <v>0</v>
      </c>
      <c r="I410" s="517"/>
      <c r="J410" s="520">
        <v>0</v>
      </c>
      <c r="K410" s="520">
        <v>0</v>
      </c>
      <c r="L410" s="520">
        <v>0</v>
      </c>
      <c r="M410" s="517"/>
      <c r="N410" s="542">
        <v>0</v>
      </c>
      <c r="O410" s="543">
        <v>0</v>
      </c>
      <c r="P410" s="543">
        <v>0</v>
      </c>
      <c r="Q410" s="517"/>
      <c r="R410" s="520">
        <v>0</v>
      </c>
      <c r="S410" s="520">
        <v>0</v>
      </c>
      <c r="T410" s="520">
        <v>0</v>
      </c>
      <c r="U410" s="517"/>
      <c r="V410" s="542">
        <v>0</v>
      </c>
      <c r="W410" s="543">
        <v>0</v>
      </c>
    </row>
    <row r="411" spans="1:23" x14ac:dyDescent="0.25">
      <c r="A411">
        <v>406</v>
      </c>
      <c r="B411" t="s">
        <v>426</v>
      </c>
      <c r="C411" t="s">
        <v>15</v>
      </c>
      <c r="D411" t="s">
        <v>16</v>
      </c>
      <c r="F411" s="520">
        <v>0</v>
      </c>
      <c r="G411" s="520">
        <v>0</v>
      </c>
      <c r="H411" s="520">
        <v>0</v>
      </c>
      <c r="I411" s="517"/>
      <c r="J411" s="520">
        <v>0</v>
      </c>
      <c r="K411" s="520">
        <v>0</v>
      </c>
      <c r="L411" s="520">
        <v>0</v>
      </c>
      <c r="M411" s="517"/>
      <c r="N411" s="542">
        <v>0</v>
      </c>
      <c r="O411" s="543">
        <v>0</v>
      </c>
      <c r="P411" s="543">
        <v>0</v>
      </c>
      <c r="Q411" s="517"/>
      <c r="R411" s="520">
        <v>0</v>
      </c>
      <c r="S411" s="520">
        <v>0</v>
      </c>
      <c r="T411" s="520">
        <v>0</v>
      </c>
      <c r="U411" s="517"/>
      <c r="V411" s="542">
        <v>0</v>
      </c>
      <c r="W411" s="543">
        <v>0</v>
      </c>
    </row>
    <row r="412" spans="1:23" x14ac:dyDescent="0.25">
      <c r="A412">
        <v>407</v>
      </c>
      <c r="B412" t="s">
        <v>427</v>
      </c>
      <c r="C412" t="s">
        <v>15</v>
      </c>
      <c r="D412" t="s">
        <v>16</v>
      </c>
      <c r="F412" s="520">
        <v>10</v>
      </c>
      <c r="G412" s="520">
        <v>14500.779999999999</v>
      </c>
      <c r="H412" s="520">
        <v>70</v>
      </c>
      <c r="I412" s="517"/>
      <c r="J412" s="520">
        <v>0</v>
      </c>
      <c r="K412" s="520">
        <v>0</v>
      </c>
      <c r="L412" s="520">
        <v>0</v>
      </c>
      <c r="M412" s="517"/>
      <c r="N412" s="542">
        <v>10</v>
      </c>
      <c r="O412" s="543">
        <v>14500.779999999999</v>
      </c>
      <c r="P412" s="543">
        <v>70</v>
      </c>
      <c r="Q412" s="517"/>
      <c r="R412" s="520">
        <v>0</v>
      </c>
      <c r="S412" s="520">
        <v>0</v>
      </c>
      <c r="T412" s="520">
        <v>0</v>
      </c>
      <c r="U412" s="517"/>
      <c r="V412" s="542">
        <v>10</v>
      </c>
      <c r="W412" s="543">
        <v>14500.779999999999</v>
      </c>
    </row>
    <row r="413" spans="1:23" x14ac:dyDescent="0.25">
      <c r="A413">
        <v>408</v>
      </c>
      <c r="B413" t="s">
        <v>428</v>
      </c>
      <c r="D413" t="s">
        <v>43</v>
      </c>
      <c r="F413" s="520">
        <v>0</v>
      </c>
      <c r="G413" s="520">
        <v>0</v>
      </c>
      <c r="H413" s="520">
        <v>0</v>
      </c>
      <c r="I413" s="517"/>
      <c r="J413" s="520">
        <v>0</v>
      </c>
      <c r="K413" s="520">
        <v>0</v>
      </c>
      <c r="L413" s="520">
        <v>0</v>
      </c>
      <c r="M413" s="517"/>
      <c r="N413" s="542">
        <v>0</v>
      </c>
      <c r="O413" s="543">
        <v>0</v>
      </c>
      <c r="P413" s="543">
        <v>0</v>
      </c>
      <c r="Q413" s="517"/>
      <c r="R413" s="520">
        <v>0</v>
      </c>
      <c r="S413" s="520">
        <v>0</v>
      </c>
      <c r="T413" s="520">
        <v>0</v>
      </c>
      <c r="U413" s="517"/>
      <c r="V413" s="542">
        <v>0</v>
      </c>
      <c r="W413" s="543">
        <v>0</v>
      </c>
    </row>
    <row r="414" spans="1:23" x14ac:dyDescent="0.25">
      <c r="A414">
        <v>409</v>
      </c>
      <c r="B414" t="s">
        <v>429</v>
      </c>
      <c r="C414" t="s">
        <v>18</v>
      </c>
      <c r="D414" t="s">
        <v>16</v>
      </c>
      <c r="F414" s="520">
        <v>2</v>
      </c>
      <c r="G414" s="520">
        <v>69582</v>
      </c>
      <c r="H414" s="520">
        <v>100</v>
      </c>
      <c r="I414" s="517"/>
      <c r="J414" s="520">
        <v>0</v>
      </c>
      <c r="K414" s="520">
        <v>0</v>
      </c>
      <c r="L414" s="520">
        <v>0</v>
      </c>
      <c r="M414" s="517"/>
      <c r="N414" s="542">
        <v>2</v>
      </c>
      <c r="O414" s="543">
        <v>69582</v>
      </c>
      <c r="P414" s="543">
        <v>100</v>
      </c>
      <c r="Q414" s="517"/>
      <c r="R414" s="520">
        <v>0</v>
      </c>
      <c r="S414" s="520">
        <v>0</v>
      </c>
      <c r="T414" s="520">
        <v>0</v>
      </c>
      <c r="U414" s="517"/>
      <c r="V414" s="542">
        <v>2</v>
      </c>
      <c r="W414" s="543">
        <v>69582</v>
      </c>
    </row>
    <row r="415" spans="1:23" x14ac:dyDescent="0.25">
      <c r="A415">
        <v>410</v>
      </c>
      <c r="B415" t="s">
        <v>430</v>
      </c>
      <c r="C415" t="s">
        <v>92</v>
      </c>
      <c r="D415" t="s">
        <v>16</v>
      </c>
      <c r="F415" s="520">
        <v>0</v>
      </c>
      <c r="G415" s="520">
        <v>0</v>
      </c>
      <c r="H415" s="520">
        <v>0</v>
      </c>
      <c r="I415" s="517"/>
      <c r="J415" s="520">
        <v>0</v>
      </c>
      <c r="K415" s="520">
        <v>0</v>
      </c>
      <c r="L415" s="520">
        <v>0</v>
      </c>
      <c r="M415" s="517"/>
      <c r="N415" s="542">
        <v>0</v>
      </c>
      <c r="O415" s="543">
        <v>0</v>
      </c>
      <c r="P415" s="543">
        <v>0</v>
      </c>
      <c r="Q415" s="517"/>
      <c r="R415" s="520">
        <v>0</v>
      </c>
      <c r="S415" s="520">
        <v>0</v>
      </c>
      <c r="T415" s="520">
        <v>0</v>
      </c>
      <c r="U415" s="517"/>
      <c r="V415" s="542">
        <v>0</v>
      </c>
      <c r="W415" s="543">
        <v>0</v>
      </c>
    </row>
    <row r="416" spans="1:23" x14ac:dyDescent="0.25">
      <c r="A416">
        <v>411</v>
      </c>
      <c r="B416" t="s">
        <v>431</v>
      </c>
      <c r="C416" t="s">
        <v>432</v>
      </c>
      <c r="D416" t="s">
        <v>16</v>
      </c>
      <c r="F416" s="520">
        <v>0</v>
      </c>
      <c r="G416" s="520">
        <v>0</v>
      </c>
      <c r="H416" s="520">
        <v>0</v>
      </c>
      <c r="I416" s="517"/>
      <c r="J416" s="520">
        <v>0</v>
      </c>
      <c r="K416" s="520">
        <v>0</v>
      </c>
      <c r="L416" s="520">
        <v>0</v>
      </c>
      <c r="M416" s="517"/>
      <c r="N416" s="542">
        <v>0</v>
      </c>
      <c r="O416" s="543">
        <v>0</v>
      </c>
      <c r="P416" s="543">
        <v>0</v>
      </c>
      <c r="Q416" s="517"/>
      <c r="R416" s="520">
        <v>0</v>
      </c>
      <c r="S416" s="520">
        <v>0</v>
      </c>
      <c r="T416" s="520">
        <v>0</v>
      </c>
      <c r="U416" s="517"/>
      <c r="V416" s="542">
        <v>0</v>
      </c>
      <c r="W416" s="543">
        <v>0</v>
      </c>
    </row>
    <row r="417" spans="1:23" x14ac:dyDescent="0.25">
      <c r="A417">
        <v>412</v>
      </c>
      <c r="B417" t="s">
        <v>433</v>
      </c>
      <c r="C417" t="s">
        <v>349</v>
      </c>
      <c r="D417" t="s">
        <v>16</v>
      </c>
      <c r="F417" s="520">
        <v>0</v>
      </c>
      <c r="G417" s="520">
        <v>0</v>
      </c>
      <c r="H417" s="520">
        <v>0</v>
      </c>
      <c r="I417" s="517"/>
      <c r="J417" s="520">
        <v>0</v>
      </c>
      <c r="K417" s="520">
        <v>0</v>
      </c>
      <c r="L417" s="520">
        <v>0</v>
      </c>
      <c r="M417" s="517"/>
      <c r="N417" s="542">
        <v>0</v>
      </c>
      <c r="O417" s="543">
        <v>0</v>
      </c>
      <c r="P417" s="543">
        <v>0</v>
      </c>
      <c r="Q417" s="517"/>
      <c r="R417" s="520">
        <v>0</v>
      </c>
      <c r="S417" s="520">
        <v>0</v>
      </c>
      <c r="T417" s="520">
        <v>0</v>
      </c>
      <c r="U417" s="517"/>
      <c r="V417" s="542">
        <v>0</v>
      </c>
      <c r="W417" s="543">
        <v>0</v>
      </c>
    </row>
    <row r="418" spans="1:23" x14ac:dyDescent="0.25">
      <c r="A418">
        <v>413</v>
      </c>
      <c r="B418" t="s">
        <v>434</v>
      </c>
      <c r="C418" t="s">
        <v>108</v>
      </c>
      <c r="D418" t="s">
        <v>16</v>
      </c>
      <c r="F418" s="520">
        <v>0</v>
      </c>
      <c r="G418" s="520">
        <v>0</v>
      </c>
      <c r="H418" s="520">
        <v>0</v>
      </c>
      <c r="I418" s="517"/>
      <c r="J418" s="520">
        <v>0</v>
      </c>
      <c r="K418" s="520">
        <v>0</v>
      </c>
      <c r="L418" s="520">
        <v>0</v>
      </c>
      <c r="M418" s="517"/>
      <c r="N418" s="542">
        <v>0</v>
      </c>
      <c r="O418" s="543">
        <v>0</v>
      </c>
      <c r="P418" s="543">
        <v>0</v>
      </c>
      <c r="Q418" s="517"/>
      <c r="R418" s="520">
        <v>0</v>
      </c>
      <c r="S418" s="520">
        <v>0</v>
      </c>
      <c r="T418" s="520">
        <v>0</v>
      </c>
      <c r="U418" s="517"/>
      <c r="V418" s="542">
        <v>0</v>
      </c>
      <c r="W418" s="543">
        <v>0</v>
      </c>
    </row>
    <row r="419" spans="1:23" x14ac:dyDescent="0.25">
      <c r="A419">
        <v>414</v>
      </c>
      <c r="B419" t="s">
        <v>435</v>
      </c>
      <c r="C419" t="s">
        <v>108</v>
      </c>
      <c r="D419" t="s">
        <v>16</v>
      </c>
      <c r="F419" s="520">
        <v>0</v>
      </c>
      <c r="G419" s="520">
        <v>0</v>
      </c>
      <c r="H419" s="520">
        <v>0</v>
      </c>
      <c r="I419" s="517"/>
      <c r="J419" s="520">
        <v>0</v>
      </c>
      <c r="K419" s="520">
        <v>0</v>
      </c>
      <c r="L419" s="520">
        <v>0</v>
      </c>
      <c r="M419" s="517"/>
      <c r="N419" s="542">
        <v>0</v>
      </c>
      <c r="O419" s="543">
        <v>0</v>
      </c>
      <c r="P419" s="543">
        <v>0</v>
      </c>
      <c r="Q419" s="517"/>
      <c r="R419" s="520">
        <v>0</v>
      </c>
      <c r="S419" s="520">
        <v>0</v>
      </c>
      <c r="T419" s="520">
        <v>0</v>
      </c>
      <c r="U419" s="517"/>
      <c r="V419" s="542">
        <v>0</v>
      </c>
      <c r="W419" s="543">
        <v>0</v>
      </c>
    </row>
    <row r="420" spans="1:23" x14ac:dyDescent="0.25">
      <c r="A420">
        <v>415</v>
      </c>
      <c r="B420" t="s">
        <v>436</v>
      </c>
      <c r="C420" t="s">
        <v>15</v>
      </c>
      <c r="D420" t="s">
        <v>16</v>
      </c>
      <c r="F420" s="520">
        <v>0</v>
      </c>
      <c r="G420" s="520">
        <v>0</v>
      </c>
      <c r="H420" s="520">
        <v>0</v>
      </c>
      <c r="I420" s="517"/>
      <c r="J420" s="520">
        <v>0</v>
      </c>
      <c r="K420" s="520">
        <v>0</v>
      </c>
      <c r="L420" s="520">
        <v>0</v>
      </c>
      <c r="M420" s="517"/>
      <c r="N420" s="542">
        <v>0</v>
      </c>
      <c r="O420" s="543">
        <v>0</v>
      </c>
      <c r="P420" s="543">
        <v>0</v>
      </c>
      <c r="Q420" s="517"/>
      <c r="R420" s="520">
        <v>0</v>
      </c>
      <c r="S420" s="520">
        <v>0</v>
      </c>
      <c r="T420" s="520">
        <v>0</v>
      </c>
      <c r="U420" s="517"/>
      <c r="V420" s="542">
        <v>0</v>
      </c>
      <c r="W420" s="543">
        <v>0</v>
      </c>
    </row>
    <row r="421" spans="1:23" x14ac:dyDescent="0.25">
      <c r="A421">
        <v>416</v>
      </c>
      <c r="B421" t="s">
        <v>437</v>
      </c>
      <c r="C421" t="s">
        <v>39</v>
      </c>
      <c r="D421" t="s">
        <v>16</v>
      </c>
      <c r="F421" s="520">
        <v>2309</v>
      </c>
      <c r="G421" s="520">
        <v>15214025.780000001</v>
      </c>
      <c r="H421" s="520">
        <v>16163</v>
      </c>
      <c r="I421" s="517"/>
      <c r="J421" s="520">
        <v>0</v>
      </c>
      <c r="K421" s="520">
        <v>0</v>
      </c>
      <c r="L421" s="520">
        <v>0</v>
      </c>
      <c r="M421" s="517"/>
      <c r="N421" s="542">
        <v>2309</v>
      </c>
      <c r="O421" s="543">
        <v>15214025.780000001</v>
      </c>
      <c r="P421" s="543">
        <v>16163</v>
      </c>
      <c r="Q421" s="517"/>
      <c r="R421" s="520">
        <v>0</v>
      </c>
      <c r="S421" s="520">
        <v>0</v>
      </c>
      <c r="T421" s="520">
        <v>0</v>
      </c>
      <c r="U421" s="517"/>
      <c r="V421" s="542">
        <v>2309</v>
      </c>
      <c r="W421" s="543">
        <v>15214025.780000001</v>
      </c>
    </row>
    <row r="422" spans="1:23" x14ac:dyDescent="0.25">
      <c r="A422">
        <v>417</v>
      </c>
      <c r="B422" t="s">
        <v>438</v>
      </c>
      <c r="C422" t="s">
        <v>18</v>
      </c>
      <c r="D422" t="s">
        <v>16</v>
      </c>
      <c r="F422" s="520">
        <v>16</v>
      </c>
      <c r="G422" s="520">
        <v>53335.729999999996</v>
      </c>
      <c r="H422" s="520">
        <v>160</v>
      </c>
      <c r="I422" s="517"/>
      <c r="J422" s="520">
        <v>0</v>
      </c>
      <c r="K422" s="520">
        <v>0</v>
      </c>
      <c r="L422" s="520">
        <v>0</v>
      </c>
      <c r="M422" s="517"/>
      <c r="N422" s="542">
        <v>16</v>
      </c>
      <c r="O422" s="543">
        <v>53335.729999999996</v>
      </c>
      <c r="P422" s="543">
        <v>160</v>
      </c>
      <c r="Q422" s="517"/>
      <c r="R422" s="520">
        <v>0</v>
      </c>
      <c r="S422" s="520">
        <v>0</v>
      </c>
      <c r="T422" s="520">
        <v>0</v>
      </c>
      <c r="U422" s="517"/>
      <c r="V422" s="542">
        <v>16</v>
      </c>
      <c r="W422" s="543">
        <v>53335.729999999996</v>
      </c>
    </row>
    <row r="423" spans="1:23" x14ac:dyDescent="0.25">
      <c r="A423">
        <v>418</v>
      </c>
      <c r="B423" t="s">
        <v>439</v>
      </c>
      <c r="C423" t="s">
        <v>15</v>
      </c>
      <c r="D423" t="s">
        <v>380</v>
      </c>
      <c r="F423" s="520">
        <v>4</v>
      </c>
      <c r="G423" s="520">
        <v>37382</v>
      </c>
      <c r="H423" s="520">
        <v>60</v>
      </c>
      <c r="I423" s="517"/>
      <c r="J423" s="520">
        <v>0</v>
      </c>
      <c r="K423" s="520">
        <v>0</v>
      </c>
      <c r="L423" s="520">
        <v>0</v>
      </c>
      <c r="M423" s="517"/>
      <c r="N423" s="542">
        <v>4</v>
      </c>
      <c r="O423" s="543">
        <v>37382</v>
      </c>
      <c r="P423" s="543">
        <v>60</v>
      </c>
      <c r="Q423" s="517"/>
      <c r="R423" s="520">
        <v>0</v>
      </c>
      <c r="S423" s="520">
        <v>0</v>
      </c>
      <c r="T423" s="520">
        <v>0</v>
      </c>
      <c r="U423" s="517"/>
      <c r="V423" s="542">
        <v>4</v>
      </c>
      <c r="W423" s="543">
        <v>37382</v>
      </c>
    </row>
    <row r="424" spans="1:23" x14ac:dyDescent="0.25">
      <c r="A424">
        <v>419</v>
      </c>
      <c r="B424" t="s">
        <v>440</v>
      </c>
      <c r="C424" t="s">
        <v>18</v>
      </c>
      <c r="D424" t="s">
        <v>16</v>
      </c>
      <c r="F424" s="520">
        <v>6</v>
      </c>
      <c r="G424" s="520">
        <v>5592.11</v>
      </c>
      <c r="H424" s="520">
        <v>60</v>
      </c>
      <c r="I424" s="517"/>
      <c r="J424" s="520">
        <v>0</v>
      </c>
      <c r="K424" s="520">
        <v>0</v>
      </c>
      <c r="L424" s="520">
        <v>0</v>
      </c>
      <c r="M424" s="517"/>
      <c r="N424" s="542">
        <v>6</v>
      </c>
      <c r="O424" s="543">
        <v>5592.11</v>
      </c>
      <c r="P424" s="543">
        <v>60</v>
      </c>
      <c r="Q424" s="517"/>
      <c r="R424" s="520">
        <v>0</v>
      </c>
      <c r="S424" s="520">
        <v>0</v>
      </c>
      <c r="T424" s="520">
        <v>0</v>
      </c>
      <c r="U424" s="517"/>
      <c r="V424" s="542">
        <v>6</v>
      </c>
      <c r="W424" s="543">
        <v>5592.11</v>
      </c>
    </row>
    <row r="425" spans="1:23" x14ac:dyDescent="0.25">
      <c r="A425">
        <v>420</v>
      </c>
      <c r="B425" t="s">
        <v>441</v>
      </c>
      <c r="C425" t="s">
        <v>25</v>
      </c>
      <c r="D425" t="s">
        <v>16</v>
      </c>
      <c r="F425" s="520">
        <v>14</v>
      </c>
      <c r="G425" s="520">
        <v>12014</v>
      </c>
      <c r="H425" s="520">
        <v>112</v>
      </c>
      <c r="I425" s="517"/>
      <c r="J425" s="520">
        <v>0</v>
      </c>
      <c r="K425" s="520">
        <v>0</v>
      </c>
      <c r="L425" s="520">
        <v>0</v>
      </c>
      <c r="M425" s="517"/>
      <c r="N425" s="542">
        <v>14</v>
      </c>
      <c r="O425" s="543">
        <v>12014</v>
      </c>
      <c r="P425" s="543">
        <v>112</v>
      </c>
      <c r="Q425" s="517"/>
      <c r="R425" s="520">
        <v>0</v>
      </c>
      <c r="S425" s="520">
        <v>0</v>
      </c>
      <c r="T425" s="520">
        <v>0</v>
      </c>
      <c r="U425" s="517"/>
      <c r="V425" s="542">
        <v>14</v>
      </c>
      <c r="W425" s="543">
        <v>12014</v>
      </c>
    </row>
    <row r="426" spans="1:23" x14ac:dyDescent="0.25">
      <c r="A426">
        <v>421</v>
      </c>
      <c r="B426" t="s">
        <v>442</v>
      </c>
      <c r="D426" t="s">
        <v>16</v>
      </c>
      <c r="F426" s="520">
        <v>0</v>
      </c>
      <c r="G426" s="520">
        <v>0</v>
      </c>
      <c r="H426" s="520">
        <v>0</v>
      </c>
      <c r="I426" s="517"/>
      <c r="J426" s="520">
        <v>0</v>
      </c>
      <c r="K426" s="520">
        <v>0</v>
      </c>
      <c r="L426" s="520">
        <v>0</v>
      </c>
      <c r="M426" s="517"/>
      <c r="N426" s="542">
        <v>0</v>
      </c>
      <c r="O426" s="543">
        <v>0</v>
      </c>
      <c r="P426" s="543">
        <v>0</v>
      </c>
      <c r="Q426" s="517"/>
      <c r="R426" s="520">
        <v>0</v>
      </c>
      <c r="S426" s="520">
        <v>0</v>
      </c>
      <c r="T426" s="520">
        <v>0</v>
      </c>
      <c r="U426" s="517"/>
      <c r="V426" s="542">
        <v>0</v>
      </c>
      <c r="W426" s="543">
        <v>0</v>
      </c>
    </row>
    <row r="427" spans="1:23" x14ac:dyDescent="0.25">
      <c r="A427">
        <v>422</v>
      </c>
      <c r="B427" t="s">
        <v>443</v>
      </c>
      <c r="C427" t="s">
        <v>18</v>
      </c>
      <c r="D427" t="s">
        <v>16</v>
      </c>
      <c r="F427" s="520">
        <v>0</v>
      </c>
      <c r="G427" s="520">
        <v>0</v>
      </c>
      <c r="H427" s="520">
        <v>0</v>
      </c>
      <c r="I427" s="517"/>
      <c r="J427" s="520">
        <v>0</v>
      </c>
      <c r="K427" s="520">
        <v>0</v>
      </c>
      <c r="L427" s="520">
        <v>0</v>
      </c>
      <c r="M427" s="517"/>
      <c r="N427" s="542">
        <v>0</v>
      </c>
      <c r="O427" s="543">
        <v>0</v>
      </c>
      <c r="P427" s="543">
        <v>0</v>
      </c>
      <c r="Q427" s="517"/>
      <c r="R427" s="520">
        <v>0</v>
      </c>
      <c r="S427" s="520">
        <v>0</v>
      </c>
      <c r="T427" s="520">
        <v>0</v>
      </c>
      <c r="U427" s="517"/>
      <c r="V427" s="542">
        <v>0</v>
      </c>
      <c r="W427" s="543">
        <v>0</v>
      </c>
    </row>
    <row r="428" spans="1:23" x14ac:dyDescent="0.25">
      <c r="A428">
        <v>423</v>
      </c>
      <c r="B428" t="s">
        <v>444</v>
      </c>
      <c r="C428" t="s">
        <v>25</v>
      </c>
      <c r="D428" t="s">
        <v>16</v>
      </c>
      <c r="F428" s="520">
        <v>0</v>
      </c>
      <c r="G428" s="520">
        <v>0</v>
      </c>
      <c r="H428" s="520">
        <v>0</v>
      </c>
      <c r="I428" s="517"/>
      <c r="J428" s="520">
        <v>0</v>
      </c>
      <c r="K428" s="520">
        <v>0</v>
      </c>
      <c r="L428" s="520">
        <v>0</v>
      </c>
      <c r="M428" s="517"/>
      <c r="N428" s="542">
        <v>0</v>
      </c>
      <c r="O428" s="543">
        <v>0</v>
      </c>
      <c r="P428" s="543">
        <v>0</v>
      </c>
      <c r="Q428" s="517"/>
      <c r="R428" s="520">
        <v>0</v>
      </c>
      <c r="S428" s="520">
        <v>0</v>
      </c>
      <c r="T428" s="520">
        <v>0</v>
      </c>
      <c r="U428" s="517"/>
      <c r="V428" s="542">
        <v>0</v>
      </c>
      <c r="W428" s="543">
        <v>0</v>
      </c>
    </row>
    <row r="429" spans="1:23" x14ac:dyDescent="0.25">
      <c r="A429">
        <v>424</v>
      </c>
      <c r="B429" t="s">
        <v>445</v>
      </c>
      <c r="C429" t="s">
        <v>15</v>
      </c>
      <c r="D429" t="s">
        <v>16</v>
      </c>
      <c r="F429" s="520">
        <v>85</v>
      </c>
      <c r="G429" s="520">
        <v>1178828.5</v>
      </c>
      <c r="H429" s="520">
        <v>2550</v>
      </c>
      <c r="I429" s="517"/>
      <c r="J429" s="520">
        <v>0</v>
      </c>
      <c r="K429" s="520">
        <v>0</v>
      </c>
      <c r="L429" s="520">
        <v>0</v>
      </c>
      <c r="M429" s="517"/>
      <c r="N429" s="542">
        <v>85</v>
      </c>
      <c r="O429" s="543">
        <v>1178828.5</v>
      </c>
      <c r="P429" s="543">
        <v>2550</v>
      </c>
      <c r="Q429" s="517"/>
      <c r="R429" s="520">
        <v>0</v>
      </c>
      <c r="S429" s="520">
        <v>0</v>
      </c>
      <c r="T429" s="520">
        <v>0</v>
      </c>
      <c r="U429" s="517"/>
      <c r="V429" s="542">
        <v>85</v>
      </c>
      <c r="W429" s="543">
        <v>1178828.5</v>
      </c>
    </row>
    <row r="430" spans="1:23" x14ac:dyDescent="0.25">
      <c r="A430">
        <v>425</v>
      </c>
      <c r="B430" t="s">
        <v>446</v>
      </c>
      <c r="C430" t="s">
        <v>15</v>
      </c>
      <c r="D430" t="s">
        <v>16</v>
      </c>
      <c r="F430" s="520">
        <v>0</v>
      </c>
      <c r="G430" s="520">
        <v>0</v>
      </c>
      <c r="H430" s="520">
        <v>0</v>
      </c>
      <c r="I430" s="517"/>
      <c r="J430" s="520">
        <v>0</v>
      </c>
      <c r="K430" s="520">
        <v>0</v>
      </c>
      <c r="L430" s="520">
        <v>0</v>
      </c>
      <c r="M430" s="517"/>
      <c r="N430" s="542">
        <v>0</v>
      </c>
      <c r="O430" s="543">
        <v>0</v>
      </c>
      <c r="P430" s="543">
        <v>0</v>
      </c>
      <c r="Q430" s="517"/>
      <c r="R430" s="520">
        <v>0</v>
      </c>
      <c r="S430" s="520">
        <v>0</v>
      </c>
      <c r="T430" s="520">
        <v>0</v>
      </c>
      <c r="U430" s="517"/>
      <c r="V430" s="542">
        <v>0</v>
      </c>
      <c r="W430" s="543">
        <v>0</v>
      </c>
    </row>
    <row r="431" spans="1:23" x14ac:dyDescent="0.25">
      <c r="A431">
        <v>426</v>
      </c>
      <c r="B431" t="s">
        <v>447</v>
      </c>
      <c r="C431" t="s">
        <v>448</v>
      </c>
      <c r="D431" t="s">
        <v>20</v>
      </c>
      <c r="F431" s="520">
        <v>0</v>
      </c>
      <c r="G431" s="520">
        <v>0</v>
      </c>
      <c r="H431" s="520">
        <v>0</v>
      </c>
      <c r="I431" s="517"/>
      <c r="J431" s="520">
        <v>0</v>
      </c>
      <c r="K431" s="520">
        <v>0</v>
      </c>
      <c r="L431" s="520">
        <v>0</v>
      </c>
      <c r="M431" s="517"/>
      <c r="N431" s="542">
        <v>0</v>
      </c>
      <c r="O431" s="543">
        <v>0</v>
      </c>
      <c r="P431" s="543">
        <v>0</v>
      </c>
      <c r="Q431" s="517"/>
      <c r="R431" s="520">
        <v>0</v>
      </c>
      <c r="S431" s="520">
        <v>0</v>
      </c>
      <c r="T431" s="520">
        <v>0</v>
      </c>
      <c r="U431" s="517"/>
      <c r="V431" s="542">
        <v>0</v>
      </c>
      <c r="W431" s="543">
        <v>0</v>
      </c>
    </row>
    <row r="432" spans="1:23" x14ac:dyDescent="0.25">
      <c r="A432">
        <v>427</v>
      </c>
      <c r="B432" t="s">
        <v>2425</v>
      </c>
      <c r="C432" t="s">
        <v>18</v>
      </c>
      <c r="D432" t="s">
        <v>20</v>
      </c>
      <c r="F432" s="520">
        <v>4</v>
      </c>
      <c r="G432" s="520">
        <v>110535.48000000001</v>
      </c>
      <c r="H432" s="520">
        <v>160</v>
      </c>
      <c r="I432" s="517"/>
      <c r="J432" s="520">
        <v>0</v>
      </c>
      <c r="K432" s="520">
        <v>0</v>
      </c>
      <c r="L432" s="520">
        <v>0</v>
      </c>
      <c r="M432" s="517"/>
      <c r="N432" s="542">
        <v>4</v>
      </c>
      <c r="O432" s="543">
        <v>110535.48000000001</v>
      </c>
      <c r="P432" s="543">
        <v>160</v>
      </c>
      <c r="Q432" s="517"/>
      <c r="R432" s="520">
        <v>0</v>
      </c>
      <c r="S432" s="520">
        <v>0</v>
      </c>
      <c r="T432" s="520">
        <v>0</v>
      </c>
      <c r="U432" s="517"/>
      <c r="V432" s="542">
        <v>4</v>
      </c>
      <c r="W432" s="543">
        <v>110535.48000000001</v>
      </c>
    </row>
    <row r="433" spans="1:23" x14ac:dyDescent="0.25">
      <c r="A433">
        <v>428</v>
      </c>
      <c r="B433" t="s">
        <v>449</v>
      </c>
      <c r="C433" t="s">
        <v>355</v>
      </c>
      <c r="D433" t="s">
        <v>40</v>
      </c>
      <c r="F433" s="520">
        <v>0</v>
      </c>
      <c r="G433" s="520">
        <v>0</v>
      </c>
      <c r="H433" s="520">
        <v>0</v>
      </c>
      <c r="I433" s="517"/>
      <c r="J433" s="520">
        <v>0</v>
      </c>
      <c r="K433" s="520">
        <v>0</v>
      </c>
      <c r="L433" s="520">
        <v>0</v>
      </c>
      <c r="M433" s="517"/>
      <c r="N433" s="542">
        <v>0</v>
      </c>
      <c r="O433" s="543">
        <v>0</v>
      </c>
      <c r="P433" s="543">
        <v>0</v>
      </c>
      <c r="Q433" s="517"/>
      <c r="R433" s="520">
        <v>0</v>
      </c>
      <c r="S433" s="520">
        <v>0</v>
      </c>
      <c r="T433" s="520">
        <v>0</v>
      </c>
      <c r="U433" s="517"/>
      <c r="V433" s="542">
        <v>0</v>
      </c>
      <c r="W433" s="543">
        <v>0</v>
      </c>
    </row>
    <row r="434" spans="1:23" x14ac:dyDescent="0.25">
      <c r="A434">
        <v>429</v>
      </c>
      <c r="B434" t="s">
        <v>450</v>
      </c>
      <c r="C434" t="s">
        <v>355</v>
      </c>
      <c r="D434" t="s">
        <v>40</v>
      </c>
      <c r="F434" s="520">
        <v>0</v>
      </c>
      <c r="G434" s="520">
        <v>0</v>
      </c>
      <c r="H434" s="520">
        <v>0</v>
      </c>
      <c r="I434" s="517"/>
      <c r="J434" s="520">
        <v>0</v>
      </c>
      <c r="K434" s="520">
        <v>0</v>
      </c>
      <c r="L434" s="520">
        <v>0</v>
      </c>
      <c r="M434" s="517"/>
      <c r="N434" s="542">
        <v>0</v>
      </c>
      <c r="O434" s="543">
        <v>0</v>
      </c>
      <c r="P434" s="543">
        <v>0</v>
      </c>
      <c r="Q434" s="517"/>
      <c r="R434" s="520">
        <v>0</v>
      </c>
      <c r="S434" s="520">
        <v>0</v>
      </c>
      <c r="T434" s="520">
        <v>0</v>
      </c>
      <c r="U434" s="517"/>
      <c r="V434" s="542">
        <v>0</v>
      </c>
      <c r="W434" s="543">
        <v>0</v>
      </c>
    </row>
    <row r="435" spans="1:23" x14ac:dyDescent="0.25">
      <c r="A435">
        <v>430</v>
      </c>
      <c r="B435" t="s">
        <v>451</v>
      </c>
      <c r="C435" t="s">
        <v>355</v>
      </c>
      <c r="D435" t="s">
        <v>40</v>
      </c>
      <c r="F435" s="520">
        <v>0</v>
      </c>
      <c r="G435" s="520">
        <v>0</v>
      </c>
      <c r="H435" s="520">
        <v>0</v>
      </c>
      <c r="I435" s="517"/>
      <c r="J435" s="520">
        <v>0</v>
      </c>
      <c r="K435" s="520">
        <v>0</v>
      </c>
      <c r="L435" s="520">
        <v>0</v>
      </c>
      <c r="M435" s="517"/>
      <c r="N435" s="542">
        <v>0</v>
      </c>
      <c r="O435" s="543">
        <v>0</v>
      </c>
      <c r="P435" s="543">
        <v>0</v>
      </c>
      <c r="Q435" s="517"/>
      <c r="R435" s="520">
        <v>0</v>
      </c>
      <c r="S435" s="520">
        <v>0</v>
      </c>
      <c r="T435" s="520">
        <v>0</v>
      </c>
      <c r="U435" s="517"/>
      <c r="V435" s="542">
        <v>0</v>
      </c>
      <c r="W435" s="543">
        <v>0</v>
      </c>
    </row>
    <row r="436" spans="1:23" x14ac:dyDescent="0.25">
      <c r="A436">
        <v>431</v>
      </c>
      <c r="B436" t="s">
        <v>452</v>
      </c>
      <c r="D436" t="s">
        <v>16</v>
      </c>
      <c r="F436" s="520">
        <v>1</v>
      </c>
      <c r="G436" s="520">
        <v>2000</v>
      </c>
      <c r="H436" s="520">
        <v>15</v>
      </c>
      <c r="I436" s="517"/>
      <c r="J436" s="520">
        <v>0</v>
      </c>
      <c r="K436" s="520">
        <v>0</v>
      </c>
      <c r="L436" s="520">
        <v>0</v>
      </c>
      <c r="M436" s="517"/>
      <c r="N436" s="542">
        <v>1</v>
      </c>
      <c r="O436" s="543">
        <v>2000</v>
      </c>
      <c r="P436" s="543">
        <v>15</v>
      </c>
      <c r="Q436" s="517"/>
      <c r="R436" s="520">
        <v>0</v>
      </c>
      <c r="S436" s="520">
        <v>0</v>
      </c>
      <c r="T436" s="520">
        <v>0</v>
      </c>
      <c r="U436" s="517"/>
      <c r="V436" s="542">
        <v>1</v>
      </c>
      <c r="W436" s="543">
        <v>2000</v>
      </c>
    </row>
    <row r="437" spans="1:23" x14ac:dyDescent="0.25">
      <c r="A437">
        <v>432</v>
      </c>
      <c r="B437" t="s">
        <v>454</v>
      </c>
      <c r="C437" t="s">
        <v>18</v>
      </c>
      <c r="D437" t="s">
        <v>16</v>
      </c>
      <c r="F437" s="520">
        <v>4</v>
      </c>
      <c r="G437" s="520">
        <v>84985</v>
      </c>
      <c r="H437" s="520">
        <v>120</v>
      </c>
      <c r="I437" s="517"/>
      <c r="J437" s="520">
        <v>0</v>
      </c>
      <c r="K437" s="520">
        <v>0</v>
      </c>
      <c r="L437" s="520">
        <v>0</v>
      </c>
      <c r="M437" s="517"/>
      <c r="N437" s="542">
        <v>4</v>
      </c>
      <c r="O437" s="543">
        <v>84985</v>
      </c>
      <c r="P437" s="543">
        <v>120</v>
      </c>
      <c r="Q437" s="517"/>
      <c r="R437" s="520">
        <v>0</v>
      </c>
      <c r="S437" s="520">
        <v>0</v>
      </c>
      <c r="T437" s="520">
        <v>0</v>
      </c>
      <c r="U437" s="517"/>
      <c r="V437" s="542">
        <v>4</v>
      </c>
      <c r="W437" s="543">
        <v>84985</v>
      </c>
    </row>
    <row r="438" spans="1:23" x14ac:dyDescent="0.25">
      <c r="A438">
        <v>433</v>
      </c>
      <c r="B438" t="s">
        <v>455</v>
      </c>
      <c r="C438" t="s">
        <v>18</v>
      </c>
      <c r="D438" t="s">
        <v>16</v>
      </c>
      <c r="F438" s="520">
        <v>1</v>
      </c>
      <c r="G438" s="520">
        <v>161447.89000000001</v>
      </c>
      <c r="H438" s="520">
        <v>30</v>
      </c>
      <c r="I438" s="517"/>
      <c r="J438" s="520">
        <v>0</v>
      </c>
      <c r="K438" s="520">
        <v>0</v>
      </c>
      <c r="L438" s="520">
        <v>0</v>
      </c>
      <c r="M438" s="517"/>
      <c r="N438" s="542">
        <v>1</v>
      </c>
      <c r="O438" s="543">
        <v>161447.89000000001</v>
      </c>
      <c r="P438" s="543">
        <v>30</v>
      </c>
      <c r="Q438" s="517"/>
      <c r="R438" s="520">
        <v>0</v>
      </c>
      <c r="S438" s="520">
        <v>0</v>
      </c>
      <c r="T438" s="520">
        <v>0</v>
      </c>
      <c r="U438" s="517"/>
      <c r="V438" s="542">
        <v>1</v>
      </c>
      <c r="W438" s="543">
        <v>161447.89000000001</v>
      </c>
    </row>
    <row r="439" spans="1:23" x14ac:dyDescent="0.25">
      <c r="A439">
        <v>434</v>
      </c>
      <c r="B439" t="s">
        <v>456</v>
      </c>
      <c r="C439" t="s">
        <v>25</v>
      </c>
      <c r="D439" t="s">
        <v>20</v>
      </c>
      <c r="F439" s="520">
        <v>2</v>
      </c>
      <c r="G439" s="520">
        <v>2160</v>
      </c>
      <c r="H439" s="520">
        <v>30</v>
      </c>
      <c r="I439" s="517"/>
      <c r="J439" s="520">
        <v>0</v>
      </c>
      <c r="K439" s="520">
        <v>0</v>
      </c>
      <c r="L439" s="520">
        <v>0</v>
      </c>
      <c r="M439" s="517"/>
      <c r="N439" s="542">
        <v>2</v>
      </c>
      <c r="O439" s="543">
        <v>2160</v>
      </c>
      <c r="P439" s="543">
        <v>30</v>
      </c>
      <c r="Q439" s="517"/>
      <c r="R439" s="520">
        <v>0</v>
      </c>
      <c r="S439" s="520">
        <v>0</v>
      </c>
      <c r="T439" s="520">
        <v>0</v>
      </c>
      <c r="U439" s="517"/>
      <c r="V439" s="542">
        <v>2</v>
      </c>
      <c r="W439" s="543">
        <v>2160</v>
      </c>
    </row>
    <row r="440" spans="1:23" x14ac:dyDescent="0.25">
      <c r="A440">
        <v>435</v>
      </c>
      <c r="B440" t="s">
        <v>457</v>
      </c>
      <c r="C440" t="s">
        <v>41</v>
      </c>
      <c r="D440" t="s">
        <v>703</v>
      </c>
      <c r="F440" s="520">
        <v>0</v>
      </c>
      <c r="G440" s="520">
        <v>0</v>
      </c>
      <c r="H440" s="520">
        <v>0</v>
      </c>
      <c r="I440" s="517"/>
      <c r="J440" s="520">
        <v>0</v>
      </c>
      <c r="K440" s="520">
        <v>0</v>
      </c>
      <c r="L440" s="520">
        <v>0</v>
      </c>
      <c r="M440" s="517"/>
      <c r="N440" s="542">
        <v>0</v>
      </c>
      <c r="O440" s="543">
        <v>0</v>
      </c>
      <c r="P440" s="543">
        <v>0</v>
      </c>
      <c r="Q440" s="517"/>
      <c r="R440" s="520">
        <v>0</v>
      </c>
      <c r="S440" s="520">
        <v>0</v>
      </c>
      <c r="T440" s="520">
        <v>0</v>
      </c>
      <c r="U440" s="517"/>
      <c r="V440" s="542">
        <v>0</v>
      </c>
      <c r="W440" s="543">
        <v>0</v>
      </c>
    </row>
    <row r="441" spans="1:23" x14ac:dyDescent="0.25">
      <c r="A441">
        <v>436</v>
      </c>
      <c r="B441" t="s">
        <v>458</v>
      </c>
      <c r="C441" t="s">
        <v>18</v>
      </c>
      <c r="D441" t="s">
        <v>16</v>
      </c>
      <c r="F441" s="520">
        <v>0</v>
      </c>
      <c r="G441" s="520">
        <v>0</v>
      </c>
      <c r="H441" s="520">
        <v>0</v>
      </c>
      <c r="I441" s="517"/>
      <c r="J441" s="520">
        <v>0</v>
      </c>
      <c r="K441" s="520">
        <v>0</v>
      </c>
      <c r="L441" s="520">
        <v>0</v>
      </c>
      <c r="M441" s="517"/>
      <c r="N441" s="542">
        <v>0</v>
      </c>
      <c r="O441" s="543">
        <v>0</v>
      </c>
      <c r="P441" s="543">
        <v>0</v>
      </c>
      <c r="Q441" s="517"/>
      <c r="R441" s="520">
        <v>0</v>
      </c>
      <c r="S441" s="520">
        <v>0</v>
      </c>
      <c r="T441" s="520">
        <v>0</v>
      </c>
      <c r="U441" s="517"/>
      <c r="V441" s="542">
        <v>0</v>
      </c>
      <c r="W441" s="543">
        <v>0</v>
      </c>
    </row>
    <row r="442" spans="1:23" x14ac:dyDescent="0.25">
      <c r="A442">
        <v>437</v>
      </c>
      <c r="B442" t="s">
        <v>459</v>
      </c>
      <c r="C442" t="s">
        <v>15</v>
      </c>
      <c r="D442" t="s">
        <v>20</v>
      </c>
      <c r="F442" s="520">
        <v>1</v>
      </c>
      <c r="G442" s="520">
        <v>10888.74</v>
      </c>
      <c r="H442" s="520">
        <v>10</v>
      </c>
      <c r="I442" s="517"/>
      <c r="J442" s="520">
        <v>0</v>
      </c>
      <c r="K442" s="520">
        <v>0</v>
      </c>
      <c r="L442" s="520">
        <v>0</v>
      </c>
      <c r="M442" s="517"/>
      <c r="N442" s="542">
        <v>1</v>
      </c>
      <c r="O442" s="543">
        <v>10888.74</v>
      </c>
      <c r="P442" s="543">
        <v>10</v>
      </c>
      <c r="Q442" s="517"/>
      <c r="R442" s="520">
        <v>0</v>
      </c>
      <c r="S442" s="520">
        <v>0</v>
      </c>
      <c r="T442" s="520">
        <v>0</v>
      </c>
      <c r="U442" s="517"/>
      <c r="V442" s="542">
        <v>1</v>
      </c>
      <c r="W442" s="543">
        <v>10888.74</v>
      </c>
    </row>
    <row r="443" spans="1:23" x14ac:dyDescent="0.25">
      <c r="A443">
        <v>438</v>
      </c>
      <c r="B443" t="s">
        <v>460</v>
      </c>
      <c r="C443" t="s">
        <v>98</v>
      </c>
      <c r="D443" t="s">
        <v>20</v>
      </c>
      <c r="F443" s="520">
        <v>0</v>
      </c>
      <c r="G443" s="520">
        <v>0</v>
      </c>
      <c r="H443" s="520">
        <v>0</v>
      </c>
      <c r="I443" s="517"/>
      <c r="J443" s="520">
        <v>0</v>
      </c>
      <c r="K443" s="520">
        <v>0</v>
      </c>
      <c r="L443" s="520">
        <v>0</v>
      </c>
      <c r="M443" s="517"/>
      <c r="N443" s="542">
        <v>0</v>
      </c>
      <c r="O443" s="543">
        <v>0</v>
      </c>
      <c r="P443" s="543">
        <v>0</v>
      </c>
      <c r="Q443" s="517"/>
      <c r="R443" s="520">
        <v>0</v>
      </c>
      <c r="S443" s="520">
        <v>0</v>
      </c>
      <c r="T443" s="520">
        <v>0</v>
      </c>
      <c r="U443" s="517"/>
      <c r="V443" s="542">
        <v>0</v>
      </c>
      <c r="W443" s="543">
        <v>0</v>
      </c>
    </row>
    <row r="444" spans="1:23" x14ac:dyDescent="0.25">
      <c r="A444">
        <v>439</v>
      </c>
      <c r="B444" t="s">
        <v>461</v>
      </c>
      <c r="C444" t="s">
        <v>15</v>
      </c>
      <c r="D444" t="s">
        <v>20</v>
      </c>
      <c r="F444" s="520">
        <v>16</v>
      </c>
      <c r="G444" s="520">
        <v>25974.17</v>
      </c>
      <c r="H444" s="520">
        <v>160</v>
      </c>
      <c r="I444" s="517"/>
      <c r="J444" s="520">
        <v>0</v>
      </c>
      <c r="K444" s="520">
        <v>0</v>
      </c>
      <c r="L444" s="520">
        <v>0</v>
      </c>
      <c r="M444" s="517"/>
      <c r="N444" s="542">
        <v>16</v>
      </c>
      <c r="O444" s="543">
        <v>25974.17</v>
      </c>
      <c r="P444" s="543">
        <v>160</v>
      </c>
      <c r="Q444" s="517"/>
      <c r="R444" s="520">
        <v>0</v>
      </c>
      <c r="S444" s="520">
        <v>0</v>
      </c>
      <c r="T444" s="520">
        <v>0</v>
      </c>
      <c r="U444" s="517"/>
      <c r="V444" s="542">
        <v>16</v>
      </c>
      <c r="W444" s="543">
        <v>25974.17</v>
      </c>
    </row>
    <row r="445" spans="1:23" x14ac:dyDescent="0.25">
      <c r="A445">
        <v>440</v>
      </c>
      <c r="B445" t="s">
        <v>462</v>
      </c>
      <c r="C445" t="s">
        <v>25</v>
      </c>
      <c r="D445" t="s">
        <v>16</v>
      </c>
      <c r="F445" s="520">
        <v>0</v>
      </c>
      <c r="G445" s="520">
        <v>0</v>
      </c>
      <c r="H445" s="520">
        <v>0</v>
      </c>
      <c r="I445" s="517"/>
      <c r="J445" s="520">
        <v>0</v>
      </c>
      <c r="K445" s="520">
        <v>0</v>
      </c>
      <c r="L445" s="520">
        <v>0</v>
      </c>
      <c r="M445" s="517"/>
      <c r="N445" s="542">
        <v>0</v>
      </c>
      <c r="O445" s="543">
        <v>0</v>
      </c>
      <c r="P445" s="543">
        <v>0</v>
      </c>
      <c r="Q445" s="517"/>
      <c r="R445" s="520">
        <v>0</v>
      </c>
      <c r="S445" s="520">
        <v>0</v>
      </c>
      <c r="T445" s="520">
        <v>0</v>
      </c>
      <c r="U445" s="517"/>
      <c r="V445" s="542">
        <v>0</v>
      </c>
      <c r="W445" s="543">
        <v>0</v>
      </c>
    </row>
    <row r="446" spans="1:23" x14ac:dyDescent="0.25">
      <c r="A446">
        <v>441</v>
      </c>
      <c r="B446" t="s">
        <v>463</v>
      </c>
      <c r="C446" t="s">
        <v>15</v>
      </c>
      <c r="D446" t="s">
        <v>16</v>
      </c>
      <c r="F446" s="520">
        <v>0</v>
      </c>
      <c r="G446" s="520">
        <v>0</v>
      </c>
      <c r="H446" s="520">
        <v>0</v>
      </c>
      <c r="I446" s="517"/>
      <c r="J446" s="520">
        <v>0</v>
      </c>
      <c r="K446" s="520">
        <v>0</v>
      </c>
      <c r="L446" s="520">
        <v>0</v>
      </c>
      <c r="M446" s="517"/>
      <c r="N446" s="542">
        <v>0</v>
      </c>
      <c r="O446" s="543">
        <v>0</v>
      </c>
      <c r="P446" s="543">
        <v>0</v>
      </c>
      <c r="Q446" s="517"/>
      <c r="R446" s="520">
        <v>0</v>
      </c>
      <c r="S446" s="520">
        <v>0</v>
      </c>
      <c r="T446" s="520">
        <v>0</v>
      </c>
      <c r="U446" s="517"/>
      <c r="V446" s="542">
        <v>0</v>
      </c>
      <c r="W446" s="543">
        <v>0</v>
      </c>
    </row>
    <row r="447" spans="1:23" x14ac:dyDescent="0.25">
      <c r="A447">
        <v>442</v>
      </c>
      <c r="B447" t="s">
        <v>464</v>
      </c>
      <c r="C447" t="s">
        <v>15</v>
      </c>
      <c r="D447" t="s">
        <v>43</v>
      </c>
      <c r="F447" s="520">
        <v>0</v>
      </c>
      <c r="G447" s="520">
        <v>0</v>
      </c>
      <c r="H447" s="520">
        <v>0</v>
      </c>
      <c r="I447" s="517"/>
      <c r="J447" s="520">
        <v>0</v>
      </c>
      <c r="K447" s="520">
        <v>0</v>
      </c>
      <c r="L447" s="520">
        <v>0</v>
      </c>
      <c r="M447" s="517"/>
      <c r="N447" s="542">
        <v>0</v>
      </c>
      <c r="O447" s="543">
        <v>0</v>
      </c>
      <c r="P447" s="543">
        <v>0</v>
      </c>
      <c r="Q447" s="517"/>
      <c r="R447" s="520">
        <v>0</v>
      </c>
      <c r="S447" s="520">
        <v>0</v>
      </c>
      <c r="T447" s="520">
        <v>0</v>
      </c>
      <c r="U447" s="517"/>
      <c r="V447" s="542">
        <v>0</v>
      </c>
      <c r="W447" s="543">
        <v>0</v>
      </c>
    </row>
    <row r="448" spans="1:23" x14ac:dyDescent="0.25">
      <c r="A448">
        <v>443</v>
      </c>
      <c r="B448" t="s">
        <v>3230</v>
      </c>
      <c r="C448" t="s">
        <v>242</v>
      </c>
      <c r="D448" t="s">
        <v>3231</v>
      </c>
      <c r="F448" s="520">
        <v>0</v>
      </c>
      <c r="G448" s="520">
        <v>0</v>
      </c>
      <c r="H448" s="520">
        <v>0</v>
      </c>
      <c r="I448" s="517"/>
      <c r="J448" s="520">
        <v>0</v>
      </c>
      <c r="K448" s="520">
        <v>0</v>
      </c>
      <c r="L448" s="520">
        <v>0</v>
      </c>
      <c r="M448" s="517"/>
      <c r="N448" s="542">
        <v>0</v>
      </c>
      <c r="O448" s="543">
        <v>0</v>
      </c>
      <c r="P448" s="543">
        <v>0</v>
      </c>
      <c r="Q448" s="517"/>
      <c r="R448" s="520">
        <v>0</v>
      </c>
      <c r="S448" s="520">
        <v>0</v>
      </c>
      <c r="T448" s="520">
        <v>0</v>
      </c>
      <c r="U448" s="517"/>
      <c r="V448" s="542">
        <v>0</v>
      </c>
      <c r="W448" s="543">
        <v>0</v>
      </c>
    </row>
    <row r="449" spans="1:23" x14ac:dyDescent="0.25">
      <c r="A449">
        <v>444</v>
      </c>
      <c r="B449" t="s">
        <v>465</v>
      </c>
      <c r="C449" t="s">
        <v>15</v>
      </c>
      <c r="D449" t="s">
        <v>380</v>
      </c>
      <c r="F449" s="520">
        <v>123</v>
      </c>
      <c r="G449" s="520">
        <v>4395441.1899999995</v>
      </c>
      <c r="H449" s="520">
        <v>3690</v>
      </c>
      <c r="I449" s="517"/>
      <c r="J449" s="520">
        <v>0</v>
      </c>
      <c r="K449" s="520">
        <v>0</v>
      </c>
      <c r="L449" s="520">
        <v>0</v>
      </c>
      <c r="M449" s="517"/>
      <c r="N449" s="542">
        <v>123</v>
      </c>
      <c r="O449" s="543">
        <v>4395441.1899999995</v>
      </c>
      <c r="P449" s="543">
        <v>3690</v>
      </c>
      <c r="Q449" s="517"/>
      <c r="R449" s="520">
        <v>0</v>
      </c>
      <c r="S449" s="520">
        <v>0</v>
      </c>
      <c r="T449" s="520">
        <v>0</v>
      </c>
      <c r="U449" s="517"/>
      <c r="V449" s="542">
        <v>123</v>
      </c>
      <c r="W449" s="543">
        <v>4395441.1899999995</v>
      </c>
    </row>
    <row r="450" spans="1:23" x14ac:dyDescent="0.25">
      <c r="A450">
        <v>445</v>
      </c>
      <c r="B450" t="s">
        <v>2178</v>
      </c>
      <c r="C450" t="s">
        <v>27</v>
      </c>
      <c r="D450" t="s">
        <v>16</v>
      </c>
      <c r="F450" s="520">
        <v>7</v>
      </c>
      <c r="G450" s="520">
        <v>119257</v>
      </c>
      <c r="H450" s="520">
        <v>210</v>
      </c>
      <c r="I450" s="517"/>
      <c r="J450" s="520">
        <v>0</v>
      </c>
      <c r="K450" s="520">
        <v>0</v>
      </c>
      <c r="L450" s="520">
        <v>0</v>
      </c>
      <c r="M450" s="517"/>
      <c r="N450" s="542">
        <v>7</v>
      </c>
      <c r="O450" s="543">
        <v>119257</v>
      </c>
      <c r="P450" s="543">
        <v>210</v>
      </c>
      <c r="Q450" s="517"/>
      <c r="R450" s="520">
        <v>0</v>
      </c>
      <c r="S450" s="520">
        <v>0</v>
      </c>
      <c r="T450" s="520">
        <v>0</v>
      </c>
      <c r="U450" s="517"/>
      <c r="V450" s="542">
        <v>7</v>
      </c>
      <c r="W450" s="543">
        <v>119257</v>
      </c>
    </row>
    <row r="451" spans="1:23" x14ac:dyDescent="0.25">
      <c r="A451">
        <v>446</v>
      </c>
      <c r="B451" t="s">
        <v>466</v>
      </c>
      <c r="C451" t="s">
        <v>351</v>
      </c>
      <c r="D451" t="s">
        <v>16</v>
      </c>
      <c r="F451" s="520">
        <v>27</v>
      </c>
      <c r="G451" s="520">
        <v>336042.17000000004</v>
      </c>
      <c r="H451" s="520">
        <v>904.5</v>
      </c>
      <c r="I451" s="517"/>
      <c r="J451" s="520">
        <v>0</v>
      </c>
      <c r="K451" s="520">
        <v>0</v>
      </c>
      <c r="L451" s="520">
        <v>0</v>
      </c>
      <c r="M451" s="517"/>
      <c r="N451" s="542">
        <v>27</v>
      </c>
      <c r="O451" s="543">
        <v>336042.17000000004</v>
      </c>
      <c r="P451" s="543">
        <v>904.5</v>
      </c>
      <c r="Q451" s="517"/>
      <c r="R451" s="520">
        <v>0</v>
      </c>
      <c r="S451" s="520">
        <v>0</v>
      </c>
      <c r="T451" s="520">
        <v>0</v>
      </c>
      <c r="U451" s="517"/>
      <c r="V451" s="542">
        <v>27</v>
      </c>
      <c r="W451" s="543">
        <v>336042.17000000004</v>
      </c>
    </row>
    <row r="452" spans="1:23" x14ac:dyDescent="0.25">
      <c r="A452">
        <v>447</v>
      </c>
      <c r="B452" t="s">
        <v>467</v>
      </c>
      <c r="C452" t="s">
        <v>41</v>
      </c>
      <c r="D452" t="s">
        <v>380</v>
      </c>
      <c r="F452" s="520">
        <v>92</v>
      </c>
      <c r="G452" s="520">
        <v>2248296.2300000004</v>
      </c>
      <c r="H452" s="520">
        <v>4960</v>
      </c>
      <c r="I452" s="517"/>
      <c r="J452" s="520">
        <v>0</v>
      </c>
      <c r="K452" s="520">
        <v>0</v>
      </c>
      <c r="L452" s="520">
        <v>0</v>
      </c>
      <c r="M452" s="517"/>
      <c r="N452" s="542">
        <v>92</v>
      </c>
      <c r="O452" s="543">
        <v>2248296.2300000004</v>
      </c>
      <c r="P452" s="543">
        <v>4960</v>
      </c>
      <c r="Q452" s="517"/>
      <c r="R452" s="520">
        <v>0</v>
      </c>
      <c r="S452" s="520">
        <v>0</v>
      </c>
      <c r="T452" s="520">
        <v>0</v>
      </c>
      <c r="U452" s="517"/>
      <c r="V452" s="542">
        <v>92</v>
      </c>
      <c r="W452" s="543">
        <v>2248296.2300000004</v>
      </c>
    </row>
    <row r="453" spans="1:23" x14ac:dyDescent="0.25">
      <c r="A453">
        <v>448</v>
      </c>
      <c r="B453" t="s">
        <v>468</v>
      </c>
      <c r="C453" t="s">
        <v>329</v>
      </c>
      <c r="D453" t="s">
        <v>16</v>
      </c>
      <c r="F453" s="520">
        <v>0</v>
      </c>
      <c r="G453" s="520">
        <v>0</v>
      </c>
      <c r="H453" s="520">
        <v>0</v>
      </c>
      <c r="I453" s="517"/>
      <c r="J453" s="520">
        <v>0</v>
      </c>
      <c r="K453" s="520">
        <v>0</v>
      </c>
      <c r="L453" s="520">
        <v>0</v>
      </c>
      <c r="M453" s="517"/>
      <c r="N453" s="542">
        <v>0</v>
      </c>
      <c r="O453" s="543">
        <v>0</v>
      </c>
      <c r="P453" s="543">
        <v>0</v>
      </c>
      <c r="Q453" s="517"/>
      <c r="R453" s="520">
        <v>0</v>
      </c>
      <c r="S453" s="520">
        <v>0</v>
      </c>
      <c r="T453" s="520">
        <v>0</v>
      </c>
      <c r="U453" s="517"/>
      <c r="V453" s="542">
        <v>0</v>
      </c>
      <c r="W453" s="543">
        <v>0</v>
      </c>
    </row>
    <row r="454" spans="1:23" x14ac:dyDescent="0.25">
      <c r="A454">
        <v>449</v>
      </c>
      <c r="B454" t="s">
        <v>469</v>
      </c>
      <c r="C454" t="s">
        <v>355</v>
      </c>
      <c r="D454" t="s">
        <v>16</v>
      </c>
      <c r="F454" s="520">
        <v>0</v>
      </c>
      <c r="G454" s="520">
        <v>0</v>
      </c>
      <c r="H454" s="520">
        <v>0</v>
      </c>
      <c r="I454" s="517"/>
      <c r="J454" s="520">
        <v>0</v>
      </c>
      <c r="K454" s="520">
        <v>0</v>
      </c>
      <c r="L454" s="520">
        <v>0</v>
      </c>
      <c r="M454" s="517"/>
      <c r="N454" s="542">
        <v>0</v>
      </c>
      <c r="O454" s="543">
        <v>0</v>
      </c>
      <c r="P454" s="543">
        <v>0</v>
      </c>
      <c r="Q454" s="517"/>
      <c r="R454" s="520">
        <v>0</v>
      </c>
      <c r="S454" s="520">
        <v>0</v>
      </c>
      <c r="T454" s="520">
        <v>0</v>
      </c>
      <c r="U454" s="517"/>
      <c r="V454" s="542">
        <v>0</v>
      </c>
      <c r="W454" s="543">
        <v>0</v>
      </c>
    </row>
    <row r="455" spans="1:23" x14ac:dyDescent="0.25">
      <c r="A455">
        <v>450</v>
      </c>
      <c r="B455" t="s">
        <v>470</v>
      </c>
      <c r="C455" t="s">
        <v>355</v>
      </c>
      <c r="D455" t="s">
        <v>16</v>
      </c>
      <c r="F455" s="520">
        <v>0</v>
      </c>
      <c r="G455" s="520">
        <v>0</v>
      </c>
      <c r="H455" s="520">
        <v>0</v>
      </c>
      <c r="I455" s="517"/>
      <c r="J455" s="520">
        <v>0</v>
      </c>
      <c r="K455" s="520">
        <v>0</v>
      </c>
      <c r="L455" s="520">
        <v>0</v>
      </c>
      <c r="M455" s="517"/>
      <c r="N455" s="542">
        <v>0</v>
      </c>
      <c r="O455" s="543">
        <v>0</v>
      </c>
      <c r="P455" s="543">
        <v>0</v>
      </c>
      <c r="Q455" s="517"/>
      <c r="R455" s="520">
        <v>0</v>
      </c>
      <c r="S455" s="520">
        <v>0</v>
      </c>
      <c r="T455" s="520">
        <v>0</v>
      </c>
      <c r="U455" s="517"/>
      <c r="V455" s="542">
        <v>0</v>
      </c>
      <c r="W455" s="543">
        <v>0</v>
      </c>
    </row>
    <row r="456" spans="1:23" x14ac:dyDescent="0.25">
      <c r="A456">
        <v>451</v>
      </c>
      <c r="B456" t="s">
        <v>471</v>
      </c>
      <c r="C456" t="s">
        <v>51</v>
      </c>
      <c r="D456" t="s">
        <v>16</v>
      </c>
      <c r="F456" s="520">
        <v>51</v>
      </c>
      <c r="G456" s="520">
        <v>1836231</v>
      </c>
      <c r="H456" s="520">
        <v>4270</v>
      </c>
      <c r="I456" s="517"/>
      <c r="J456" s="520">
        <v>0</v>
      </c>
      <c r="K456" s="520">
        <v>0</v>
      </c>
      <c r="L456" s="520">
        <v>0</v>
      </c>
      <c r="M456" s="517"/>
      <c r="N456" s="542">
        <v>51</v>
      </c>
      <c r="O456" s="543">
        <v>1836231</v>
      </c>
      <c r="P456" s="543">
        <v>4270</v>
      </c>
      <c r="Q456" s="517"/>
      <c r="R456" s="520">
        <v>0</v>
      </c>
      <c r="S456" s="520">
        <v>0</v>
      </c>
      <c r="T456" s="520">
        <v>0</v>
      </c>
      <c r="U456" s="517"/>
      <c r="V456" s="542">
        <v>51</v>
      </c>
      <c r="W456" s="543">
        <v>1836231</v>
      </c>
    </row>
    <row r="457" spans="1:23" x14ac:dyDescent="0.25">
      <c r="A457">
        <v>452</v>
      </c>
      <c r="B457" t="s">
        <v>2444</v>
      </c>
      <c r="F457" s="520">
        <v>0</v>
      </c>
      <c r="G457" s="520">
        <v>0</v>
      </c>
      <c r="H457" s="520">
        <v>0</v>
      </c>
      <c r="I457" s="517"/>
      <c r="J457" s="520">
        <v>0</v>
      </c>
      <c r="K457" s="520">
        <v>0</v>
      </c>
      <c r="L457" s="520">
        <v>0</v>
      </c>
      <c r="M457" s="517"/>
      <c r="N457" s="542">
        <v>0</v>
      </c>
      <c r="O457" s="543">
        <v>0</v>
      </c>
      <c r="P457" s="543">
        <v>0</v>
      </c>
      <c r="Q457" s="517"/>
      <c r="R457" s="520">
        <v>0</v>
      </c>
      <c r="S457" s="520">
        <v>0</v>
      </c>
      <c r="T457" s="520">
        <v>0</v>
      </c>
      <c r="U457" s="517"/>
      <c r="V457" s="542">
        <v>0</v>
      </c>
      <c r="W457" s="543">
        <v>0</v>
      </c>
    </row>
    <row r="458" spans="1:23" x14ac:dyDescent="0.25">
      <c r="A458">
        <v>453</v>
      </c>
      <c r="B458" t="s">
        <v>472</v>
      </c>
      <c r="C458" t="s">
        <v>108</v>
      </c>
      <c r="D458" t="s">
        <v>16</v>
      </c>
      <c r="F458" s="520">
        <v>0</v>
      </c>
      <c r="G458" s="520">
        <v>0</v>
      </c>
      <c r="H458" s="520">
        <v>0</v>
      </c>
      <c r="I458" s="517"/>
      <c r="J458" s="520">
        <v>0</v>
      </c>
      <c r="K458" s="520">
        <v>0</v>
      </c>
      <c r="L458" s="520">
        <v>0</v>
      </c>
      <c r="M458" s="517"/>
      <c r="N458" s="542">
        <v>0</v>
      </c>
      <c r="O458" s="543">
        <v>0</v>
      </c>
      <c r="P458" s="543">
        <v>0</v>
      </c>
      <c r="Q458" s="517"/>
      <c r="R458" s="520">
        <v>0</v>
      </c>
      <c r="S458" s="520">
        <v>0</v>
      </c>
      <c r="T458" s="520">
        <v>0</v>
      </c>
      <c r="U458" s="517"/>
      <c r="V458" s="542">
        <v>0</v>
      </c>
      <c r="W458" s="543">
        <v>0</v>
      </c>
    </row>
    <row r="459" spans="1:23" x14ac:dyDescent="0.25">
      <c r="A459">
        <v>454</v>
      </c>
      <c r="B459" t="s">
        <v>473</v>
      </c>
      <c r="C459" t="s">
        <v>27</v>
      </c>
      <c r="D459" t="s">
        <v>16</v>
      </c>
      <c r="F459" s="520">
        <v>0</v>
      </c>
      <c r="G459" s="520">
        <v>0</v>
      </c>
      <c r="H459" s="520">
        <v>0</v>
      </c>
      <c r="I459" s="517"/>
      <c r="J459" s="520">
        <v>0</v>
      </c>
      <c r="K459" s="520">
        <v>0</v>
      </c>
      <c r="L459" s="520">
        <v>0</v>
      </c>
      <c r="M459" s="517"/>
      <c r="N459" s="542">
        <v>0</v>
      </c>
      <c r="O459" s="543">
        <v>0</v>
      </c>
      <c r="P459" s="543">
        <v>0</v>
      </c>
      <c r="Q459" s="517"/>
      <c r="R459" s="520">
        <v>0</v>
      </c>
      <c r="S459" s="520">
        <v>0</v>
      </c>
      <c r="T459" s="520">
        <v>0</v>
      </c>
      <c r="U459" s="517"/>
      <c r="V459" s="542">
        <v>0</v>
      </c>
      <c r="W459" s="543">
        <v>0</v>
      </c>
    </row>
    <row r="460" spans="1:23" x14ac:dyDescent="0.25">
      <c r="A460">
        <v>455</v>
      </c>
      <c r="B460" t="s">
        <v>2235</v>
      </c>
      <c r="C460" t="s">
        <v>18</v>
      </c>
      <c r="D460" t="s">
        <v>16</v>
      </c>
      <c r="F460" s="520">
        <v>5</v>
      </c>
      <c r="G460" s="520">
        <v>36782.5</v>
      </c>
      <c r="H460" s="520">
        <v>250</v>
      </c>
      <c r="I460" s="517"/>
      <c r="J460" s="520">
        <v>0</v>
      </c>
      <c r="K460" s="520">
        <v>0</v>
      </c>
      <c r="L460" s="520">
        <v>0</v>
      </c>
      <c r="M460" s="517"/>
      <c r="N460" s="542">
        <v>5</v>
      </c>
      <c r="O460" s="543">
        <v>36782.5</v>
      </c>
      <c r="P460" s="543">
        <v>250</v>
      </c>
      <c r="Q460" s="517"/>
      <c r="R460" s="520">
        <v>0</v>
      </c>
      <c r="S460" s="520">
        <v>0</v>
      </c>
      <c r="T460" s="520">
        <v>0</v>
      </c>
      <c r="U460" s="517"/>
      <c r="V460" s="542">
        <v>5</v>
      </c>
      <c r="W460" s="543">
        <v>36782.5</v>
      </c>
    </row>
    <row r="461" spans="1:23" x14ac:dyDescent="0.25">
      <c r="A461">
        <v>456</v>
      </c>
      <c r="B461" t="s">
        <v>474</v>
      </c>
      <c r="C461" t="s">
        <v>148</v>
      </c>
      <c r="D461" t="s">
        <v>475</v>
      </c>
      <c r="F461" s="520">
        <v>142</v>
      </c>
      <c r="G461" s="520">
        <v>3212654.05</v>
      </c>
      <c r="H461" s="520">
        <v>5680</v>
      </c>
      <c r="I461" s="517"/>
      <c r="J461" s="520">
        <v>0</v>
      </c>
      <c r="K461" s="520">
        <v>0</v>
      </c>
      <c r="L461" s="520">
        <v>0</v>
      </c>
      <c r="M461" s="517"/>
      <c r="N461" s="542">
        <v>142</v>
      </c>
      <c r="O461" s="543">
        <v>3212654.05</v>
      </c>
      <c r="P461" s="543">
        <v>5680</v>
      </c>
      <c r="Q461" s="517"/>
      <c r="R461" s="520">
        <v>0</v>
      </c>
      <c r="S461" s="520">
        <v>0</v>
      </c>
      <c r="T461" s="520">
        <v>0</v>
      </c>
      <c r="U461" s="517"/>
      <c r="V461" s="542">
        <v>142</v>
      </c>
      <c r="W461" s="543">
        <v>3212654.05</v>
      </c>
    </row>
    <row r="462" spans="1:23" x14ac:dyDescent="0.25">
      <c r="A462">
        <v>457</v>
      </c>
      <c r="B462" t="s">
        <v>476</v>
      </c>
      <c r="C462" t="s">
        <v>351</v>
      </c>
      <c r="D462" t="s">
        <v>16</v>
      </c>
      <c r="F462" s="520">
        <v>15</v>
      </c>
      <c r="G462" s="520">
        <v>520833.55</v>
      </c>
      <c r="H462" s="520">
        <v>750</v>
      </c>
      <c r="I462" s="517"/>
      <c r="J462" s="520">
        <v>0</v>
      </c>
      <c r="K462" s="520">
        <v>0</v>
      </c>
      <c r="L462" s="520">
        <v>0</v>
      </c>
      <c r="M462" s="517"/>
      <c r="N462" s="542">
        <v>15</v>
      </c>
      <c r="O462" s="543">
        <v>520833.55</v>
      </c>
      <c r="P462" s="543">
        <v>750</v>
      </c>
      <c r="Q462" s="517"/>
      <c r="R462" s="520">
        <v>0</v>
      </c>
      <c r="S462" s="520">
        <v>0</v>
      </c>
      <c r="T462" s="520">
        <v>0</v>
      </c>
      <c r="U462" s="517"/>
      <c r="V462" s="542">
        <v>15</v>
      </c>
      <c r="W462" s="543">
        <v>520833.55</v>
      </c>
    </row>
    <row r="463" spans="1:23" x14ac:dyDescent="0.25">
      <c r="A463">
        <v>458</v>
      </c>
      <c r="B463" t="s">
        <v>477</v>
      </c>
      <c r="C463" t="s">
        <v>41</v>
      </c>
      <c r="D463" t="s">
        <v>16</v>
      </c>
      <c r="F463" s="520">
        <v>177</v>
      </c>
      <c r="G463" s="520">
        <v>502569.44</v>
      </c>
      <c r="H463" s="520">
        <v>5310</v>
      </c>
      <c r="I463" s="517"/>
      <c r="J463" s="520">
        <v>0</v>
      </c>
      <c r="K463" s="520">
        <v>0</v>
      </c>
      <c r="L463" s="520">
        <v>0</v>
      </c>
      <c r="M463" s="517"/>
      <c r="N463" s="542">
        <v>177</v>
      </c>
      <c r="O463" s="543">
        <v>502569.44</v>
      </c>
      <c r="P463" s="543">
        <v>5310</v>
      </c>
      <c r="Q463" s="517"/>
      <c r="R463" s="520">
        <v>0</v>
      </c>
      <c r="S463" s="520">
        <v>0</v>
      </c>
      <c r="T463" s="520">
        <v>0</v>
      </c>
      <c r="U463" s="517"/>
      <c r="V463" s="542">
        <v>177</v>
      </c>
      <c r="W463" s="543">
        <v>502569.44</v>
      </c>
    </row>
    <row r="464" spans="1:23" x14ac:dyDescent="0.25">
      <c r="A464">
        <v>459</v>
      </c>
      <c r="B464" t="s">
        <v>478</v>
      </c>
      <c r="C464" t="s">
        <v>18</v>
      </c>
      <c r="D464" t="s">
        <v>16</v>
      </c>
      <c r="F464" s="520">
        <v>0</v>
      </c>
      <c r="G464" s="520">
        <v>0</v>
      </c>
      <c r="H464" s="520">
        <v>0</v>
      </c>
      <c r="I464" s="517"/>
      <c r="J464" s="520">
        <v>0</v>
      </c>
      <c r="K464" s="520">
        <v>0</v>
      </c>
      <c r="L464" s="520">
        <v>0</v>
      </c>
      <c r="M464" s="517"/>
      <c r="N464" s="542">
        <v>0</v>
      </c>
      <c r="O464" s="543">
        <v>0</v>
      </c>
      <c r="P464" s="543">
        <v>0</v>
      </c>
      <c r="Q464" s="517"/>
      <c r="R464" s="520">
        <v>0</v>
      </c>
      <c r="S464" s="520">
        <v>0</v>
      </c>
      <c r="T464" s="520">
        <v>0</v>
      </c>
      <c r="U464" s="517"/>
      <c r="V464" s="542">
        <v>0</v>
      </c>
      <c r="W464" s="543">
        <v>0</v>
      </c>
    </row>
    <row r="465" spans="1:23" x14ac:dyDescent="0.25">
      <c r="A465">
        <v>460</v>
      </c>
      <c r="B465" t="s">
        <v>2988</v>
      </c>
      <c r="C465" t="s">
        <v>366</v>
      </c>
      <c r="D465" t="s">
        <v>480</v>
      </c>
      <c r="F465" s="520">
        <v>3</v>
      </c>
      <c r="G465" s="520">
        <v>200095</v>
      </c>
      <c r="H465" s="520">
        <v>150</v>
      </c>
      <c r="I465" s="517"/>
      <c r="J465" s="520">
        <v>0</v>
      </c>
      <c r="K465" s="520">
        <v>0</v>
      </c>
      <c r="L465" s="520">
        <v>0</v>
      </c>
      <c r="M465" s="517"/>
      <c r="N465" s="542">
        <v>3</v>
      </c>
      <c r="O465" s="543">
        <v>200095</v>
      </c>
      <c r="P465" s="543">
        <v>150</v>
      </c>
      <c r="Q465" s="517"/>
      <c r="R465" s="520">
        <v>0</v>
      </c>
      <c r="S465" s="520">
        <v>0</v>
      </c>
      <c r="T465" s="520">
        <v>0</v>
      </c>
      <c r="U465" s="517"/>
      <c r="V465" s="542">
        <v>3</v>
      </c>
      <c r="W465" s="543">
        <v>200095</v>
      </c>
    </row>
    <row r="466" spans="1:23" x14ac:dyDescent="0.25">
      <c r="A466">
        <v>461</v>
      </c>
      <c r="B466" t="s">
        <v>2445</v>
      </c>
      <c r="C466" t="s">
        <v>366</v>
      </c>
      <c r="D466" t="s">
        <v>480</v>
      </c>
      <c r="F466" s="520">
        <v>9</v>
      </c>
      <c r="G466" s="520">
        <v>629462</v>
      </c>
      <c r="H466" s="520">
        <v>510</v>
      </c>
      <c r="I466" s="517"/>
      <c r="J466" s="520">
        <v>0</v>
      </c>
      <c r="K466" s="520">
        <v>0</v>
      </c>
      <c r="L466" s="520">
        <v>0</v>
      </c>
      <c r="M466" s="517"/>
      <c r="N466" s="542">
        <v>9</v>
      </c>
      <c r="O466" s="543">
        <v>629462</v>
      </c>
      <c r="P466" s="543">
        <v>510</v>
      </c>
      <c r="Q466" s="517"/>
      <c r="R466" s="520">
        <v>0</v>
      </c>
      <c r="S466" s="520">
        <v>0</v>
      </c>
      <c r="T466" s="520">
        <v>0</v>
      </c>
      <c r="U466" s="517"/>
      <c r="V466" s="542">
        <v>9</v>
      </c>
      <c r="W466" s="543">
        <v>629462</v>
      </c>
    </row>
    <row r="467" spans="1:23" x14ac:dyDescent="0.25">
      <c r="A467">
        <v>462</v>
      </c>
      <c r="B467" t="s">
        <v>2447</v>
      </c>
      <c r="C467" t="s">
        <v>366</v>
      </c>
      <c r="D467" t="s">
        <v>480</v>
      </c>
      <c r="F467" s="520">
        <v>1</v>
      </c>
      <c r="G467" s="520">
        <v>11690</v>
      </c>
      <c r="H467" s="520">
        <v>30</v>
      </c>
      <c r="I467" s="517"/>
      <c r="J467" s="520">
        <v>0</v>
      </c>
      <c r="K467" s="520">
        <v>0</v>
      </c>
      <c r="L467" s="520">
        <v>0</v>
      </c>
      <c r="M467" s="517"/>
      <c r="N467" s="542">
        <v>1</v>
      </c>
      <c r="O467" s="543">
        <v>11690</v>
      </c>
      <c r="P467" s="543">
        <v>30</v>
      </c>
      <c r="Q467" s="517"/>
      <c r="R467" s="520">
        <v>0</v>
      </c>
      <c r="S467" s="520">
        <v>0</v>
      </c>
      <c r="T467" s="520">
        <v>0</v>
      </c>
      <c r="U467" s="517"/>
      <c r="V467" s="542">
        <v>1</v>
      </c>
      <c r="W467" s="543">
        <v>11690</v>
      </c>
    </row>
    <row r="468" spans="1:23" x14ac:dyDescent="0.25">
      <c r="A468">
        <v>463</v>
      </c>
      <c r="B468" t="s">
        <v>2963</v>
      </c>
      <c r="C468" t="s">
        <v>366</v>
      </c>
      <c r="D468" t="s">
        <v>480</v>
      </c>
      <c r="F468" s="520">
        <v>2</v>
      </c>
      <c r="G468" s="520">
        <v>224155</v>
      </c>
      <c r="H468" s="520">
        <v>180</v>
      </c>
      <c r="I468" s="517"/>
      <c r="J468" s="520">
        <v>0</v>
      </c>
      <c r="K468" s="520">
        <v>0</v>
      </c>
      <c r="L468" s="520">
        <v>0</v>
      </c>
      <c r="M468" s="517"/>
      <c r="N468" s="542">
        <v>2</v>
      </c>
      <c r="O468" s="543">
        <v>224155</v>
      </c>
      <c r="P468" s="543">
        <v>180</v>
      </c>
      <c r="Q468" s="517"/>
      <c r="R468" s="520">
        <v>0</v>
      </c>
      <c r="S468" s="520">
        <v>0</v>
      </c>
      <c r="T468" s="520">
        <v>0</v>
      </c>
      <c r="U468" s="517"/>
      <c r="V468" s="542">
        <v>2</v>
      </c>
      <c r="W468" s="543">
        <v>224155</v>
      </c>
    </row>
    <row r="469" spans="1:23" x14ac:dyDescent="0.25">
      <c r="A469">
        <v>464</v>
      </c>
      <c r="B469" t="s">
        <v>2427</v>
      </c>
      <c r="C469" t="s">
        <v>366</v>
      </c>
      <c r="D469" t="s">
        <v>480</v>
      </c>
      <c r="F469" s="520">
        <v>6</v>
      </c>
      <c r="G469" s="520">
        <v>282405</v>
      </c>
      <c r="H469" s="520">
        <v>300</v>
      </c>
      <c r="I469" s="517"/>
      <c r="J469" s="520">
        <v>0</v>
      </c>
      <c r="K469" s="520">
        <v>0</v>
      </c>
      <c r="L469" s="520">
        <v>0</v>
      </c>
      <c r="M469" s="517"/>
      <c r="N469" s="542">
        <v>6</v>
      </c>
      <c r="O469" s="543">
        <v>282405</v>
      </c>
      <c r="P469" s="543">
        <v>300</v>
      </c>
      <c r="Q469" s="517"/>
      <c r="R469" s="520">
        <v>0</v>
      </c>
      <c r="S469" s="520">
        <v>0</v>
      </c>
      <c r="T469" s="520">
        <v>0</v>
      </c>
      <c r="U469" s="517"/>
      <c r="V469" s="542">
        <v>6</v>
      </c>
      <c r="W469" s="543">
        <v>282405</v>
      </c>
    </row>
    <row r="470" spans="1:23" x14ac:dyDescent="0.25">
      <c r="A470">
        <v>465</v>
      </c>
      <c r="B470" t="s">
        <v>2446</v>
      </c>
      <c r="C470" t="s">
        <v>366</v>
      </c>
      <c r="D470" t="s">
        <v>480</v>
      </c>
      <c r="F470" s="520">
        <v>5</v>
      </c>
      <c r="G470" s="520">
        <v>144230</v>
      </c>
      <c r="H470" s="520">
        <v>150</v>
      </c>
      <c r="I470" s="517"/>
      <c r="J470" s="520">
        <v>0</v>
      </c>
      <c r="K470" s="520">
        <v>0</v>
      </c>
      <c r="L470" s="520">
        <v>0</v>
      </c>
      <c r="M470" s="517"/>
      <c r="N470" s="542">
        <v>5</v>
      </c>
      <c r="O470" s="543">
        <v>144230</v>
      </c>
      <c r="P470" s="543">
        <v>150</v>
      </c>
      <c r="Q470" s="517"/>
      <c r="R470" s="520">
        <v>0</v>
      </c>
      <c r="S470" s="520">
        <v>0</v>
      </c>
      <c r="T470" s="520">
        <v>0</v>
      </c>
      <c r="U470" s="517"/>
      <c r="V470" s="542">
        <v>5</v>
      </c>
      <c r="W470" s="543">
        <v>144230</v>
      </c>
    </row>
    <row r="471" spans="1:23" x14ac:dyDescent="0.25">
      <c r="A471">
        <v>466</v>
      </c>
      <c r="B471" t="s">
        <v>3189</v>
      </c>
      <c r="C471" t="s">
        <v>529</v>
      </c>
      <c r="F471" s="520">
        <v>1</v>
      </c>
      <c r="G471" s="520">
        <v>179485</v>
      </c>
      <c r="H471" s="520">
        <v>120</v>
      </c>
      <c r="I471" s="517"/>
      <c r="J471" s="520">
        <v>0</v>
      </c>
      <c r="K471" s="520">
        <v>0</v>
      </c>
      <c r="L471" s="520">
        <v>0</v>
      </c>
      <c r="M471" s="517"/>
      <c r="N471" s="542">
        <v>1</v>
      </c>
      <c r="O471" s="543">
        <v>179485</v>
      </c>
      <c r="P471" s="543">
        <v>120</v>
      </c>
      <c r="Q471" s="517"/>
      <c r="R471" s="520">
        <v>0</v>
      </c>
      <c r="S471" s="520">
        <v>0</v>
      </c>
      <c r="T471" s="520">
        <v>0</v>
      </c>
      <c r="U471" s="517"/>
      <c r="V471" s="542">
        <v>1</v>
      </c>
      <c r="W471" s="543">
        <v>179485</v>
      </c>
    </row>
    <row r="472" spans="1:23" x14ac:dyDescent="0.25">
      <c r="A472">
        <v>467</v>
      </c>
      <c r="B472" t="s">
        <v>2439</v>
      </c>
      <c r="C472" t="s">
        <v>366</v>
      </c>
      <c r="D472" t="s">
        <v>480</v>
      </c>
      <c r="F472" s="520">
        <v>26</v>
      </c>
      <c r="G472" s="520">
        <v>756849</v>
      </c>
      <c r="H472" s="520">
        <v>930</v>
      </c>
      <c r="I472" s="517"/>
      <c r="J472" s="520">
        <v>0</v>
      </c>
      <c r="K472" s="520">
        <v>0</v>
      </c>
      <c r="L472" s="520">
        <v>0</v>
      </c>
      <c r="M472" s="517"/>
      <c r="N472" s="542">
        <v>26</v>
      </c>
      <c r="O472" s="543">
        <v>756849</v>
      </c>
      <c r="P472" s="543">
        <v>930</v>
      </c>
      <c r="Q472" s="517"/>
      <c r="R472" s="520">
        <v>0</v>
      </c>
      <c r="S472" s="520">
        <v>0</v>
      </c>
      <c r="T472" s="520">
        <v>0</v>
      </c>
      <c r="U472" s="517"/>
      <c r="V472" s="542">
        <v>26</v>
      </c>
      <c r="W472" s="543">
        <v>756849</v>
      </c>
    </row>
    <row r="473" spans="1:23" x14ac:dyDescent="0.25">
      <c r="A473">
        <v>468</v>
      </c>
      <c r="B473" t="s">
        <v>2428</v>
      </c>
      <c r="C473" t="s">
        <v>366</v>
      </c>
      <c r="D473" t="s">
        <v>480</v>
      </c>
      <c r="F473" s="520">
        <v>44</v>
      </c>
      <c r="G473" s="520">
        <v>1581246</v>
      </c>
      <c r="H473" s="520">
        <v>1740</v>
      </c>
      <c r="I473" s="517"/>
      <c r="J473" s="520">
        <v>0</v>
      </c>
      <c r="K473" s="520">
        <v>0</v>
      </c>
      <c r="L473" s="520">
        <v>0</v>
      </c>
      <c r="M473" s="517"/>
      <c r="N473" s="542">
        <v>44</v>
      </c>
      <c r="O473" s="543">
        <v>1581246</v>
      </c>
      <c r="P473" s="543">
        <v>1740</v>
      </c>
      <c r="Q473" s="517"/>
      <c r="R473" s="520">
        <v>0</v>
      </c>
      <c r="S473" s="520">
        <v>0</v>
      </c>
      <c r="T473" s="520">
        <v>0</v>
      </c>
      <c r="U473" s="517"/>
      <c r="V473" s="542">
        <v>44</v>
      </c>
      <c r="W473" s="543">
        <v>1581246</v>
      </c>
    </row>
    <row r="474" spans="1:23" x14ac:dyDescent="0.25">
      <c r="A474">
        <v>469</v>
      </c>
      <c r="B474" t="s">
        <v>2448</v>
      </c>
      <c r="C474" t="s">
        <v>366</v>
      </c>
      <c r="D474" t="s">
        <v>480</v>
      </c>
      <c r="F474" s="520">
        <v>3</v>
      </c>
      <c r="G474" s="520">
        <v>477646</v>
      </c>
      <c r="H474" s="520">
        <v>330</v>
      </c>
      <c r="I474" s="517"/>
      <c r="J474" s="520">
        <v>0</v>
      </c>
      <c r="K474" s="520">
        <v>0</v>
      </c>
      <c r="L474" s="520">
        <v>0</v>
      </c>
      <c r="M474" s="517"/>
      <c r="N474" s="542">
        <v>3</v>
      </c>
      <c r="O474" s="543">
        <v>477646</v>
      </c>
      <c r="P474" s="543">
        <v>330</v>
      </c>
      <c r="Q474" s="517"/>
      <c r="R474" s="520">
        <v>0</v>
      </c>
      <c r="S474" s="520">
        <v>0</v>
      </c>
      <c r="T474" s="520">
        <v>0</v>
      </c>
      <c r="U474" s="517"/>
      <c r="V474" s="542">
        <v>3</v>
      </c>
      <c r="W474" s="543">
        <v>477646</v>
      </c>
    </row>
    <row r="475" spans="1:23" x14ac:dyDescent="0.25">
      <c r="A475">
        <v>470</v>
      </c>
      <c r="B475" t="s">
        <v>2426</v>
      </c>
      <c r="C475" t="s">
        <v>366</v>
      </c>
      <c r="D475" t="s">
        <v>480</v>
      </c>
      <c r="F475" s="520">
        <v>346</v>
      </c>
      <c r="G475" s="520">
        <v>15210494.25</v>
      </c>
      <c r="H475" s="520">
        <v>14310</v>
      </c>
      <c r="I475" s="517"/>
      <c r="J475" s="520">
        <v>0</v>
      </c>
      <c r="K475" s="520">
        <v>0</v>
      </c>
      <c r="L475" s="520">
        <v>0</v>
      </c>
      <c r="M475" s="517"/>
      <c r="N475" s="542">
        <v>346</v>
      </c>
      <c r="O475" s="543">
        <v>15210494.25</v>
      </c>
      <c r="P475" s="543">
        <v>14310</v>
      </c>
      <c r="Q475" s="517"/>
      <c r="R475" s="520">
        <v>0</v>
      </c>
      <c r="S475" s="520">
        <v>0</v>
      </c>
      <c r="T475" s="520">
        <v>0</v>
      </c>
      <c r="U475" s="517"/>
      <c r="V475" s="542">
        <v>346</v>
      </c>
      <c r="W475" s="543">
        <v>15210494.25</v>
      </c>
    </row>
    <row r="476" spans="1:23" x14ac:dyDescent="0.25">
      <c r="A476">
        <v>471</v>
      </c>
      <c r="B476" t="s">
        <v>2429</v>
      </c>
      <c r="C476" t="s">
        <v>366</v>
      </c>
      <c r="D476" t="s">
        <v>480</v>
      </c>
      <c r="F476" s="520">
        <v>87</v>
      </c>
      <c r="G476" s="520">
        <v>3222065.47</v>
      </c>
      <c r="H476" s="520">
        <v>3360</v>
      </c>
      <c r="I476" s="517"/>
      <c r="J476" s="520">
        <v>0</v>
      </c>
      <c r="K476" s="520">
        <v>0</v>
      </c>
      <c r="L476" s="520">
        <v>0</v>
      </c>
      <c r="M476" s="517"/>
      <c r="N476" s="542">
        <v>87</v>
      </c>
      <c r="O476" s="543">
        <v>3222065.47</v>
      </c>
      <c r="P476" s="543">
        <v>3360</v>
      </c>
      <c r="Q476" s="517"/>
      <c r="R476" s="520">
        <v>0</v>
      </c>
      <c r="S476" s="520">
        <v>0</v>
      </c>
      <c r="T476" s="520">
        <v>0</v>
      </c>
      <c r="U476" s="517"/>
      <c r="V476" s="542">
        <v>87</v>
      </c>
      <c r="W476" s="543">
        <v>3222065.47</v>
      </c>
    </row>
    <row r="477" spans="1:23" x14ac:dyDescent="0.25">
      <c r="A477">
        <v>472</v>
      </c>
      <c r="B477" t="s">
        <v>2440</v>
      </c>
      <c r="C477" t="s">
        <v>366</v>
      </c>
      <c r="D477" t="s">
        <v>480</v>
      </c>
      <c r="F477" s="520">
        <v>125</v>
      </c>
      <c r="G477" s="520">
        <v>4819624</v>
      </c>
      <c r="H477" s="520">
        <v>5430</v>
      </c>
      <c r="I477" s="517"/>
      <c r="J477" s="520">
        <v>0</v>
      </c>
      <c r="K477" s="520">
        <v>0</v>
      </c>
      <c r="L477" s="520">
        <v>0</v>
      </c>
      <c r="M477" s="517"/>
      <c r="N477" s="542">
        <v>125</v>
      </c>
      <c r="O477" s="543">
        <v>4819624</v>
      </c>
      <c r="P477" s="543">
        <v>5430</v>
      </c>
      <c r="Q477" s="517"/>
      <c r="R477" s="520">
        <v>0</v>
      </c>
      <c r="S477" s="520">
        <v>0</v>
      </c>
      <c r="T477" s="520">
        <v>0</v>
      </c>
      <c r="U477" s="517"/>
      <c r="V477" s="542">
        <v>125</v>
      </c>
      <c r="W477" s="543">
        <v>4819624</v>
      </c>
    </row>
    <row r="478" spans="1:23" x14ac:dyDescent="0.25">
      <c r="A478">
        <v>473</v>
      </c>
      <c r="B478" t="s">
        <v>497</v>
      </c>
      <c r="C478" t="s">
        <v>15</v>
      </c>
      <c r="D478" t="s">
        <v>16</v>
      </c>
      <c r="F478" s="520">
        <v>0</v>
      </c>
      <c r="G478" s="520">
        <v>0</v>
      </c>
      <c r="H478" s="520">
        <v>0</v>
      </c>
      <c r="I478" s="517"/>
      <c r="J478" s="520">
        <v>0</v>
      </c>
      <c r="K478" s="520">
        <v>0</v>
      </c>
      <c r="L478" s="520">
        <v>0</v>
      </c>
      <c r="M478" s="517"/>
      <c r="N478" s="542">
        <v>0</v>
      </c>
      <c r="O478" s="543">
        <v>0</v>
      </c>
      <c r="P478" s="543">
        <v>0</v>
      </c>
      <c r="Q478" s="517"/>
      <c r="R478" s="520">
        <v>0</v>
      </c>
      <c r="S478" s="520">
        <v>0</v>
      </c>
      <c r="T478" s="520">
        <v>0</v>
      </c>
      <c r="U478" s="517"/>
      <c r="V478" s="542">
        <v>0</v>
      </c>
      <c r="W478" s="543">
        <v>0</v>
      </c>
    </row>
    <row r="479" spans="1:23" x14ac:dyDescent="0.25">
      <c r="A479">
        <v>474</v>
      </c>
      <c r="B479" t="s">
        <v>479</v>
      </c>
      <c r="D479" t="s">
        <v>480</v>
      </c>
      <c r="F479" s="520">
        <v>0</v>
      </c>
      <c r="G479" s="520">
        <v>0</v>
      </c>
      <c r="H479" s="520">
        <v>0</v>
      </c>
      <c r="I479" s="517"/>
      <c r="J479" s="520">
        <v>0</v>
      </c>
      <c r="K479" s="520">
        <v>0</v>
      </c>
      <c r="L479" s="520">
        <v>0</v>
      </c>
      <c r="M479" s="517"/>
      <c r="N479" s="542">
        <v>0</v>
      </c>
      <c r="O479" s="543">
        <v>0</v>
      </c>
      <c r="P479" s="543">
        <v>0</v>
      </c>
      <c r="Q479" s="517"/>
      <c r="R479" s="520">
        <v>0</v>
      </c>
      <c r="S479" s="520">
        <v>0</v>
      </c>
      <c r="T479" s="520">
        <v>0</v>
      </c>
      <c r="U479" s="517"/>
      <c r="V479" s="542">
        <v>0</v>
      </c>
      <c r="W479" s="543">
        <v>0</v>
      </c>
    </row>
    <row r="480" spans="1:23" x14ac:dyDescent="0.25">
      <c r="A480">
        <v>475</v>
      </c>
      <c r="B480" t="s">
        <v>3187</v>
      </c>
      <c r="C480" t="s">
        <v>366</v>
      </c>
      <c r="D480" t="s">
        <v>3188</v>
      </c>
      <c r="F480" s="520">
        <v>0</v>
      </c>
      <c r="G480" s="520">
        <v>0</v>
      </c>
      <c r="H480" s="520">
        <v>0</v>
      </c>
      <c r="I480" s="517"/>
      <c r="J480" s="520">
        <v>0</v>
      </c>
      <c r="K480" s="520">
        <v>0</v>
      </c>
      <c r="L480" s="520">
        <v>0</v>
      </c>
      <c r="M480" s="517"/>
      <c r="N480" s="542">
        <v>0</v>
      </c>
      <c r="O480" s="543">
        <v>0</v>
      </c>
      <c r="P480" s="543">
        <v>0</v>
      </c>
      <c r="Q480" s="517"/>
      <c r="R480" s="520">
        <v>0</v>
      </c>
      <c r="S480" s="520">
        <v>0</v>
      </c>
      <c r="T480" s="520">
        <v>0</v>
      </c>
      <c r="U480" s="517"/>
      <c r="V480" s="542">
        <v>0</v>
      </c>
      <c r="W480" s="543">
        <v>0</v>
      </c>
    </row>
    <row r="481" spans="1:23" x14ac:dyDescent="0.25">
      <c r="A481">
        <v>476</v>
      </c>
      <c r="B481" t="s">
        <v>2220</v>
      </c>
      <c r="F481" s="520">
        <v>1</v>
      </c>
      <c r="G481" s="520">
        <v>5000</v>
      </c>
      <c r="H481" s="520">
        <v>15</v>
      </c>
      <c r="I481" s="517"/>
      <c r="J481" s="520">
        <v>0</v>
      </c>
      <c r="K481" s="520">
        <v>0</v>
      </c>
      <c r="L481" s="520">
        <v>0</v>
      </c>
      <c r="M481" s="517"/>
      <c r="N481" s="542">
        <v>1</v>
      </c>
      <c r="O481" s="543">
        <v>5000</v>
      </c>
      <c r="P481" s="543">
        <v>15</v>
      </c>
      <c r="Q481" s="517"/>
      <c r="R481" s="520">
        <v>0</v>
      </c>
      <c r="S481" s="520">
        <v>0</v>
      </c>
      <c r="T481" s="520">
        <v>0</v>
      </c>
      <c r="U481" s="517"/>
      <c r="V481" s="542">
        <v>1</v>
      </c>
      <c r="W481" s="543">
        <v>5000</v>
      </c>
    </row>
    <row r="482" spans="1:23" x14ac:dyDescent="0.25">
      <c r="A482">
        <v>477</v>
      </c>
      <c r="B482" t="s">
        <v>481</v>
      </c>
      <c r="D482" t="s">
        <v>480</v>
      </c>
      <c r="F482" s="520">
        <v>1</v>
      </c>
      <c r="G482" s="520">
        <v>17494</v>
      </c>
      <c r="H482" s="520">
        <v>25</v>
      </c>
      <c r="I482" s="517"/>
      <c r="J482" s="520">
        <v>0</v>
      </c>
      <c r="K482" s="520">
        <v>0</v>
      </c>
      <c r="L482" s="520">
        <v>0</v>
      </c>
      <c r="M482" s="517"/>
      <c r="N482" s="542">
        <v>1</v>
      </c>
      <c r="O482" s="543">
        <v>17494</v>
      </c>
      <c r="P482" s="543">
        <v>25</v>
      </c>
      <c r="Q482" s="517"/>
      <c r="R482" s="520">
        <v>0</v>
      </c>
      <c r="S482" s="520">
        <v>0</v>
      </c>
      <c r="T482" s="520">
        <v>0</v>
      </c>
      <c r="U482" s="517"/>
      <c r="V482" s="542">
        <v>1</v>
      </c>
      <c r="W482" s="543">
        <v>17494</v>
      </c>
    </row>
    <row r="483" spans="1:23" x14ac:dyDescent="0.25">
      <c r="A483">
        <v>478</v>
      </c>
      <c r="B483" t="s">
        <v>482</v>
      </c>
      <c r="C483" t="s">
        <v>15</v>
      </c>
      <c r="D483" t="s">
        <v>45</v>
      </c>
      <c r="F483" s="520">
        <v>0</v>
      </c>
      <c r="G483" s="520">
        <v>0</v>
      </c>
      <c r="H483" s="520">
        <v>0</v>
      </c>
      <c r="I483" s="517"/>
      <c r="J483" s="520">
        <v>0</v>
      </c>
      <c r="K483" s="520">
        <v>0</v>
      </c>
      <c r="L483" s="520">
        <v>0</v>
      </c>
      <c r="M483" s="517"/>
      <c r="N483" s="542">
        <v>0</v>
      </c>
      <c r="O483" s="543">
        <v>0</v>
      </c>
      <c r="P483" s="543">
        <v>0</v>
      </c>
      <c r="Q483" s="517"/>
      <c r="R483" s="520">
        <v>0</v>
      </c>
      <c r="S483" s="520">
        <v>0</v>
      </c>
      <c r="T483" s="520">
        <v>0</v>
      </c>
      <c r="U483" s="517"/>
      <c r="V483" s="542">
        <v>0</v>
      </c>
      <c r="W483" s="543">
        <v>0</v>
      </c>
    </row>
    <row r="484" spans="1:23" x14ac:dyDescent="0.25">
      <c r="A484">
        <v>479</v>
      </c>
      <c r="B484" t="s">
        <v>483</v>
      </c>
      <c r="C484" t="s">
        <v>15</v>
      </c>
      <c r="D484" t="s">
        <v>45</v>
      </c>
      <c r="F484" s="520">
        <v>0</v>
      </c>
      <c r="G484" s="520">
        <v>0</v>
      </c>
      <c r="H484" s="520">
        <v>0</v>
      </c>
      <c r="I484" s="517"/>
      <c r="J484" s="520">
        <v>0</v>
      </c>
      <c r="K484" s="520">
        <v>0</v>
      </c>
      <c r="L484" s="520">
        <v>0</v>
      </c>
      <c r="M484" s="517"/>
      <c r="N484" s="542">
        <v>0</v>
      </c>
      <c r="O484" s="543">
        <v>0</v>
      </c>
      <c r="P484" s="543">
        <v>0</v>
      </c>
      <c r="Q484" s="517"/>
      <c r="R484" s="520">
        <v>0</v>
      </c>
      <c r="S484" s="520">
        <v>0</v>
      </c>
      <c r="T484" s="520">
        <v>0</v>
      </c>
      <c r="U484" s="517"/>
      <c r="V484" s="542">
        <v>0</v>
      </c>
      <c r="W484" s="543">
        <v>0</v>
      </c>
    </row>
    <row r="485" spans="1:23" x14ac:dyDescent="0.25">
      <c r="A485">
        <v>480</v>
      </c>
      <c r="B485" t="s">
        <v>484</v>
      </c>
      <c r="C485" t="s">
        <v>15</v>
      </c>
      <c r="D485" t="s">
        <v>45</v>
      </c>
      <c r="F485" s="520">
        <v>0</v>
      </c>
      <c r="G485" s="520">
        <v>0</v>
      </c>
      <c r="H485" s="520">
        <v>0</v>
      </c>
      <c r="I485" s="517"/>
      <c r="J485" s="520">
        <v>0</v>
      </c>
      <c r="K485" s="520">
        <v>0</v>
      </c>
      <c r="L485" s="520">
        <v>0</v>
      </c>
      <c r="M485" s="517"/>
      <c r="N485" s="542">
        <v>0</v>
      </c>
      <c r="O485" s="543">
        <v>0</v>
      </c>
      <c r="P485" s="543">
        <v>0</v>
      </c>
      <c r="Q485" s="517"/>
      <c r="R485" s="520">
        <v>0</v>
      </c>
      <c r="S485" s="520">
        <v>0</v>
      </c>
      <c r="T485" s="520">
        <v>0</v>
      </c>
      <c r="U485" s="517"/>
      <c r="V485" s="542">
        <v>0</v>
      </c>
      <c r="W485" s="543">
        <v>0</v>
      </c>
    </row>
    <row r="486" spans="1:23" x14ac:dyDescent="0.25">
      <c r="A486">
        <v>481</v>
      </c>
      <c r="B486" t="s">
        <v>485</v>
      </c>
      <c r="C486" t="s">
        <v>15</v>
      </c>
      <c r="D486" t="s">
        <v>45</v>
      </c>
      <c r="F486" s="520">
        <v>0</v>
      </c>
      <c r="G486" s="520">
        <v>0</v>
      </c>
      <c r="H486" s="520">
        <v>0</v>
      </c>
      <c r="I486" s="517"/>
      <c r="J486" s="520">
        <v>0</v>
      </c>
      <c r="K486" s="520">
        <v>0</v>
      </c>
      <c r="L486" s="520">
        <v>0</v>
      </c>
      <c r="M486" s="517"/>
      <c r="N486" s="542">
        <v>0</v>
      </c>
      <c r="O486" s="543">
        <v>0</v>
      </c>
      <c r="P486" s="543">
        <v>0</v>
      </c>
      <c r="Q486" s="517"/>
      <c r="R486" s="520">
        <v>0</v>
      </c>
      <c r="S486" s="520">
        <v>0</v>
      </c>
      <c r="T486" s="520">
        <v>0</v>
      </c>
      <c r="U486" s="517"/>
      <c r="V486" s="542">
        <v>0</v>
      </c>
      <c r="W486" s="543">
        <v>0</v>
      </c>
    </row>
    <row r="487" spans="1:23" x14ac:dyDescent="0.25">
      <c r="A487">
        <v>482</v>
      </c>
      <c r="B487" t="s">
        <v>486</v>
      </c>
      <c r="C487" t="s">
        <v>15</v>
      </c>
      <c r="D487" t="s">
        <v>45</v>
      </c>
      <c r="F487" s="520">
        <v>0</v>
      </c>
      <c r="G487" s="520">
        <v>0</v>
      </c>
      <c r="H487" s="520">
        <v>0</v>
      </c>
      <c r="I487" s="517"/>
      <c r="J487" s="520">
        <v>0</v>
      </c>
      <c r="K487" s="520">
        <v>0</v>
      </c>
      <c r="L487" s="520">
        <v>0</v>
      </c>
      <c r="M487" s="517"/>
      <c r="N487" s="542">
        <v>0</v>
      </c>
      <c r="O487" s="543">
        <v>0</v>
      </c>
      <c r="P487" s="543">
        <v>0</v>
      </c>
      <c r="Q487" s="517"/>
      <c r="R487" s="520">
        <v>0</v>
      </c>
      <c r="S487" s="520">
        <v>0</v>
      </c>
      <c r="T487" s="520">
        <v>0</v>
      </c>
      <c r="U487" s="517"/>
      <c r="V487" s="542">
        <v>0</v>
      </c>
      <c r="W487" s="543">
        <v>0</v>
      </c>
    </row>
    <row r="488" spans="1:23" x14ac:dyDescent="0.25">
      <c r="A488">
        <v>483</v>
      </c>
      <c r="B488" t="s">
        <v>487</v>
      </c>
      <c r="C488" t="s">
        <v>15</v>
      </c>
      <c r="D488" t="s">
        <v>45</v>
      </c>
      <c r="F488" s="520">
        <v>6</v>
      </c>
      <c r="G488" s="520">
        <v>271350</v>
      </c>
      <c r="H488" s="520">
        <v>255</v>
      </c>
      <c r="I488" s="517"/>
      <c r="J488" s="520">
        <v>0</v>
      </c>
      <c r="K488" s="520">
        <v>0</v>
      </c>
      <c r="L488" s="520">
        <v>0</v>
      </c>
      <c r="M488" s="517"/>
      <c r="N488" s="542">
        <v>6</v>
      </c>
      <c r="O488" s="543">
        <v>271350</v>
      </c>
      <c r="P488" s="543">
        <v>255</v>
      </c>
      <c r="Q488" s="517"/>
      <c r="R488" s="520">
        <v>0</v>
      </c>
      <c r="S488" s="520">
        <v>0</v>
      </c>
      <c r="T488" s="520">
        <v>0</v>
      </c>
      <c r="U488" s="517"/>
      <c r="V488" s="542">
        <v>6</v>
      </c>
      <c r="W488" s="543">
        <v>271350</v>
      </c>
    </row>
    <row r="489" spans="1:23" x14ac:dyDescent="0.25">
      <c r="A489">
        <v>484</v>
      </c>
      <c r="B489" t="s">
        <v>488</v>
      </c>
      <c r="C489" t="s">
        <v>15</v>
      </c>
      <c r="D489" t="s">
        <v>45</v>
      </c>
      <c r="F489" s="520">
        <v>0</v>
      </c>
      <c r="G489" s="520">
        <v>0</v>
      </c>
      <c r="H489" s="520">
        <v>0</v>
      </c>
      <c r="I489" s="517"/>
      <c r="J489" s="520">
        <v>0</v>
      </c>
      <c r="K489" s="520">
        <v>0</v>
      </c>
      <c r="L489" s="520">
        <v>0</v>
      </c>
      <c r="M489" s="517"/>
      <c r="N489" s="542">
        <v>0</v>
      </c>
      <c r="O489" s="543">
        <v>0</v>
      </c>
      <c r="P489" s="543">
        <v>0</v>
      </c>
      <c r="Q489" s="517"/>
      <c r="R489" s="520">
        <v>0</v>
      </c>
      <c r="S489" s="520">
        <v>0</v>
      </c>
      <c r="T489" s="520">
        <v>0</v>
      </c>
      <c r="U489" s="517"/>
      <c r="V489" s="542">
        <v>0</v>
      </c>
      <c r="W489" s="543">
        <v>0</v>
      </c>
    </row>
    <row r="490" spans="1:23" x14ac:dyDescent="0.25">
      <c r="A490">
        <v>485</v>
      </c>
      <c r="B490" t="s">
        <v>2221</v>
      </c>
      <c r="C490" t="s">
        <v>136</v>
      </c>
      <c r="D490" t="s">
        <v>380</v>
      </c>
      <c r="F490" s="520">
        <v>0</v>
      </c>
      <c r="G490" s="520">
        <v>0</v>
      </c>
      <c r="H490" s="520">
        <v>0</v>
      </c>
      <c r="I490" s="517"/>
      <c r="J490" s="520">
        <v>0</v>
      </c>
      <c r="K490" s="520">
        <v>0</v>
      </c>
      <c r="L490" s="520">
        <v>0</v>
      </c>
      <c r="M490" s="517"/>
      <c r="N490" s="542">
        <v>0</v>
      </c>
      <c r="O490" s="543">
        <v>0</v>
      </c>
      <c r="P490" s="543">
        <v>0</v>
      </c>
      <c r="Q490" s="517"/>
      <c r="R490" s="520">
        <v>0</v>
      </c>
      <c r="S490" s="520">
        <v>0</v>
      </c>
      <c r="T490" s="520">
        <v>0</v>
      </c>
      <c r="U490" s="517"/>
      <c r="V490" s="542">
        <v>0</v>
      </c>
      <c r="W490" s="543">
        <v>0</v>
      </c>
    </row>
    <row r="491" spans="1:23" x14ac:dyDescent="0.25">
      <c r="A491">
        <v>486</v>
      </c>
      <c r="B491" t="s">
        <v>489</v>
      </c>
      <c r="C491" t="s">
        <v>18</v>
      </c>
      <c r="D491" t="s">
        <v>20</v>
      </c>
      <c r="F491" s="520">
        <v>73</v>
      </c>
      <c r="G491" s="520">
        <v>2039044.2</v>
      </c>
      <c r="H491" s="520">
        <v>2850</v>
      </c>
      <c r="I491" s="517"/>
      <c r="J491" s="520">
        <v>0</v>
      </c>
      <c r="K491" s="520">
        <v>0</v>
      </c>
      <c r="L491" s="520">
        <v>0</v>
      </c>
      <c r="M491" s="517"/>
      <c r="N491" s="542">
        <v>73</v>
      </c>
      <c r="O491" s="543">
        <v>2039044.2</v>
      </c>
      <c r="P491" s="543">
        <v>2850</v>
      </c>
      <c r="Q491" s="517"/>
      <c r="R491" s="520">
        <v>0</v>
      </c>
      <c r="S491" s="520">
        <v>0</v>
      </c>
      <c r="T491" s="520">
        <v>0</v>
      </c>
      <c r="U491" s="517"/>
      <c r="V491" s="542">
        <v>73</v>
      </c>
      <c r="W491" s="543">
        <v>2039044.2</v>
      </c>
    </row>
    <row r="492" spans="1:23" x14ac:dyDescent="0.25">
      <c r="A492">
        <v>487</v>
      </c>
      <c r="B492" t="s">
        <v>490</v>
      </c>
      <c r="C492" t="s">
        <v>15</v>
      </c>
      <c r="D492" t="s">
        <v>16</v>
      </c>
      <c r="F492" s="520">
        <v>1</v>
      </c>
      <c r="G492" s="520">
        <v>1313.73</v>
      </c>
      <c r="H492" s="520">
        <v>10</v>
      </c>
      <c r="I492" s="517"/>
      <c r="J492" s="520">
        <v>0</v>
      </c>
      <c r="K492" s="520">
        <v>0</v>
      </c>
      <c r="L492" s="520">
        <v>0</v>
      </c>
      <c r="M492" s="517"/>
      <c r="N492" s="542">
        <v>1</v>
      </c>
      <c r="O492" s="543">
        <v>1313.73</v>
      </c>
      <c r="P492" s="543">
        <v>10</v>
      </c>
      <c r="Q492" s="517"/>
      <c r="R492" s="520">
        <v>0</v>
      </c>
      <c r="S492" s="520">
        <v>0</v>
      </c>
      <c r="T492" s="520">
        <v>0</v>
      </c>
      <c r="U492" s="517"/>
      <c r="V492" s="542">
        <v>1</v>
      </c>
      <c r="W492" s="543">
        <v>1313.73</v>
      </c>
    </row>
    <row r="493" spans="1:23" x14ac:dyDescent="0.25">
      <c r="A493">
        <v>488</v>
      </c>
      <c r="B493" t="s">
        <v>491</v>
      </c>
      <c r="C493" t="s">
        <v>98</v>
      </c>
      <c r="D493" t="s">
        <v>16</v>
      </c>
      <c r="F493" s="520">
        <v>0</v>
      </c>
      <c r="G493" s="520">
        <v>0</v>
      </c>
      <c r="H493" s="520">
        <v>0</v>
      </c>
      <c r="I493" s="517"/>
      <c r="J493" s="520">
        <v>0</v>
      </c>
      <c r="K493" s="520">
        <v>0</v>
      </c>
      <c r="L493" s="520">
        <v>0</v>
      </c>
      <c r="M493" s="517"/>
      <c r="N493" s="542">
        <v>0</v>
      </c>
      <c r="O493" s="543">
        <v>0</v>
      </c>
      <c r="P493" s="543">
        <v>0</v>
      </c>
      <c r="Q493" s="517"/>
      <c r="R493" s="520">
        <v>0</v>
      </c>
      <c r="S493" s="520">
        <v>0</v>
      </c>
      <c r="T493" s="520">
        <v>0</v>
      </c>
      <c r="U493" s="517"/>
      <c r="V493" s="542">
        <v>0</v>
      </c>
      <c r="W493" s="543">
        <v>0</v>
      </c>
    </row>
    <row r="494" spans="1:23" x14ac:dyDescent="0.25">
      <c r="A494">
        <v>489</v>
      </c>
      <c r="B494" t="s">
        <v>492</v>
      </c>
      <c r="C494" t="s">
        <v>18</v>
      </c>
      <c r="D494" t="s">
        <v>16</v>
      </c>
      <c r="F494" s="520">
        <v>25</v>
      </c>
      <c r="G494" s="520">
        <v>820404.26</v>
      </c>
      <c r="H494" s="520">
        <v>750</v>
      </c>
      <c r="I494" s="517"/>
      <c r="J494" s="520">
        <v>0</v>
      </c>
      <c r="K494" s="520">
        <v>0</v>
      </c>
      <c r="L494" s="520">
        <v>0</v>
      </c>
      <c r="M494" s="517"/>
      <c r="N494" s="542">
        <v>25</v>
      </c>
      <c r="O494" s="543">
        <v>820404.26</v>
      </c>
      <c r="P494" s="543">
        <v>750</v>
      </c>
      <c r="Q494" s="517"/>
      <c r="R494" s="520">
        <v>0</v>
      </c>
      <c r="S494" s="520">
        <v>0</v>
      </c>
      <c r="T494" s="520">
        <v>0</v>
      </c>
      <c r="U494" s="517"/>
      <c r="V494" s="542">
        <v>25</v>
      </c>
      <c r="W494" s="543">
        <v>820404.26</v>
      </c>
    </row>
    <row r="495" spans="1:23" x14ac:dyDescent="0.25">
      <c r="A495">
        <v>490</v>
      </c>
      <c r="B495" t="s">
        <v>493</v>
      </c>
      <c r="C495" t="s">
        <v>18</v>
      </c>
      <c r="D495" t="s">
        <v>20</v>
      </c>
      <c r="F495" s="520">
        <v>23</v>
      </c>
      <c r="G495" s="520">
        <v>1643009.77</v>
      </c>
      <c r="H495" s="520">
        <v>710</v>
      </c>
      <c r="I495" s="517"/>
      <c r="J495" s="520">
        <v>0</v>
      </c>
      <c r="K495" s="520">
        <v>0</v>
      </c>
      <c r="L495" s="520">
        <v>0</v>
      </c>
      <c r="M495" s="517"/>
      <c r="N495" s="542">
        <v>23</v>
      </c>
      <c r="O495" s="543">
        <v>1643009.77</v>
      </c>
      <c r="P495" s="543">
        <v>710</v>
      </c>
      <c r="Q495" s="517"/>
      <c r="R495" s="520">
        <v>0</v>
      </c>
      <c r="S495" s="520">
        <v>0</v>
      </c>
      <c r="T495" s="520">
        <v>0</v>
      </c>
      <c r="U495" s="517"/>
      <c r="V495" s="542">
        <v>23</v>
      </c>
      <c r="W495" s="543">
        <v>1643009.77</v>
      </c>
    </row>
    <row r="496" spans="1:23" x14ac:dyDescent="0.25">
      <c r="A496">
        <v>491</v>
      </c>
      <c r="B496" t="s">
        <v>494</v>
      </c>
      <c r="D496" t="s">
        <v>16</v>
      </c>
      <c r="F496" s="520">
        <v>0</v>
      </c>
      <c r="G496" s="520">
        <v>0</v>
      </c>
      <c r="H496" s="520">
        <v>0</v>
      </c>
      <c r="I496" s="517"/>
      <c r="J496" s="520">
        <v>0</v>
      </c>
      <c r="K496" s="520">
        <v>0</v>
      </c>
      <c r="L496" s="520">
        <v>0</v>
      </c>
      <c r="M496" s="517"/>
      <c r="N496" s="542">
        <v>0</v>
      </c>
      <c r="O496" s="543">
        <v>0</v>
      </c>
      <c r="P496" s="543">
        <v>0</v>
      </c>
      <c r="Q496" s="517"/>
      <c r="R496" s="520">
        <v>0</v>
      </c>
      <c r="S496" s="520">
        <v>0</v>
      </c>
      <c r="T496" s="520">
        <v>0</v>
      </c>
      <c r="U496" s="517"/>
      <c r="V496" s="542">
        <v>0</v>
      </c>
      <c r="W496" s="543">
        <v>0</v>
      </c>
    </row>
    <row r="497" spans="1:23" x14ac:dyDescent="0.25">
      <c r="A497">
        <v>492</v>
      </c>
      <c r="B497" t="s">
        <v>495</v>
      </c>
      <c r="C497" t="s">
        <v>98</v>
      </c>
      <c r="D497" t="s">
        <v>20</v>
      </c>
      <c r="F497" s="520">
        <v>83</v>
      </c>
      <c r="G497" s="520">
        <v>1242074.26</v>
      </c>
      <c r="H497" s="520">
        <v>2490</v>
      </c>
      <c r="I497" s="517"/>
      <c r="J497" s="520">
        <v>0</v>
      </c>
      <c r="K497" s="520">
        <v>0</v>
      </c>
      <c r="L497" s="520">
        <v>0</v>
      </c>
      <c r="M497" s="517"/>
      <c r="N497" s="542">
        <v>83</v>
      </c>
      <c r="O497" s="543">
        <v>1242074.26</v>
      </c>
      <c r="P497" s="543">
        <v>2490</v>
      </c>
      <c r="Q497" s="517"/>
      <c r="R497" s="520">
        <v>0</v>
      </c>
      <c r="S497" s="520">
        <v>0</v>
      </c>
      <c r="T497" s="520">
        <v>0</v>
      </c>
      <c r="U497" s="517"/>
      <c r="V497" s="542">
        <v>83</v>
      </c>
      <c r="W497" s="543">
        <v>1242074.26</v>
      </c>
    </row>
    <row r="498" spans="1:23" x14ac:dyDescent="0.25">
      <c r="A498">
        <v>493</v>
      </c>
      <c r="B498" t="s">
        <v>496</v>
      </c>
      <c r="C498" t="s">
        <v>329</v>
      </c>
      <c r="D498" t="s">
        <v>20</v>
      </c>
      <c r="F498" s="520">
        <v>14</v>
      </c>
      <c r="G498" s="520">
        <v>510020</v>
      </c>
      <c r="H498" s="520">
        <v>625</v>
      </c>
      <c r="I498" s="517"/>
      <c r="J498" s="520">
        <v>0</v>
      </c>
      <c r="K498" s="520">
        <v>0</v>
      </c>
      <c r="L498" s="520">
        <v>0</v>
      </c>
      <c r="M498" s="517"/>
      <c r="N498" s="542">
        <v>14</v>
      </c>
      <c r="O498" s="543">
        <v>510020</v>
      </c>
      <c r="P498" s="543">
        <v>625</v>
      </c>
      <c r="Q498" s="517"/>
      <c r="R498" s="520">
        <v>0</v>
      </c>
      <c r="S498" s="520">
        <v>0</v>
      </c>
      <c r="T498" s="520">
        <v>0</v>
      </c>
      <c r="U498" s="517"/>
      <c r="V498" s="542">
        <v>14</v>
      </c>
      <c r="W498" s="543">
        <v>510020</v>
      </c>
    </row>
    <row r="499" spans="1:23" x14ac:dyDescent="0.25">
      <c r="A499">
        <v>494</v>
      </c>
      <c r="B499" t="s">
        <v>498</v>
      </c>
      <c r="C499" t="s">
        <v>15</v>
      </c>
      <c r="D499" t="s">
        <v>380</v>
      </c>
      <c r="F499" s="520">
        <v>7</v>
      </c>
      <c r="G499" s="520">
        <v>151374.38</v>
      </c>
      <c r="H499" s="520">
        <v>225</v>
      </c>
      <c r="I499" s="517"/>
      <c r="J499" s="520">
        <v>0</v>
      </c>
      <c r="K499" s="520">
        <v>0</v>
      </c>
      <c r="L499" s="520">
        <v>0</v>
      </c>
      <c r="M499" s="517"/>
      <c r="N499" s="542">
        <v>7</v>
      </c>
      <c r="O499" s="543">
        <v>151374.38</v>
      </c>
      <c r="P499" s="543">
        <v>225</v>
      </c>
      <c r="Q499" s="517"/>
      <c r="R499" s="520">
        <v>0</v>
      </c>
      <c r="S499" s="520">
        <v>0</v>
      </c>
      <c r="T499" s="520">
        <v>0</v>
      </c>
      <c r="U499" s="517"/>
      <c r="V499" s="542">
        <v>7</v>
      </c>
      <c r="W499" s="543">
        <v>151374.38</v>
      </c>
    </row>
    <row r="500" spans="1:23" x14ac:dyDescent="0.25">
      <c r="A500">
        <v>495</v>
      </c>
      <c r="B500" t="s">
        <v>499</v>
      </c>
      <c r="C500" t="s">
        <v>366</v>
      </c>
      <c r="D500" t="s">
        <v>16</v>
      </c>
      <c r="F500" s="520">
        <v>0</v>
      </c>
      <c r="G500" s="520">
        <v>0</v>
      </c>
      <c r="H500" s="520">
        <v>0</v>
      </c>
      <c r="I500" s="517"/>
      <c r="J500" s="520">
        <v>0</v>
      </c>
      <c r="K500" s="520">
        <v>0</v>
      </c>
      <c r="L500" s="520">
        <v>0</v>
      </c>
      <c r="M500" s="517"/>
      <c r="N500" s="542">
        <v>0</v>
      </c>
      <c r="O500" s="543">
        <v>0</v>
      </c>
      <c r="P500" s="543">
        <v>0</v>
      </c>
      <c r="Q500" s="517"/>
      <c r="R500" s="520">
        <v>0</v>
      </c>
      <c r="S500" s="520">
        <v>0</v>
      </c>
      <c r="T500" s="520">
        <v>0</v>
      </c>
      <c r="U500" s="517"/>
      <c r="V500" s="542">
        <v>0</v>
      </c>
      <c r="W500" s="543">
        <v>0</v>
      </c>
    </row>
    <row r="501" spans="1:23" x14ac:dyDescent="0.25">
      <c r="A501">
        <v>496</v>
      </c>
      <c r="B501" t="s">
        <v>500</v>
      </c>
      <c r="C501" t="s">
        <v>18</v>
      </c>
      <c r="D501" t="s">
        <v>16</v>
      </c>
      <c r="F501" s="520">
        <v>274</v>
      </c>
      <c r="G501" s="520">
        <v>281959.15999999992</v>
      </c>
      <c r="H501" s="520">
        <v>2740</v>
      </c>
      <c r="I501" s="517"/>
      <c r="J501" s="520">
        <v>0</v>
      </c>
      <c r="K501" s="520">
        <v>0</v>
      </c>
      <c r="L501" s="520">
        <v>0</v>
      </c>
      <c r="M501" s="517"/>
      <c r="N501" s="542">
        <v>274</v>
      </c>
      <c r="O501" s="543">
        <v>281959.15999999992</v>
      </c>
      <c r="P501" s="543">
        <v>2740</v>
      </c>
      <c r="Q501" s="517"/>
      <c r="R501" s="520">
        <v>0</v>
      </c>
      <c r="S501" s="520">
        <v>0</v>
      </c>
      <c r="T501" s="520">
        <v>0</v>
      </c>
      <c r="U501" s="517"/>
      <c r="V501" s="542">
        <v>274</v>
      </c>
      <c r="W501" s="543">
        <v>281959.15999999992</v>
      </c>
    </row>
    <row r="502" spans="1:23" x14ac:dyDescent="0.25">
      <c r="A502">
        <v>497</v>
      </c>
      <c r="B502" t="s">
        <v>501</v>
      </c>
      <c r="C502" t="s">
        <v>18</v>
      </c>
      <c r="D502" t="s">
        <v>16</v>
      </c>
      <c r="F502" s="520">
        <v>1</v>
      </c>
      <c r="G502" s="520">
        <v>979.64</v>
      </c>
      <c r="H502" s="520">
        <v>5</v>
      </c>
      <c r="I502" s="517"/>
      <c r="J502" s="520">
        <v>0</v>
      </c>
      <c r="K502" s="520">
        <v>0</v>
      </c>
      <c r="L502" s="520">
        <v>0</v>
      </c>
      <c r="M502" s="517"/>
      <c r="N502" s="542">
        <v>1</v>
      </c>
      <c r="O502" s="543">
        <v>979.64</v>
      </c>
      <c r="P502" s="543">
        <v>5</v>
      </c>
      <c r="Q502" s="517"/>
      <c r="R502" s="520">
        <v>0</v>
      </c>
      <c r="S502" s="520">
        <v>0</v>
      </c>
      <c r="T502" s="520">
        <v>0</v>
      </c>
      <c r="U502" s="517"/>
      <c r="V502" s="542">
        <v>1</v>
      </c>
      <c r="W502" s="543">
        <v>979.64</v>
      </c>
    </row>
    <row r="503" spans="1:23" x14ac:dyDescent="0.25">
      <c r="A503">
        <v>498</v>
      </c>
      <c r="B503" t="s">
        <v>502</v>
      </c>
      <c r="D503" t="s">
        <v>16</v>
      </c>
      <c r="F503" s="520">
        <v>0</v>
      </c>
      <c r="G503" s="520">
        <v>0</v>
      </c>
      <c r="H503" s="520">
        <v>0</v>
      </c>
      <c r="I503" s="517"/>
      <c r="J503" s="520">
        <v>0</v>
      </c>
      <c r="K503" s="520">
        <v>0</v>
      </c>
      <c r="L503" s="520">
        <v>0</v>
      </c>
      <c r="M503" s="517"/>
      <c r="N503" s="542">
        <v>0</v>
      </c>
      <c r="O503" s="543">
        <v>0</v>
      </c>
      <c r="P503" s="543">
        <v>0</v>
      </c>
      <c r="Q503" s="517"/>
      <c r="R503" s="520">
        <v>0</v>
      </c>
      <c r="S503" s="520">
        <v>0</v>
      </c>
      <c r="T503" s="520">
        <v>0</v>
      </c>
      <c r="U503" s="517"/>
      <c r="V503" s="542">
        <v>0</v>
      </c>
      <c r="W503" s="543">
        <v>0</v>
      </c>
    </row>
    <row r="504" spans="1:23" x14ac:dyDescent="0.25">
      <c r="A504">
        <v>499</v>
      </c>
      <c r="B504" t="s">
        <v>503</v>
      </c>
      <c r="C504" t="s">
        <v>24</v>
      </c>
      <c r="D504" t="s">
        <v>16</v>
      </c>
      <c r="F504" s="520">
        <v>0</v>
      </c>
      <c r="G504" s="520">
        <v>0</v>
      </c>
      <c r="H504" s="520">
        <v>0</v>
      </c>
      <c r="I504" s="517"/>
      <c r="J504" s="520">
        <v>0</v>
      </c>
      <c r="K504" s="520">
        <v>0</v>
      </c>
      <c r="L504" s="520">
        <v>0</v>
      </c>
      <c r="M504" s="517"/>
      <c r="N504" s="542">
        <v>0</v>
      </c>
      <c r="O504" s="543">
        <v>0</v>
      </c>
      <c r="P504" s="543">
        <v>0</v>
      </c>
      <c r="Q504" s="517"/>
      <c r="R504" s="520">
        <v>0</v>
      </c>
      <c r="S504" s="520">
        <v>0</v>
      </c>
      <c r="T504" s="520">
        <v>0</v>
      </c>
      <c r="U504" s="517"/>
      <c r="V504" s="542">
        <v>0</v>
      </c>
      <c r="W504" s="543">
        <v>0</v>
      </c>
    </row>
    <row r="505" spans="1:23" x14ac:dyDescent="0.25">
      <c r="A505">
        <v>500</v>
      </c>
      <c r="B505" t="s">
        <v>3078</v>
      </c>
      <c r="C505" t="s">
        <v>242</v>
      </c>
      <c r="D505" t="s">
        <v>16</v>
      </c>
      <c r="F505" s="520">
        <v>0</v>
      </c>
      <c r="G505" s="520">
        <v>0</v>
      </c>
      <c r="H505" s="520">
        <v>0</v>
      </c>
      <c r="I505" s="517"/>
      <c r="J505" s="520">
        <v>0</v>
      </c>
      <c r="K505" s="520">
        <v>0</v>
      </c>
      <c r="L505" s="520">
        <v>0</v>
      </c>
      <c r="M505" s="517"/>
      <c r="N505" s="542">
        <v>0</v>
      </c>
      <c r="O505" s="543">
        <v>0</v>
      </c>
      <c r="P505" s="543">
        <v>0</v>
      </c>
      <c r="Q505" s="517"/>
      <c r="R505" s="520">
        <v>0</v>
      </c>
      <c r="S505" s="520">
        <v>0</v>
      </c>
      <c r="T505" s="520">
        <v>0</v>
      </c>
      <c r="U505" s="517"/>
      <c r="V505" s="542">
        <v>0</v>
      </c>
      <c r="W505" s="543">
        <v>0</v>
      </c>
    </row>
    <row r="506" spans="1:23" x14ac:dyDescent="0.25">
      <c r="A506">
        <v>501</v>
      </c>
      <c r="B506" t="s">
        <v>504</v>
      </c>
      <c r="C506" t="s">
        <v>24</v>
      </c>
      <c r="D506" t="s">
        <v>16</v>
      </c>
      <c r="F506" s="520">
        <v>3</v>
      </c>
      <c r="G506" s="520">
        <v>3092</v>
      </c>
      <c r="H506" s="520">
        <v>30</v>
      </c>
      <c r="I506" s="517"/>
      <c r="J506" s="520">
        <v>0</v>
      </c>
      <c r="K506" s="520">
        <v>0</v>
      </c>
      <c r="L506" s="520">
        <v>0</v>
      </c>
      <c r="M506" s="517"/>
      <c r="N506" s="542">
        <v>3</v>
      </c>
      <c r="O506" s="543">
        <v>3092</v>
      </c>
      <c r="P506" s="543">
        <v>30</v>
      </c>
      <c r="Q506" s="517"/>
      <c r="R506" s="520">
        <v>0</v>
      </c>
      <c r="S506" s="520">
        <v>0</v>
      </c>
      <c r="T506" s="520">
        <v>0</v>
      </c>
      <c r="U506" s="517"/>
      <c r="V506" s="542">
        <v>3</v>
      </c>
      <c r="W506" s="543">
        <v>3092</v>
      </c>
    </row>
    <row r="507" spans="1:23" x14ac:dyDescent="0.25">
      <c r="A507">
        <v>502</v>
      </c>
      <c r="B507" t="s">
        <v>505</v>
      </c>
      <c r="C507" t="s">
        <v>25</v>
      </c>
      <c r="D507" t="s">
        <v>16</v>
      </c>
      <c r="F507" s="520">
        <v>14</v>
      </c>
      <c r="G507" s="520">
        <v>192169</v>
      </c>
      <c r="H507" s="520">
        <v>420</v>
      </c>
      <c r="I507" s="517"/>
      <c r="J507" s="520">
        <v>0</v>
      </c>
      <c r="K507" s="520">
        <v>0</v>
      </c>
      <c r="L507" s="520">
        <v>0</v>
      </c>
      <c r="M507" s="517"/>
      <c r="N507" s="542">
        <v>14</v>
      </c>
      <c r="O507" s="543">
        <v>192169</v>
      </c>
      <c r="P507" s="543">
        <v>420</v>
      </c>
      <c r="Q507" s="517"/>
      <c r="R507" s="520">
        <v>0</v>
      </c>
      <c r="S507" s="520">
        <v>0</v>
      </c>
      <c r="T507" s="520">
        <v>0</v>
      </c>
      <c r="U507" s="517"/>
      <c r="V507" s="542">
        <v>14</v>
      </c>
      <c r="W507" s="543">
        <v>192169</v>
      </c>
    </row>
    <row r="508" spans="1:23" x14ac:dyDescent="0.25">
      <c r="A508">
        <v>503</v>
      </c>
      <c r="B508" t="s">
        <v>506</v>
      </c>
      <c r="C508" t="s">
        <v>18</v>
      </c>
      <c r="D508" t="s">
        <v>20</v>
      </c>
      <c r="F508" s="520">
        <v>2</v>
      </c>
      <c r="G508" s="520">
        <v>39056.29</v>
      </c>
      <c r="H508" s="520">
        <v>100</v>
      </c>
      <c r="I508" s="517"/>
      <c r="J508" s="520">
        <v>0</v>
      </c>
      <c r="K508" s="520">
        <v>0</v>
      </c>
      <c r="L508" s="520">
        <v>0</v>
      </c>
      <c r="M508" s="517"/>
      <c r="N508" s="542">
        <v>2</v>
      </c>
      <c r="O508" s="543">
        <v>39056.29</v>
      </c>
      <c r="P508" s="543">
        <v>100</v>
      </c>
      <c r="Q508" s="517"/>
      <c r="R508" s="520">
        <v>0</v>
      </c>
      <c r="S508" s="520">
        <v>0</v>
      </c>
      <c r="T508" s="520">
        <v>0</v>
      </c>
      <c r="U508" s="517"/>
      <c r="V508" s="542">
        <v>2</v>
      </c>
      <c r="W508" s="543">
        <v>39056.29</v>
      </c>
    </row>
    <row r="509" spans="1:23" x14ac:dyDescent="0.25">
      <c r="A509">
        <v>504</v>
      </c>
      <c r="B509" t="s">
        <v>507</v>
      </c>
      <c r="C509" t="s">
        <v>15</v>
      </c>
      <c r="D509" t="s">
        <v>16</v>
      </c>
      <c r="F509" s="520">
        <v>1</v>
      </c>
      <c r="G509" s="520">
        <v>11408</v>
      </c>
      <c r="H509" s="520">
        <v>50</v>
      </c>
      <c r="I509" s="517"/>
      <c r="J509" s="520">
        <v>0</v>
      </c>
      <c r="K509" s="520">
        <v>0</v>
      </c>
      <c r="L509" s="520">
        <v>0</v>
      </c>
      <c r="M509" s="517"/>
      <c r="N509" s="542">
        <v>1</v>
      </c>
      <c r="O509" s="543">
        <v>11408</v>
      </c>
      <c r="P509" s="543">
        <v>50</v>
      </c>
      <c r="Q509" s="517"/>
      <c r="R509" s="520">
        <v>0</v>
      </c>
      <c r="S509" s="520">
        <v>0</v>
      </c>
      <c r="T509" s="520">
        <v>0</v>
      </c>
      <c r="U509" s="517"/>
      <c r="V509" s="542">
        <v>1</v>
      </c>
      <c r="W509" s="543">
        <v>11408</v>
      </c>
    </row>
    <row r="510" spans="1:23" x14ac:dyDescent="0.25">
      <c r="A510">
        <v>505</v>
      </c>
      <c r="B510" t="s">
        <v>508</v>
      </c>
      <c r="C510" t="s">
        <v>154</v>
      </c>
      <c r="D510" t="s">
        <v>16</v>
      </c>
      <c r="F510" s="520">
        <v>13</v>
      </c>
      <c r="G510" s="520">
        <v>280897.5</v>
      </c>
      <c r="H510" s="520">
        <v>390</v>
      </c>
      <c r="I510" s="517"/>
      <c r="J510" s="520">
        <v>0</v>
      </c>
      <c r="K510" s="520">
        <v>0</v>
      </c>
      <c r="L510" s="520">
        <v>0</v>
      </c>
      <c r="M510" s="517"/>
      <c r="N510" s="542">
        <v>13</v>
      </c>
      <c r="O510" s="543">
        <v>280897.5</v>
      </c>
      <c r="P510" s="543">
        <v>390</v>
      </c>
      <c r="Q510" s="517"/>
      <c r="R510" s="520">
        <v>0</v>
      </c>
      <c r="S510" s="520">
        <v>0</v>
      </c>
      <c r="T510" s="520">
        <v>0</v>
      </c>
      <c r="U510" s="517"/>
      <c r="V510" s="542">
        <v>13</v>
      </c>
      <c r="W510" s="543">
        <v>280897.5</v>
      </c>
    </row>
    <row r="511" spans="1:23" x14ac:dyDescent="0.25">
      <c r="A511">
        <v>506</v>
      </c>
      <c r="B511" t="s">
        <v>509</v>
      </c>
      <c r="C511" t="s">
        <v>135</v>
      </c>
      <c r="D511" t="s">
        <v>327</v>
      </c>
      <c r="F511" s="520">
        <v>0</v>
      </c>
      <c r="G511" s="520">
        <v>0</v>
      </c>
      <c r="H511" s="520">
        <v>0</v>
      </c>
      <c r="I511" s="517"/>
      <c r="J511" s="520">
        <v>0</v>
      </c>
      <c r="K511" s="520">
        <v>0</v>
      </c>
      <c r="L511" s="520">
        <v>0</v>
      </c>
      <c r="M511" s="517"/>
      <c r="N511" s="542">
        <v>0</v>
      </c>
      <c r="O511" s="543">
        <v>0</v>
      </c>
      <c r="P511" s="543">
        <v>0</v>
      </c>
      <c r="Q511" s="517"/>
      <c r="R511" s="520">
        <v>0</v>
      </c>
      <c r="S511" s="520">
        <v>0</v>
      </c>
      <c r="T511" s="520">
        <v>0</v>
      </c>
      <c r="U511" s="517"/>
      <c r="V511" s="542">
        <v>0</v>
      </c>
      <c r="W511" s="543">
        <v>0</v>
      </c>
    </row>
    <row r="512" spans="1:23" x14ac:dyDescent="0.25">
      <c r="A512">
        <v>507</v>
      </c>
      <c r="B512" t="s">
        <v>510</v>
      </c>
      <c r="C512" t="s">
        <v>351</v>
      </c>
      <c r="D512" t="s">
        <v>40</v>
      </c>
      <c r="F512" s="520">
        <v>11</v>
      </c>
      <c r="G512" s="520">
        <v>13120.7</v>
      </c>
      <c r="H512" s="520">
        <v>0</v>
      </c>
      <c r="I512" s="517"/>
      <c r="J512" s="520">
        <v>0</v>
      </c>
      <c r="K512" s="520">
        <v>0</v>
      </c>
      <c r="L512" s="520">
        <v>0</v>
      </c>
      <c r="M512" s="517"/>
      <c r="N512" s="542">
        <v>11</v>
      </c>
      <c r="O512" s="543">
        <v>13120.7</v>
      </c>
      <c r="P512" s="543">
        <v>0</v>
      </c>
      <c r="Q512" s="517"/>
      <c r="R512" s="520">
        <v>0</v>
      </c>
      <c r="S512" s="520">
        <v>0</v>
      </c>
      <c r="T512" s="520">
        <v>0</v>
      </c>
      <c r="U512" s="517"/>
      <c r="V512" s="542">
        <v>11</v>
      </c>
      <c r="W512" s="543">
        <v>13120.7</v>
      </c>
    </row>
    <row r="513" spans="1:23" x14ac:dyDescent="0.25">
      <c r="A513">
        <v>508</v>
      </c>
      <c r="B513" t="s">
        <v>511</v>
      </c>
      <c r="D513" t="s">
        <v>40</v>
      </c>
      <c r="F513" s="520">
        <v>0</v>
      </c>
      <c r="G513" s="520">
        <v>0</v>
      </c>
      <c r="H513" s="520">
        <v>0</v>
      </c>
      <c r="I513" s="517"/>
      <c r="J513" s="520">
        <v>0</v>
      </c>
      <c r="K513" s="520">
        <v>0</v>
      </c>
      <c r="L513" s="520">
        <v>0</v>
      </c>
      <c r="M513" s="517"/>
      <c r="N513" s="542">
        <v>0</v>
      </c>
      <c r="O513" s="543">
        <v>0</v>
      </c>
      <c r="P513" s="543">
        <v>0</v>
      </c>
      <c r="Q513" s="517"/>
      <c r="R513" s="520">
        <v>0</v>
      </c>
      <c r="S513" s="520">
        <v>0</v>
      </c>
      <c r="T513" s="520">
        <v>0</v>
      </c>
      <c r="U513" s="517"/>
      <c r="V513" s="542">
        <v>0</v>
      </c>
      <c r="W513" s="543">
        <v>0</v>
      </c>
    </row>
    <row r="514" spans="1:23" x14ac:dyDescent="0.25">
      <c r="A514">
        <v>509</v>
      </c>
      <c r="B514" t="s">
        <v>512</v>
      </c>
      <c r="D514" t="s">
        <v>26</v>
      </c>
      <c r="F514" s="520">
        <v>30</v>
      </c>
      <c r="G514" s="520">
        <v>367739.49</v>
      </c>
      <c r="H514" s="520">
        <v>0</v>
      </c>
      <c r="I514" s="517"/>
      <c r="J514" s="520">
        <v>0</v>
      </c>
      <c r="K514" s="520">
        <v>0</v>
      </c>
      <c r="L514" s="520">
        <v>0</v>
      </c>
      <c r="M514" s="517"/>
      <c r="N514" s="542">
        <v>30</v>
      </c>
      <c r="O514" s="543">
        <v>367739.49</v>
      </c>
      <c r="P514" s="543">
        <v>0</v>
      </c>
      <c r="Q514" s="517"/>
      <c r="R514" s="520">
        <v>0</v>
      </c>
      <c r="S514" s="520">
        <v>0</v>
      </c>
      <c r="T514" s="520">
        <v>0</v>
      </c>
      <c r="U514" s="517"/>
      <c r="V514" s="542">
        <v>30</v>
      </c>
      <c r="W514" s="543">
        <v>367739.49</v>
      </c>
    </row>
    <row r="515" spans="1:23" x14ac:dyDescent="0.25">
      <c r="A515">
        <v>510</v>
      </c>
      <c r="B515" t="s">
        <v>2236</v>
      </c>
      <c r="F515" s="520">
        <v>0</v>
      </c>
      <c r="G515" s="520">
        <v>0</v>
      </c>
      <c r="H515" s="520">
        <v>0</v>
      </c>
      <c r="I515" s="517"/>
      <c r="J515" s="520">
        <v>0</v>
      </c>
      <c r="K515" s="520">
        <v>0</v>
      </c>
      <c r="L515" s="520">
        <v>0</v>
      </c>
      <c r="M515" s="517"/>
      <c r="N515" s="542">
        <v>0</v>
      </c>
      <c r="O515" s="543">
        <v>0</v>
      </c>
      <c r="P515" s="543">
        <v>0</v>
      </c>
      <c r="Q515" s="517"/>
      <c r="R515" s="520">
        <v>0</v>
      </c>
      <c r="S515" s="520">
        <v>0</v>
      </c>
      <c r="T515" s="520">
        <v>0</v>
      </c>
      <c r="U515" s="517"/>
      <c r="V515" s="542">
        <v>0</v>
      </c>
      <c r="W515" s="543">
        <v>0</v>
      </c>
    </row>
    <row r="516" spans="1:23" x14ac:dyDescent="0.25">
      <c r="A516">
        <v>511</v>
      </c>
      <c r="B516" t="s">
        <v>2430</v>
      </c>
      <c r="F516" s="520">
        <v>0</v>
      </c>
      <c r="G516" s="520">
        <v>0</v>
      </c>
      <c r="H516" s="520">
        <v>0</v>
      </c>
      <c r="I516" s="517"/>
      <c r="J516" s="520">
        <v>0</v>
      </c>
      <c r="K516" s="520">
        <v>0</v>
      </c>
      <c r="L516" s="520">
        <v>0</v>
      </c>
      <c r="M516" s="517"/>
      <c r="N516" s="542">
        <v>0</v>
      </c>
      <c r="O516" s="543">
        <v>0</v>
      </c>
      <c r="P516" s="543">
        <v>0</v>
      </c>
      <c r="Q516" s="517"/>
      <c r="R516" s="520">
        <v>0</v>
      </c>
      <c r="S516" s="520">
        <v>0</v>
      </c>
      <c r="T516" s="520">
        <v>0</v>
      </c>
      <c r="U516" s="517"/>
      <c r="V516" s="542">
        <v>0</v>
      </c>
      <c r="W516" s="543">
        <v>0</v>
      </c>
    </row>
    <row r="517" spans="1:23" x14ac:dyDescent="0.25">
      <c r="A517">
        <v>512</v>
      </c>
      <c r="B517" t="s">
        <v>3226</v>
      </c>
      <c r="F517" s="520">
        <v>0</v>
      </c>
      <c r="G517" s="520">
        <v>0</v>
      </c>
      <c r="H517" s="520">
        <v>0</v>
      </c>
      <c r="I517" s="517"/>
      <c r="J517" s="520">
        <v>0</v>
      </c>
      <c r="K517" s="520">
        <v>0</v>
      </c>
      <c r="L517" s="520">
        <v>0</v>
      </c>
      <c r="M517" s="517"/>
      <c r="N517" s="542">
        <v>0</v>
      </c>
      <c r="O517" s="543">
        <v>0</v>
      </c>
      <c r="P517" s="543">
        <v>0</v>
      </c>
      <c r="Q517" s="517"/>
      <c r="R517" s="520">
        <v>0</v>
      </c>
      <c r="S517" s="520">
        <v>0</v>
      </c>
      <c r="T517" s="520">
        <v>0</v>
      </c>
      <c r="U517" s="517"/>
      <c r="V517" s="542">
        <v>0</v>
      </c>
      <c r="W517" s="543">
        <v>0</v>
      </c>
    </row>
    <row r="518" spans="1:23" x14ac:dyDescent="0.25">
      <c r="A518">
        <v>513</v>
      </c>
      <c r="B518" t="s">
        <v>2237</v>
      </c>
      <c r="F518" s="520">
        <v>19</v>
      </c>
      <c r="G518" s="520">
        <v>84578.65</v>
      </c>
      <c r="H518" s="520">
        <v>0</v>
      </c>
      <c r="I518" s="517"/>
      <c r="J518" s="520">
        <v>0</v>
      </c>
      <c r="K518" s="520">
        <v>0</v>
      </c>
      <c r="L518" s="520">
        <v>0</v>
      </c>
      <c r="M518" s="517"/>
      <c r="N518" s="542">
        <v>19</v>
      </c>
      <c r="O518" s="543">
        <v>84578.65</v>
      </c>
      <c r="P518" s="543">
        <v>0</v>
      </c>
      <c r="Q518" s="517"/>
      <c r="R518" s="520">
        <v>0</v>
      </c>
      <c r="S518" s="520">
        <v>0</v>
      </c>
      <c r="T518" s="520">
        <v>0</v>
      </c>
      <c r="U518" s="517"/>
      <c r="V518" s="542">
        <v>19</v>
      </c>
      <c r="W518" s="543">
        <v>84578.65</v>
      </c>
    </row>
    <row r="519" spans="1:23" x14ac:dyDescent="0.25">
      <c r="A519">
        <v>514</v>
      </c>
      <c r="B519" t="s">
        <v>521</v>
      </c>
      <c r="C519" t="s">
        <v>136</v>
      </c>
      <c r="D519" t="s">
        <v>16</v>
      </c>
      <c r="F519" s="520">
        <v>179</v>
      </c>
      <c r="G519" s="520">
        <v>58320</v>
      </c>
      <c r="H519" s="520">
        <v>0</v>
      </c>
      <c r="I519" s="517"/>
      <c r="J519" s="520">
        <v>0</v>
      </c>
      <c r="K519" s="520">
        <v>0</v>
      </c>
      <c r="L519" s="520">
        <v>0</v>
      </c>
      <c r="M519" s="517"/>
      <c r="N519" s="542">
        <v>179</v>
      </c>
      <c r="O519" s="543">
        <v>58320</v>
      </c>
      <c r="P519" s="543">
        <v>0</v>
      </c>
      <c r="Q519" s="517"/>
      <c r="R519" s="520">
        <v>0</v>
      </c>
      <c r="S519" s="520">
        <v>0</v>
      </c>
      <c r="T519" s="520">
        <v>0</v>
      </c>
      <c r="U519" s="517"/>
      <c r="V519" s="542">
        <v>179</v>
      </c>
      <c r="W519" s="543">
        <v>58320</v>
      </c>
    </row>
    <row r="520" spans="1:23" x14ac:dyDescent="0.25">
      <c r="A520">
        <v>515</v>
      </c>
      <c r="B520" t="s">
        <v>513</v>
      </c>
      <c r="C520" t="s">
        <v>27</v>
      </c>
      <c r="D520" t="s">
        <v>16</v>
      </c>
      <c r="F520" s="520">
        <v>14</v>
      </c>
      <c r="G520" s="520">
        <v>179502.48</v>
      </c>
      <c r="H520" s="520">
        <v>345</v>
      </c>
      <c r="I520" s="517"/>
      <c r="J520" s="520">
        <v>0</v>
      </c>
      <c r="K520" s="520">
        <v>0</v>
      </c>
      <c r="L520" s="520">
        <v>0</v>
      </c>
      <c r="M520" s="517"/>
      <c r="N520" s="542">
        <v>14</v>
      </c>
      <c r="O520" s="543">
        <v>179502.48</v>
      </c>
      <c r="P520" s="543">
        <v>345</v>
      </c>
      <c r="Q520" s="517"/>
      <c r="R520" s="520">
        <v>0</v>
      </c>
      <c r="S520" s="520">
        <v>0</v>
      </c>
      <c r="T520" s="520">
        <v>0</v>
      </c>
      <c r="U520" s="517"/>
      <c r="V520" s="542">
        <v>14</v>
      </c>
      <c r="W520" s="543">
        <v>179502.48</v>
      </c>
    </row>
    <row r="521" spans="1:23" x14ac:dyDescent="0.25">
      <c r="A521">
        <v>516</v>
      </c>
      <c r="B521" t="s">
        <v>3232</v>
      </c>
      <c r="C521" t="s">
        <v>525</v>
      </c>
      <c r="D521" t="s">
        <v>3231</v>
      </c>
      <c r="F521" s="520">
        <v>7</v>
      </c>
      <c r="G521" s="520">
        <v>212232</v>
      </c>
      <c r="H521" s="520">
        <v>335</v>
      </c>
      <c r="I521" s="517"/>
      <c r="J521" s="520">
        <v>0</v>
      </c>
      <c r="K521" s="520">
        <v>0</v>
      </c>
      <c r="L521" s="520">
        <v>0</v>
      </c>
      <c r="M521" s="517"/>
      <c r="N521" s="542">
        <v>7</v>
      </c>
      <c r="O521" s="543">
        <v>212232</v>
      </c>
      <c r="P521" s="543">
        <v>335</v>
      </c>
      <c r="Q521" s="517"/>
      <c r="R521" s="520">
        <v>0</v>
      </c>
      <c r="S521" s="520">
        <v>0</v>
      </c>
      <c r="T521" s="520">
        <v>0</v>
      </c>
      <c r="U521" s="517"/>
      <c r="V521" s="542">
        <v>7</v>
      </c>
      <c r="W521" s="543">
        <v>212232</v>
      </c>
    </row>
    <row r="522" spans="1:23" x14ac:dyDescent="0.25">
      <c r="A522">
        <v>517</v>
      </c>
      <c r="B522" t="s">
        <v>514</v>
      </c>
      <c r="C522" t="s">
        <v>18</v>
      </c>
      <c r="D522" t="s">
        <v>16</v>
      </c>
      <c r="F522" s="520">
        <v>1</v>
      </c>
      <c r="G522" s="520">
        <v>19120</v>
      </c>
      <c r="H522" s="520">
        <v>60</v>
      </c>
      <c r="I522" s="517"/>
      <c r="J522" s="520">
        <v>0</v>
      </c>
      <c r="K522" s="520">
        <v>0</v>
      </c>
      <c r="L522" s="520">
        <v>0</v>
      </c>
      <c r="M522" s="517"/>
      <c r="N522" s="542">
        <v>1</v>
      </c>
      <c r="O522" s="543">
        <v>19120</v>
      </c>
      <c r="P522" s="543">
        <v>60</v>
      </c>
      <c r="Q522" s="517"/>
      <c r="R522" s="520">
        <v>0</v>
      </c>
      <c r="S522" s="520">
        <v>0</v>
      </c>
      <c r="T522" s="520">
        <v>0</v>
      </c>
      <c r="U522" s="517"/>
      <c r="V522" s="542">
        <v>1</v>
      </c>
      <c r="W522" s="543">
        <v>19120</v>
      </c>
    </row>
    <row r="523" spans="1:23" x14ac:dyDescent="0.25">
      <c r="A523">
        <v>518</v>
      </c>
      <c r="B523" t="s">
        <v>517</v>
      </c>
      <c r="D523" t="s">
        <v>516</v>
      </c>
      <c r="F523" s="520">
        <v>152</v>
      </c>
      <c r="G523" s="520">
        <v>989397.54</v>
      </c>
      <c r="H523" s="520">
        <v>3040</v>
      </c>
      <c r="I523" s="517"/>
      <c r="J523" s="520">
        <v>0</v>
      </c>
      <c r="K523" s="520">
        <v>0</v>
      </c>
      <c r="L523" s="520">
        <v>0</v>
      </c>
      <c r="M523" s="517"/>
      <c r="N523" s="542">
        <v>152</v>
      </c>
      <c r="O523" s="543">
        <v>989397.54</v>
      </c>
      <c r="P523" s="543">
        <v>3040</v>
      </c>
      <c r="Q523" s="517"/>
      <c r="R523" s="520">
        <v>0</v>
      </c>
      <c r="S523" s="520">
        <v>0</v>
      </c>
      <c r="T523" s="520">
        <v>0</v>
      </c>
      <c r="U523" s="517"/>
      <c r="V523" s="542">
        <v>152</v>
      </c>
      <c r="W523" s="543">
        <v>989397.54</v>
      </c>
    </row>
    <row r="524" spans="1:23" x14ac:dyDescent="0.25">
      <c r="A524">
        <v>519</v>
      </c>
      <c r="B524" t="s">
        <v>518</v>
      </c>
      <c r="C524" t="s">
        <v>112</v>
      </c>
      <c r="F524" s="520">
        <v>0</v>
      </c>
      <c r="G524" s="520">
        <v>0</v>
      </c>
      <c r="H524" s="520">
        <v>0</v>
      </c>
      <c r="I524" s="517"/>
      <c r="J524" s="520">
        <v>0</v>
      </c>
      <c r="K524" s="520">
        <v>0</v>
      </c>
      <c r="L524" s="520">
        <v>0</v>
      </c>
      <c r="M524" s="517"/>
      <c r="N524" s="542">
        <v>0</v>
      </c>
      <c r="O524" s="543">
        <v>0</v>
      </c>
      <c r="P524" s="543">
        <v>0</v>
      </c>
      <c r="Q524" s="517"/>
      <c r="R524" s="520">
        <v>0</v>
      </c>
      <c r="S524" s="520">
        <v>0</v>
      </c>
      <c r="T524" s="520">
        <v>0</v>
      </c>
      <c r="U524" s="517"/>
      <c r="V524" s="542">
        <v>0</v>
      </c>
      <c r="W524" s="543">
        <v>0</v>
      </c>
    </row>
    <row r="525" spans="1:23" x14ac:dyDescent="0.25">
      <c r="A525">
        <v>520</v>
      </c>
      <c r="B525" t="s">
        <v>519</v>
      </c>
      <c r="C525" t="s">
        <v>18</v>
      </c>
      <c r="D525" t="s">
        <v>414</v>
      </c>
      <c r="F525" s="520">
        <v>0</v>
      </c>
      <c r="G525" s="520">
        <v>0</v>
      </c>
      <c r="H525" s="520">
        <v>0</v>
      </c>
      <c r="I525" s="517"/>
      <c r="J525" s="520">
        <v>0</v>
      </c>
      <c r="K525" s="520">
        <v>0</v>
      </c>
      <c r="L525" s="520">
        <v>0</v>
      </c>
      <c r="M525" s="517"/>
      <c r="N525" s="542">
        <v>0</v>
      </c>
      <c r="O525" s="543">
        <v>0</v>
      </c>
      <c r="P525" s="543">
        <v>0</v>
      </c>
      <c r="Q525" s="517"/>
      <c r="R525" s="520">
        <v>0</v>
      </c>
      <c r="S525" s="520">
        <v>0</v>
      </c>
      <c r="T525" s="520">
        <v>0</v>
      </c>
      <c r="U525" s="517"/>
      <c r="V525" s="542">
        <v>0</v>
      </c>
      <c r="W525" s="543">
        <v>0</v>
      </c>
    </row>
    <row r="526" spans="1:23" x14ac:dyDescent="0.25">
      <c r="A526">
        <v>521</v>
      </c>
      <c r="B526" t="s">
        <v>520</v>
      </c>
      <c r="D526" t="s">
        <v>16</v>
      </c>
      <c r="F526" s="520">
        <v>0</v>
      </c>
      <c r="G526" s="520">
        <v>0</v>
      </c>
      <c r="H526" s="520">
        <v>0</v>
      </c>
      <c r="I526" s="517"/>
      <c r="J526" s="520">
        <v>0</v>
      </c>
      <c r="K526" s="520">
        <v>0</v>
      </c>
      <c r="L526" s="520">
        <v>0</v>
      </c>
      <c r="M526" s="517"/>
      <c r="N526" s="542">
        <v>0</v>
      </c>
      <c r="O526" s="543">
        <v>0</v>
      </c>
      <c r="P526" s="543">
        <v>0</v>
      </c>
      <c r="Q526" s="517"/>
      <c r="R526" s="520">
        <v>0</v>
      </c>
      <c r="S526" s="520">
        <v>0</v>
      </c>
      <c r="T526" s="520">
        <v>0</v>
      </c>
      <c r="U526" s="517"/>
      <c r="V526" s="542">
        <v>0</v>
      </c>
      <c r="W526" s="543">
        <v>0</v>
      </c>
    </row>
    <row r="527" spans="1:23" x14ac:dyDescent="0.25">
      <c r="A527">
        <v>522</v>
      </c>
      <c r="B527" t="s">
        <v>522</v>
      </c>
      <c r="C527" t="s">
        <v>366</v>
      </c>
      <c r="D527" t="s">
        <v>16</v>
      </c>
      <c r="F527" s="520">
        <v>87</v>
      </c>
      <c r="G527" s="520">
        <v>1968385</v>
      </c>
      <c r="H527" s="520">
        <v>1840</v>
      </c>
      <c r="I527" s="517"/>
      <c r="J527" s="520">
        <v>0</v>
      </c>
      <c r="K527" s="520">
        <v>0</v>
      </c>
      <c r="L527" s="520">
        <v>0</v>
      </c>
      <c r="M527" s="517"/>
      <c r="N527" s="542">
        <v>87</v>
      </c>
      <c r="O527" s="543">
        <v>1968385</v>
      </c>
      <c r="P527" s="543">
        <v>1840</v>
      </c>
      <c r="Q527" s="517"/>
      <c r="R527" s="520">
        <v>0</v>
      </c>
      <c r="S527" s="520">
        <v>0</v>
      </c>
      <c r="T527" s="520">
        <v>0</v>
      </c>
      <c r="U527" s="517"/>
      <c r="V527" s="542">
        <v>87</v>
      </c>
      <c r="W527" s="543">
        <v>1968385</v>
      </c>
    </row>
    <row r="528" spans="1:23" x14ac:dyDescent="0.25">
      <c r="A528">
        <v>523</v>
      </c>
      <c r="B528" t="s">
        <v>523</v>
      </c>
      <c r="C528" t="s">
        <v>41</v>
      </c>
      <c r="D528" t="s">
        <v>16</v>
      </c>
      <c r="F528" s="520">
        <v>357</v>
      </c>
      <c r="G528" s="520">
        <v>613990.38000000012</v>
      </c>
      <c r="H528" s="520">
        <v>3570</v>
      </c>
      <c r="I528" s="517"/>
      <c r="J528" s="520">
        <v>0</v>
      </c>
      <c r="K528" s="520">
        <v>0</v>
      </c>
      <c r="L528" s="520">
        <v>0</v>
      </c>
      <c r="M528" s="517"/>
      <c r="N528" s="542">
        <v>357</v>
      </c>
      <c r="O528" s="543">
        <v>613990.38000000012</v>
      </c>
      <c r="P528" s="543">
        <v>3570</v>
      </c>
      <c r="Q528" s="517"/>
      <c r="R528" s="520">
        <v>0</v>
      </c>
      <c r="S528" s="520">
        <v>0</v>
      </c>
      <c r="T528" s="520">
        <v>0</v>
      </c>
      <c r="U528" s="517"/>
      <c r="V528" s="542">
        <v>357</v>
      </c>
      <c r="W528" s="543">
        <v>613990.38000000012</v>
      </c>
    </row>
    <row r="529" spans="1:23" x14ac:dyDescent="0.25">
      <c r="A529">
        <v>524</v>
      </c>
      <c r="B529" t="s">
        <v>524</v>
      </c>
      <c r="C529" t="s">
        <v>525</v>
      </c>
      <c r="D529" t="s">
        <v>16</v>
      </c>
      <c r="F529" s="520">
        <v>2</v>
      </c>
      <c r="G529" s="520">
        <v>1799.06</v>
      </c>
      <c r="H529" s="520">
        <v>20</v>
      </c>
      <c r="I529" s="517"/>
      <c r="J529" s="520">
        <v>0</v>
      </c>
      <c r="K529" s="520">
        <v>0</v>
      </c>
      <c r="L529" s="520">
        <v>0</v>
      </c>
      <c r="M529" s="517"/>
      <c r="N529" s="542">
        <v>2</v>
      </c>
      <c r="O529" s="543">
        <v>1799.06</v>
      </c>
      <c r="P529" s="543">
        <v>20</v>
      </c>
      <c r="Q529" s="517"/>
      <c r="R529" s="520">
        <v>0</v>
      </c>
      <c r="S529" s="520">
        <v>0</v>
      </c>
      <c r="T529" s="520">
        <v>0</v>
      </c>
      <c r="U529" s="517"/>
      <c r="V529" s="542">
        <v>2</v>
      </c>
      <c r="W529" s="543">
        <v>1799.06</v>
      </c>
    </row>
    <row r="530" spans="1:23" x14ac:dyDescent="0.25">
      <c r="A530">
        <v>525</v>
      </c>
      <c r="B530" t="s">
        <v>526</v>
      </c>
      <c r="C530" t="s">
        <v>148</v>
      </c>
      <c r="D530" t="s">
        <v>16</v>
      </c>
      <c r="F530" s="520">
        <v>1</v>
      </c>
      <c r="G530" s="520">
        <v>8000</v>
      </c>
      <c r="H530" s="520">
        <v>50</v>
      </c>
      <c r="I530" s="517"/>
      <c r="J530" s="520">
        <v>0</v>
      </c>
      <c r="K530" s="520">
        <v>0</v>
      </c>
      <c r="L530" s="520">
        <v>0</v>
      </c>
      <c r="M530" s="517"/>
      <c r="N530" s="542">
        <v>1</v>
      </c>
      <c r="O530" s="543">
        <v>8000</v>
      </c>
      <c r="P530" s="543">
        <v>50</v>
      </c>
      <c r="Q530" s="517"/>
      <c r="R530" s="520">
        <v>0</v>
      </c>
      <c r="S530" s="520">
        <v>0</v>
      </c>
      <c r="T530" s="520">
        <v>0</v>
      </c>
      <c r="U530" s="517"/>
      <c r="V530" s="542">
        <v>1</v>
      </c>
      <c r="W530" s="543">
        <v>8000</v>
      </c>
    </row>
    <row r="531" spans="1:23" x14ac:dyDescent="0.25">
      <c r="A531">
        <v>526</v>
      </c>
      <c r="B531" t="s">
        <v>2996</v>
      </c>
      <c r="C531" t="s">
        <v>15</v>
      </c>
      <c r="D531" t="s">
        <v>16</v>
      </c>
      <c r="F531" s="520">
        <v>8</v>
      </c>
      <c r="G531" s="520">
        <v>202387</v>
      </c>
      <c r="H531" s="520">
        <v>450</v>
      </c>
      <c r="I531" s="517"/>
      <c r="J531" s="520">
        <v>0</v>
      </c>
      <c r="K531" s="520">
        <v>0</v>
      </c>
      <c r="L531" s="520">
        <v>0</v>
      </c>
      <c r="M531" s="517"/>
      <c r="N531" s="542">
        <v>8</v>
      </c>
      <c r="O531" s="543">
        <v>202387</v>
      </c>
      <c r="P531" s="543">
        <v>450</v>
      </c>
      <c r="Q531" s="517"/>
      <c r="R531" s="520">
        <v>0</v>
      </c>
      <c r="S531" s="520">
        <v>0</v>
      </c>
      <c r="T531" s="520">
        <v>0</v>
      </c>
      <c r="U531" s="517"/>
      <c r="V531" s="542">
        <v>8</v>
      </c>
      <c r="W531" s="543">
        <v>202387</v>
      </c>
    </row>
    <row r="532" spans="1:23" x14ac:dyDescent="0.25">
      <c r="A532">
        <v>527</v>
      </c>
      <c r="B532" t="s">
        <v>527</v>
      </c>
      <c r="C532" t="s">
        <v>27</v>
      </c>
      <c r="D532" t="s">
        <v>16</v>
      </c>
      <c r="F532" s="520">
        <v>0</v>
      </c>
      <c r="G532" s="520">
        <v>0</v>
      </c>
      <c r="H532" s="520">
        <v>0</v>
      </c>
      <c r="I532" s="517"/>
      <c r="J532" s="520">
        <v>0</v>
      </c>
      <c r="K532" s="520">
        <v>0</v>
      </c>
      <c r="L532" s="520">
        <v>0</v>
      </c>
      <c r="M532" s="517"/>
      <c r="N532" s="542">
        <v>0</v>
      </c>
      <c r="O532" s="543">
        <v>0</v>
      </c>
      <c r="P532" s="543">
        <v>0</v>
      </c>
      <c r="Q532" s="517"/>
      <c r="R532" s="520">
        <v>0</v>
      </c>
      <c r="S532" s="520">
        <v>0</v>
      </c>
      <c r="T532" s="520">
        <v>0</v>
      </c>
      <c r="U532" s="517"/>
      <c r="V532" s="542">
        <v>0</v>
      </c>
      <c r="W532" s="543">
        <v>0</v>
      </c>
    </row>
    <row r="533" spans="1:23" x14ac:dyDescent="0.25">
      <c r="A533">
        <v>528</v>
      </c>
      <c r="B533" t="s">
        <v>528</v>
      </c>
      <c r="C533" t="s">
        <v>529</v>
      </c>
      <c r="D533" t="s">
        <v>16</v>
      </c>
      <c r="F533" s="520">
        <v>0</v>
      </c>
      <c r="G533" s="520">
        <v>0</v>
      </c>
      <c r="H533" s="520">
        <v>0</v>
      </c>
      <c r="I533" s="517"/>
      <c r="J533" s="520">
        <v>0</v>
      </c>
      <c r="K533" s="520">
        <v>0</v>
      </c>
      <c r="L533" s="520">
        <v>0</v>
      </c>
      <c r="M533" s="517"/>
      <c r="N533" s="542">
        <v>0</v>
      </c>
      <c r="O533" s="543">
        <v>0</v>
      </c>
      <c r="P533" s="543">
        <v>0</v>
      </c>
      <c r="Q533" s="517"/>
      <c r="R533" s="520">
        <v>0</v>
      </c>
      <c r="S533" s="520">
        <v>0</v>
      </c>
      <c r="T533" s="520">
        <v>0</v>
      </c>
      <c r="U533" s="517"/>
      <c r="V533" s="542">
        <v>0</v>
      </c>
      <c r="W533" s="543">
        <v>0</v>
      </c>
    </row>
    <row r="534" spans="1:23" x14ac:dyDescent="0.25">
      <c r="A534">
        <v>529</v>
      </c>
      <c r="B534" t="s">
        <v>530</v>
      </c>
      <c r="C534" t="s">
        <v>98</v>
      </c>
      <c r="D534" t="s">
        <v>16</v>
      </c>
      <c r="F534" s="520">
        <v>0</v>
      </c>
      <c r="G534" s="520">
        <v>0</v>
      </c>
      <c r="H534" s="520">
        <v>0</v>
      </c>
      <c r="I534" s="517"/>
      <c r="J534" s="520">
        <v>0</v>
      </c>
      <c r="K534" s="520">
        <v>0</v>
      </c>
      <c r="L534" s="520">
        <v>0</v>
      </c>
      <c r="M534" s="517"/>
      <c r="N534" s="542">
        <v>0</v>
      </c>
      <c r="O534" s="543">
        <v>0</v>
      </c>
      <c r="P534" s="543">
        <v>0</v>
      </c>
      <c r="Q534" s="517"/>
      <c r="R534" s="520">
        <v>0</v>
      </c>
      <c r="S534" s="520">
        <v>0</v>
      </c>
      <c r="T534" s="520">
        <v>0</v>
      </c>
      <c r="U534" s="517"/>
      <c r="V534" s="542">
        <v>0</v>
      </c>
      <c r="W534" s="543">
        <v>0</v>
      </c>
    </row>
    <row r="535" spans="1:23" x14ac:dyDescent="0.25">
      <c r="A535">
        <v>530</v>
      </c>
      <c r="B535" t="s">
        <v>531</v>
      </c>
      <c r="C535" t="s">
        <v>18</v>
      </c>
      <c r="D535" t="s">
        <v>16</v>
      </c>
      <c r="F535" s="520">
        <v>0</v>
      </c>
      <c r="G535" s="520">
        <v>0</v>
      </c>
      <c r="H535" s="520">
        <v>0</v>
      </c>
      <c r="I535" s="517"/>
      <c r="J535" s="520">
        <v>0</v>
      </c>
      <c r="K535" s="520">
        <v>0</v>
      </c>
      <c r="L535" s="520">
        <v>0</v>
      </c>
      <c r="M535" s="517"/>
      <c r="N535" s="542">
        <v>0</v>
      </c>
      <c r="O535" s="543">
        <v>0</v>
      </c>
      <c r="P535" s="543">
        <v>0</v>
      </c>
      <c r="Q535" s="517"/>
      <c r="R535" s="520">
        <v>0</v>
      </c>
      <c r="S535" s="520">
        <v>0</v>
      </c>
      <c r="T535" s="520">
        <v>0</v>
      </c>
      <c r="U535" s="517"/>
      <c r="V535" s="542">
        <v>0</v>
      </c>
      <c r="W535" s="543">
        <v>0</v>
      </c>
    </row>
    <row r="536" spans="1:23" x14ac:dyDescent="0.25">
      <c r="A536">
        <v>531</v>
      </c>
      <c r="B536" t="s">
        <v>532</v>
      </c>
      <c r="D536" t="s">
        <v>16</v>
      </c>
      <c r="F536" s="520">
        <v>0</v>
      </c>
      <c r="G536" s="520">
        <v>0</v>
      </c>
      <c r="H536" s="520">
        <v>0</v>
      </c>
      <c r="I536" s="517"/>
      <c r="J536" s="520">
        <v>0</v>
      </c>
      <c r="K536" s="520">
        <v>0</v>
      </c>
      <c r="L536" s="520">
        <v>0</v>
      </c>
      <c r="M536" s="517"/>
      <c r="N536" s="542">
        <v>0</v>
      </c>
      <c r="O536" s="543">
        <v>0</v>
      </c>
      <c r="P536" s="543">
        <v>0</v>
      </c>
      <c r="Q536" s="517"/>
      <c r="R536" s="520">
        <v>0</v>
      </c>
      <c r="S536" s="520">
        <v>0</v>
      </c>
      <c r="T536" s="520">
        <v>0</v>
      </c>
      <c r="U536" s="517"/>
      <c r="V536" s="542">
        <v>0</v>
      </c>
      <c r="W536" s="543">
        <v>0</v>
      </c>
    </row>
    <row r="537" spans="1:23" x14ac:dyDescent="0.25">
      <c r="A537">
        <v>532</v>
      </c>
      <c r="B537" t="s">
        <v>533</v>
      </c>
      <c r="C537" t="s">
        <v>18</v>
      </c>
      <c r="D537" t="s">
        <v>16</v>
      </c>
      <c r="F537" s="520">
        <v>0</v>
      </c>
      <c r="G537" s="520">
        <v>0</v>
      </c>
      <c r="H537" s="520">
        <v>0</v>
      </c>
      <c r="I537" s="517"/>
      <c r="J537" s="520">
        <v>0</v>
      </c>
      <c r="K537" s="520">
        <v>0</v>
      </c>
      <c r="L537" s="520">
        <v>0</v>
      </c>
      <c r="M537" s="517"/>
      <c r="N537" s="542">
        <v>0</v>
      </c>
      <c r="O537" s="543">
        <v>0</v>
      </c>
      <c r="P537" s="543">
        <v>0</v>
      </c>
      <c r="Q537" s="517"/>
      <c r="R537" s="520">
        <v>0</v>
      </c>
      <c r="S537" s="520">
        <v>0</v>
      </c>
      <c r="T537" s="520">
        <v>0</v>
      </c>
      <c r="U537" s="517"/>
      <c r="V537" s="542">
        <v>0</v>
      </c>
      <c r="W537" s="543">
        <v>0</v>
      </c>
    </row>
    <row r="538" spans="1:23" x14ac:dyDescent="0.25">
      <c r="A538">
        <v>533</v>
      </c>
      <c r="B538" t="s">
        <v>534</v>
      </c>
      <c r="C538" t="s">
        <v>18</v>
      </c>
      <c r="D538" t="s">
        <v>16</v>
      </c>
      <c r="F538" s="520">
        <v>0</v>
      </c>
      <c r="G538" s="520">
        <v>0</v>
      </c>
      <c r="H538" s="520">
        <v>0</v>
      </c>
      <c r="I538" s="517"/>
      <c r="J538" s="520">
        <v>0</v>
      </c>
      <c r="K538" s="520">
        <v>0</v>
      </c>
      <c r="L538" s="520">
        <v>0</v>
      </c>
      <c r="M538" s="517"/>
      <c r="N538" s="542">
        <v>0</v>
      </c>
      <c r="O538" s="543">
        <v>0</v>
      </c>
      <c r="P538" s="543">
        <v>0</v>
      </c>
      <c r="Q538" s="517"/>
      <c r="R538" s="520">
        <v>0</v>
      </c>
      <c r="S538" s="520">
        <v>0</v>
      </c>
      <c r="T538" s="520">
        <v>0</v>
      </c>
      <c r="U538" s="517"/>
      <c r="V538" s="542">
        <v>0</v>
      </c>
      <c r="W538" s="543">
        <v>0</v>
      </c>
    </row>
    <row r="539" spans="1:23" x14ac:dyDescent="0.25">
      <c r="A539">
        <v>534</v>
      </c>
      <c r="B539" t="s">
        <v>535</v>
      </c>
      <c r="C539" t="s">
        <v>18</v>
      </c>
      <c r="D539" t="s">
        <v>16</v>
      </c>
      <c r="F539" s="520">
        <v>0</v>
      </c>
      <c r="G539" s="520">
        <v>0</v>
      </c>
      <c r="H539" s="520">
        <v>0</v>
      </c>
      <c r="I539" s="517"/>
      <c r="J539" s="520">
        <v>0</v>
      </c>
      <c r="K539" s="520">
        <v>0</v>
      </c>
      <c r="L539" s="520">
        <v>0</v>
      </c>
      <c r="M539" s="517"/>
      <c r="N539" s="542">
        <v>0</v>
      </c>
      <c r="O539" s="543">
        <v>0</v>
      </c>
      <c r="P539" s="543">
        <v>0</v>
      </c>
      <c r="Q539" s="517"/>
      <c r="R539" s="520">
        <v>0</v>
      </c>
      <c r="S539" s="520">
        <v>0</v>
      </c>
      <c r="T539" s="520">
        <v>0</v>
      </c>
      <c r="U539" s="517"/>
      <c r="V539" s="542">
        <v>0</v>
      </c>
      <c r="W539" s="543">
        <v>0</v>
      </c>
    </row>
    <row r="540" spans="1:23" x14ac:dyDescent="0.25">
      <c r="A540">
        <v>535</v>
      </c>
      <c r="B540" t="s">
        <v>536</v>
      </c>
      <c r="C540" t="s">
        <v>18</v>
      </c>
      <c r="D540" t="s">
        <v>16</v>
      </c>
      <c r="F540" s="520">
        <v>0</v>
      </c>
      <c r="G540" s="520">
        <v>0</v>
      </c>
      <c r="H540" s="520">
        <v>0</v>
      </c>
      <c r="I540" s="517"/>
      <c r="J540" s="520">
        <v>0</v>
      </c>
      <c r="K540" s="520">
        <v>0</v>
      </c>
      <c r="L540" s="520">
        <v>0</v>
      </c>
      <c r="M540" s="517"/>
      <c r="N540" s="542">
        <v>0</v>
      </c>
      <c r="O540" s="543">
        <v>0</v>
      </c>
      <c r="P540" s="543">
        <v>0</v>
      </c>
      <c r="Q540" s="517"/>
      <c r="R540" s="520">
        <v>0</v>
      </c>
      <c r="S540" s="520">
        <v>0</v>
      </c>
      <c r="T540" s="520">
        <v>0</v>
      </c>
      <c r="U540" s="517"/>
      <c r="V540" s="542">
        <v>0</v>
      </c>
      <c r="W540" s="543">
        <v>0</v>
      </c>
    </row>
    <row r="541" spans="1:23" x14ac:dyDescent="0.25">
      <c r="A541">
        <v>536</v>
      </c>
      <c r="B541" t="s">
        <v>537</v>
      </c>
      <c r="C541" t="s">
        <v>18</v>
      </c>
      <c r="D541" t="s">
        <v>16</v>
      </c>
      <c r="F541" s="520">
        <v>0</v>
      </c>
      <c r="G541" s="520">
        <v>0</v>
      </c>
      <c r="H541" s="520">
        <v>0</v>
      </c>
      <c r="I541" s="517"/>
      <c r="J541" s="520">
        <v>0</v>
      </c>
      <c r="K541" s="520">
        <v>0</v>
      </c>
      <c r="L541" s="520">
        <v>0</v>
      </c>
      <c r="M541" s="517"/>
      <c r="N541" s="542">
        <v>0</v>
      </c>
      <c r="O541" s="543">
        <v>0</v>
      </c>
      <c r="P541" s="543">
        <v>0</v>
      </c>
      <c r="Q541" s="517"/>
      <c r="R541" s="520">
        <v>0</v>
      </c>
      <c r="S541" s="520">
        <v>0</v>
      </c>
      <c r="T541" s="520">
        <v>0</v>
      </c>
      <c r="U541" s="517"/>
      <c r="V541" s="542">
        <v>0</v>
      </c>
      <c r="W541" s="543">
        <v>0</v>
      </c>
    </row>
    <row r="542" spans="1:23" x14ac:dyDescent="0.25">
      <c r="A542">
        <v>537</v>
      </c>
      <c r="B542" t="s">
        <v>538</v>
      </c>
      <c r="C542" t="s">
        <v>18</v>
      </c>
      <c r="D542" t="s">
        <v>16</v>
      </c>
      <c r="F542" s="520">
        <v>1</v>
      </c>
      <c r="G542" s="520">
        <v>8418</v>
      </c>
      <c r="H542" s="520">
        <v>25</v>
      </c>
      <c r="I542" s="517"/>
      <c r="J542" s="520">
        <v>0</v>
      </c>
      <c r="K542" s="520">
        <v>0</v>
      </c>
      <c r="L542" s="520">
        <v>0</v>
      </c>
      <c r="M542" s="517"/>
      <c r="N542" s="542">
        <v>1</v>
      </c>
      <c r="O542" s="543">
        <v>8418</v>
      </c>
      <c r="P542" s="543">
        <v>25</v>
      </c>
      <c r="Q542" s="517"/>
      <c r="R542" s="520">
        <v>0</v>
      </c>
      <c r="S542" s="520">
        <v>0</v>
      </c>
      <c r="T542" s="520">
        <v>0</v>
      </c>
      <c r="U542" s="517"/>
      <c r="V542" s="542">
        <v>1</v>
      </c>
      <c r="W542" s="543">
        <v>8418</v>
      </c>
    </row>
    <row r="543" spans="1:23" x14ac:dyDescent="0.25">
      <c r="A543">
        <v>538</v>
      </c>
      <c r="B543" t="s">
        <v>539</v>
      </c>
      <c r="C543" t="s">
        <v>18</v>
      </c>
      <c r="D543" t="s">
        <v>16</v>
      </c>
      <c r="F543" s="520">
        <v>0</v>
      </c>
      <c r="G543" s="520">
        <v>0</v>
      </c>
      <c r="H543" s="520">
        <v>0</v>
      </c>
      <c r="I543" s="517"/>
      <c r="J543" s="520">
        <v>0</v>
      </c>
      <c r="K543" s="520">
        <v>0</v>
      </c>
      <c r="L543" s="520">
        <v>0</v>
      </c>
      <c r="M543" s="517"/>
      <c r="N543" s="542">
        <v>0</v>
      </c>
      <c r="O543" s="543">
        <v>0</v>
      </c>
      <c r="P543" s="543">
        <v>0</v>
      </c>
      <c r="Q543" s="517"/>
      <c r="R543" s="520">
        <v>0</v>
      </c>
      <c r="S543" s="520">
        <v>0</v>
      </c>
      <c r="T543" s="520">
        <v>0</v>
      </c>
      <c r="U543" s="517"/>
      <c r="V543" s="542">
        <v>0</v>
      </c>
      <c r="W543" s="543">
        <v>0</v>
      </c>
    </row>
    <row r="544" spans="1:23" x14ac:dyDescent="0.25">
      <c r="A544">
        <v>539</v>
      </c>
      <c r="B544" t="s">
        <v>540</v>
      </c>
      <c r="C544" t="s">
        <v>18</v>
      </c>
      <c r="D544" t="s">
        <v>16</v>
      </c>
      <c r="F544" s="520">
        <v>0</v>
      </c>
      <c r="G544" s="520">
        <v>0</v>
      </c>
      <c r="H544" s="520">
        <v>0</v>
      </c>
      <c r="I544" s="517"/>
      <c r="J544" s="520">
        <v>0</v>
      </c>
      <c r="K544" s="520">
        <v>0</v>
      </c>
      <c r="L544" s="520">
        <v>0</v>
      </c>
      <c r="M544" s="517"/>
      <c r="N544" s="542">
        <v>0</v>
      </c>
      <c r="O544" s="543">
        <v>0</v>
      </c>
      <c r="P544" s="543">
        <v>0</v>
      </c>
      <c r="Q544" s="517"/>
      <c r="R544" s="520">
        <v>0</v>
      </c>
      <c r="S544" s="520">
        <v>0</v>
      </c>
      <c r="T544" s="520">
        <v>0</v>
      </c>
      <c r="U544" s="517"/>
      <c r="V544" s="542">
        <v>0</v>
      </c>
      <c r="W544" s="543">
        <v>0</v>
      </c>
    </row>
    <row r="545" spans="1:23" x14ac:dyDescent="0.25">
      <c r="A545">
        <v>540</v>
      </c>
      <c r="B545" t="s">
        <v>541</v>
      </c>
      <c r="C545" t="s">
        <v>18</v>
      </c>
      <c r="D545" t="s">
        <v>16</v>
      </c>
      <c r="F545" s="520">
        <v>0</v>
      </c>
      <c r="G545" s="520">
        <v>0</v>
      </c>
      <c r="H545" s="520">
        <v>0</v>
      </c>
      <c r="I545" s="517"/>
      <c r="J545" s="520">
        <v>0</v>
      </c>
      <c r="K545" s="520">
        <v>0</v>
      </c>
      <c r="L545" s="520">
        <v>0</v>
      </c>
      <c r="M545" s="517"/>
      <c r="N545" s="542">
        <v>0</v>
      </c>
      <c r="O545" s="543">
        <v>0</v>
      </c>
      <c r="P545" s="543">
        <v>0</v>
      </c>
      <c r="Q545" s="517"/>
      <c r="R545" s="520">
        <v>0</v>
      </c>
      <c r="S545" s="520">
        <v>0</v>
      </c>
      <c r="T545" s="520">
        <v>0</v>
      </c>
      <c r="U545" s="517"/>
      <c r="V545" s="542">
        <v>0</v>
      </c>
      <c r="W545" s="543">
        <v>0</v>
      </c>
    </row>
    <row r="546" spans="1:23" x14ac:dyDescent="0.25">
      <c r="A546">
        <v>541</v>
      </c>
      <c r="B546" t="s">
        <v>542</v>
      </c>
      <c r="C546" t="s">
        <v>18</v>
      </c>
      <c r="D546" t="s">
        <v>16</v>
      </c>
      <c r="F546" s="520">
        <v>0</v>
      </c>
      <c r="G546" s="520">
        <v>0</v>
      </c>
      <c r="H546" s="520">
        <v>0</v>
      </c>
      <c r="I546" s="517"/>
      <c r="J546" s="520">
        <v>0</v>
      </c>
      <c r="K546" s="520">
        <v>0</v>
      </c>
      <c r="L546" s="520">
        <v>0</v>
      </c>
      <c r="M546" s="517"/>
      <c r="N546" s="542">
        <v>0</v>
      </c>
      <c r="O546" s="543">
        <v>0</v>
      </c>
      <c r="P546" s="543">
        <v>0</v>
      </c>
      <c r="Q546" s="517"/>
      <c r="R546" s="520">
        <v>0</v>
      </c>
      <c r="S546" s="520">
        <v>0</v>
      </c>
      <c r="T546" s="520">
        <v>0</v>
      </c>
      <c r="U546" s="517"/>
      <c r="V546" s="542">
        <v>0</v>
      </c>
      <c r="W546" s="543">
        <v>0</v>
      </c>
    </row>
    <row r="547" spans="1:23" x14ac:dyDescent="0.25">
      <c r="A547">
        <v>542</v>
      </c>
      <c r="B547" t="s">
        <v>543</v>
      </c>
      <c r="C547" t="s">
        <v>18</v>
      </c>
      <c r="D547" t="s">
        <v>16</v>
      </c>
      <c r="F547" s="520">
        <v>0</v>
      </c>
      <c r="G547" s="520">
        <v>0</v>
      </c>
      <c r="H547" s="520">
        <v>0</v>
      </c>
      <c r="I547" s="517"/>
      <c r="J547" s="520">
        <v>0</v>
      </c>
      <c r="K547" s="520">
        <v>0</v>
      </c>
      <c r="L547" s="520">
        <v>0</v>
      </c>
      <c r="M547" s="517"/>
      <c r="N547" s="542">
        <v>0</v>
      </c>
      <c r="O547" s="543">
        <v>0</v>
      </c>
      <c r="P547" s="543">
        <v>0</v>
      </c>
      <c r="Q547" s="517"/>
      <c r="R547" s="520">
        <v>0</v>
      </c>
      <c r="S547" s="520">
        <v>0</v>
      </c>
      <c r="T547" s="520">
        <v>0</v>
      </c>
      <c r="U547" s="517"/>
      <c r="V547" s="542">
        <v>0</v>
      </c>
      <c r="W547" s="543">
        <v>0</v>
      </c>
    </row>
    <row r="548" spans="1:23" x14ac:dyDescent="0.25">
      <c r="A548">
        <v>543</v>
      </c>
      <c r="B548" t="s">
        <v>544</v>
      </c>
      <c r="C548" t="s">
        <v>18</v>
      </c>
      <c r="D548" t="s">
        <v>16</v>
      </c>
      <c r="F548" s="520">
        <v>0</v>
      </c>
      <c r="G548" s="520">
        <v>0</v>
      </c>
      <c r="H548" s="520">
        <v>0</v>
      </c>
      <c r="I548" s="517"/>
      <c r="J548" s="520">
        <v>0</v>
      </c>
      <c r="K548" s="520">
        <v>0</v>
      </c>
      <c r="L548" s="520">
        <v>0</v>
      </c>
      <c r="M548" s="517"/>
      <c r="N548" s="542">
        <v>0</v>
      </c>
      <c r="O548" s="543">
        <v>0</v>
      </c>
      <c r="P548" s="543">
        <v>0</v>
      </c>
      <c r="Q548" s="517"/>
      <c r="R548" s="520">
        <v>0</v>
      </c>
      <c r="S548" s="520">
        <v>0</v>
      </c>
      <c r="T548" s="520">
        <v>0</v>
      </c>
      <c r="U548" s="517"/>
      <c r="V548" s="542">
        <v>0</v>
      </c>
      <c r="W548" s="543">
        <v>0</v>
      </c>
    </row>
    <row r="549" spans="1:23" x14ac:dyDescent="0.25">
      <c r="A549">
        <v>544</v>
      </c>
      <c r="B549" t="s">
        <v>545</v>
      </c>
      <c r="C549" t="s">
        <v>18</v>
      </c>
      <c r="D549" t="s">
        <v>16</v>
      </c>
      <c r="F549" s="520">
        <v>0</v>
      </c>
      <c r="G549" s="520">
        <v>0</v>
      </c>
      <c r="H549" s="520">
        <v>0</v>
      </c>
      <c r="I549" s="517"/>
      <c r="J549" s="520">
        <v>0</v>
      </c>
      <c r="K549" s="520">
        <v>0</v>
      </c>
      <c r="L549" s="520">
        <v>0</v>
      </c>
      <c r="M549" s="517"/>
      <c r="N549" s="542">
        <v>0</v>
      </c>
      <c r="O549" s="543">
        <v>0</v>
      </c>
      <c r="P549" s="543">
        <v>0</v>
      </c>
      <c r="Q549" s="517"/>
      <c r="R549" s="520">
        <v>0</v>
      </c>
      <c r="S549" s="520">
        <v>0</v>
      </c>
      <c r="T549" s="520">
        <v>0</v>
      </c>
      <c r="U549" s="517"/>
      <c r="V549" s="542">
        <v>0</v>
      </c>
      <c r="W549" s="543">
        <v>0</v>
      </c>
    </row>
    <row r="550" spans="1:23" x14ac:dyDescent="0.25">
      <c r="A550">
        <v>545</v>
      </c>
      <c r="B550" t="s">
        <v>546</v>
      </c>
      <c r="C550" t="s">
        <v>18</v>
      </c>
      <c r="D550" t="s">
        <v>16</v>
      </c>
      <c r="F550" s="520">
        <v>0</v>
      </c>
      <c r="G550" s="520">
        <v>0</v>
      </c>
      <c r="H550" s="520">
        <v>0</v>
      </c>
      <c r="I550" s="517"/>
      <c r="J550" s="520">
        <v>0</v>
      </c>
      <c r="K550" s="520">
        <v>0</v>
      </c>
      <c r="L550" s="520">
        <v>0</v>
      </c>
      <c r="M550" s="517"/>
      <c r="N550" s="542">
        <v>0</v>
      </c>
      <c r="O550" s="543">
        <v>0</v>
      </c>
      <c r="P550" s="543">
        <v>0</v>
      </c>
      <c r="Q550" s="517"/>
      <c r="R550" s="520">
        <v>0</v>
      </c>
      <c r="S550" s="520">
        <v>0</v>
      </c>
      <c r="T550" s="520">
        <v>0</v>
      </c>
      <c r="U550" s="517"/>
      <c r="V550" s="542">
        <v>0</v>
      </c>
      <c r="W550" s="543">
        <v>0</v>
      </c>
    </row>
    <row r="551" spans="1:23" x14ac:dyDescent="0.25">
      <c r="A551">
        <v>546</v>
      </c>
      <c r="B551" t="s">
        <v>547</v>
      </c>
      <c r="C551" t="s">
        <v>18</v>
      </c>
      <c r="D551" t="s">
        <v>16</v>
      </c>
      <c r="F551" s="520">
        <v>0</v>
      </c>
      <c r="G551" s="520">
        <v>0</v>
      </c>
      <c r="H551" s="520">
        <v>0</v>
      </c>
      <c r="I551" s="517"/>
      <c r="J551" s="520">
        <v>0</v>
      </c>
      <c r="K551" s="520">
        <v>0</v>
      </c>
      <c r="L551" s="520">
        <v>0</v>
      </c>
      <c r="M551" s="517"/>
      <c r="N551" s="542">
        <v>0</v>
      </c>
      <c r="O551" s="543">
        <v>0</v>
      </c>
      <c r="P551" s="543">
        <v>0</v>
      </c>
      <c r="Q551" s="517"/>
      <c r="R551" s="520">
        <v>0</v>
      </c>
      <c r="S551" s="520">
        <v>0</v>
      </c>
      <c r="T551" s="520">
        <v>0</v>
      </c>
      <c r="U551" s="517"/>
      <c r="V551" s="542">
        <v>0</v>
      </c>
      <c r="W551" s="543">
        <v>0</v>
      </c>
    </row>
    <row r="552" spans="1:23" x14ac:dyDescent="0.25">
      <c r="A552">
        <v>547</v>
      </c>
      <c r="B552" t="s">
        <v>548</v>
      </c>
      <c r="C552" t="s">
        <v>18</v>
      </c>
      <c r="D552" t="s">
        <v>16</v>
      </c>
      <c r="F552" s="520">
        <v>0</v>
      </c>
      <c r="G552" s="520">
        <v>0</v>
      </c>
      <c r="H552" s="520">
        <v>0</v>
      </c>
      <c r="I552" s="517"/>
      <c r="J552" s="520">
        <v>0</v>
      </c>
      <c r="K552" s="520">
        <v>0</v>
      </c>
      <c r="L552" s="520">
        <v>0</v>
      </c>
      <c r="M552" s="517"/>
      <c r="N552" s="542">
        <v>0</v>
      </c>
      <c r="O552" s="543">
        <v>0</v>
      </c>
      <c r="P552" s="543">
        <v>0</v>
      </c>
      <c r="Q552" s="517"/>
      <c r="R552" s="520">
        <v>0</v>
      </c>
      <c r="S552" s="520">
        <v>0</v>
      </c>
      <c r="T552" s="520">
        <v>0</v>
      </c>
      <c r="U552" s="517"/>
      <c r="V552" s="542">
        <v>0</v>
      </c>
      <c r="W552" s="543">
        <v>0</v>
      </c>
    </row>
    <row r="553" spans="1:23" x14ac:dyDescent="0.25">
      <c r="A553">
        <v>548</v>
      </c>
      <c r="B553" t="s">
        <v>549</v>
      </c>
      <c r="C553" t="s">
        <v>18</v>
      </c>
      <c r="D553" t="s">
        <v>16</v>
      </c>
      <c r="F553" s="520">
        <v>0</v>
      </c>
      <c r="G553" s="520">
        <v>0</v>
      </c>
      <c r="H553" s="520">
        <v>0</v>
      </c>
      <c r="I553" s="517"/>
      <c r="J553" s="520">
        <v>0</v>
      </c>
      <c r="K553" s="520">
        <v>0</v>
      </c>
      <c r="L553" s="520">
        <v>0</v>
      </c>
      <c r="M553" s="517"/>
      <c r="N553" s="542">
        <v>0</v>
      </c>
      <c r="O553" s="543">
        <v>0</v>
      </c>
      <c r="P553" s="543">
        <v>0</v>
      </c>
      <c r="Q553" s="517"/>
      <c r="R553" s="520">
        <v>0</v>
      </c>
      <c r="S553" s="520">
        <v>0</v>
      </c>
      <c r="T553" s="520">
        <v>0</v>
      </c>
      <c r="U553" s="517"/>
      <c r="V553" s="542">
        <v>0</v>
      </c>
      <c r="W553" s="543">
        <v>0</v>
      </c>
    </row>
    <row r="554" spans="1:23" x14ac:dyDescent="0.25">
      <c r="A554">
        <v>549</v>
      </c>
      <c r="B554" t="s">
        <v>550</v>
      </c>
      <c r="C554" t="s">
        <v>18</v>
      </c>
      <c r="D554" t="s">
        <v>16</v>
      </c>
      <c r="F554" s="520">
        <v>0</v>
      </c>
      <c r="G554" s="520">
        <v>0</v>
      </c>
      <c r="H554" s="520">
        <v>0</v>
      </c>
      <c r="I554" s="517"/>
      <c r="J554" s="520">
        <v>0</v>
      </c>
      <c r="K554" s="520">
        <v>0</v>
      </c>
      <c r="L554" s="520">
        <v>0</v>
      </c>
      <c r="M554" s="517"/>
      <c r="N554" s="542">
        <v>0</v>
      </c>
      <c r="O554" s="543">
        <v>0</v>
      </c>
      <c r="P554" s="543">
        <v>0</v>
      </c>
      <c r="Q554" s="517"/>
      <c r="R554" s="520">
        <v>0</v>
      </c>
      <c r="S554" s="520">
        <v>0</v>
      </c>
      <c r="T554" s="520">
        <v>0</v>
      </c>
      <c r="U554" s="517"/>
      <c r="V554" s="542">
        <v>0</v>
      </c>
      <c r="W554" s="543">
        <v>0</v>
      </c>
    </row>
    <row r="555" spans="1:23" x14ac:dyDescent="0.25">
      <c r="A555">
        <v>550</v>
      </c>
      <c r="B555" t="s">
        <v>551</v>
      </c>
      <c r="C555" t="s">
        <v>18</v>
      </c>
      <c r="D555" t="s">
        <v>16</v>
      </c>
      <c r="F555" s="520">
        <v>0</v>
      </c>
      <c r="G555" s="520">
        <v>0</v>
      </c>
      <c r="H555" s="520">
        <v>0</v>
      </c>
      <c r="I555" s="517"/>
      <c r="J555" s="520">
        <v>0</v>
      </c>
      <c r="K555" s="520">
        <v>0</v>
      </c>
      <c r="L555" s="520">
        <v>0</v>
      </c>
      <c r="M555" s="517"/>
      <c r="N555" s="542">
        <v>0</v>
      </c>
      <c r="O555" s="543">
        <v>0</v>
      </c>
      <c r="P555" s="543">
        <v>0</v>
      </c>
      <c r="Q555" s="517"/>
      <c r="R555" s="520">
        <v>0</v>
      </c>
      <c r="S555" s="520">
        <v>0</v>
      </c>
      <c r="T555" s="520">
        <v>0</v>
      </c>
      <c r="U555" s="517"/>
      <c r="V555" s="542">
        <v>0</v>
      </c>
      <c r="W555" s="543">
        <v>0</v>
      </c>
    </row>
    <row r="556" spans="1:23" x14ac:dyDescent="0.25">
      <c r="A556">
        <v>551</v>
      </c>
      <c r="B556" t="s">
        <v>552</v>
      </c>
      <c r="C556" t="s">
        <v>18</v>
      </c>
      <c r="D556" t="s">
        <v>16</v>
      </c>
      <c r="F556" s="520">
        <v>0</v>
      </c>
      <c r="G556" s="520">
        <v>0</v>
      </c>
      <c r="H556" s="520">
        <v>0</v>
      </c>
      <c r="I556" s="517"/>
      <c r="J556" s="520">
        <v>0</v>
      </c>
      <c r="K556" s="520">
        <v>0</v>
      </c>
      <c r="L556" s="520">
        <v>0</v>
      </c>
      <c r="M556" s="517"/>
      <c r="N556" s="542">
        <v>0</v>
      </c>
      <c r="O556" s="543">
        <v>0</v>
      </c>
      <c r="P556" s="543">
        <v>0</v>
      </c>
      <c r="Q556" s="517"/>
      <c r="R556" s="520">
        <v>0</v>
      </c>
      <c r="S556" s="520">
        <v>0</v>
      </c>
      <c r="T556" s="520">
        <v>0</v>
      </c>
      <c r="U556" s="517"/>
      <c r="V556" s="542">
        <v>0</v>
      </c>
      <c r="W556" s="543">
        <v>0</v>
      </c>
    </row>
    <row r="557" spans="1:23" x14ac:dyDescent="0.25">
      <c r="A557">
        <v>552</v>
      </c>
      <c r="B557" t="s">
        <v>553</v>
      </c>
      <c r="C557" t="s">
        <v>18</v>
      </c>
      <c r="D557" t="s">
        <v>16</v>
      </c>
      <c r="F557" s="520">
        <v>0</v>
      </c>
      <c r="G557" s="520">
        <v>0</v>
      </c>
      <c r="H557" s="520">
        <v>0</v>
      </c>
      <c r="I557" s="517"/>
      <c r="J557" s="520">
        <v>0</v>
      </c>
      <c r="K557" s="520">
        <v>0</v>
      </c>
      <c r="L557" s="520">
        <v>0</v>
      </c>
      <c r="M557" s="517"/>
      <c r="N557" s="542">
        <v>0</v>
      </c>
      <c r="O557" s="543">
        <v>0</v>
      </c>
      <c r="P557" s="543">
        <v>0</v>
      </c>
      <c r="Q557" s="517"/>
      <c r="R557" s="520">
        <v>0</v>
      </c>
      <c r="S557" s="520">
        <v>0</v>
      </c>
      <c r="T557" s="520">
        <v>0</v>
      </c>
      <c r="U557" s="517"/>
      <c r="V557" s="542">
        <v>0</v>
      </c>
      <c r="W557" s="543">
        <v>0</v>
      </c>
    </row>
    <row r="558" spans="1:23" x14ac:dyDescent="0.25">
      <c r="A558">
        <v>553</v>
      </c>
      <c r="B558" t="s">
        <v>554</v>
      </c>
      <c r="C558" t="s">
        <v>18</v>
      </c>
      <c r="D558" t="s">
        <v>16</v>
      </c>
      <c r="F558" s="520">
        <v>0</v>
      </c>
      <c r="G558" s="520">
        <v>0</v>
      </c>
      <c r="H558" s="520">
        <v>0</v>
      </c>
      <c r="I558" s="517"/>
      <c r="J558" s="520">
        <v>0</v>
      </c>
      <c r="K558" s="520">
        <v>0</v>
      </c>
      <c r="L558" s="520">
        <v>0</v>
      </c>
      <c r="M558" s="517"/>
      <c r="N558" s="542">
        <v>0</v>
      </c>
      <c r="O558" s="543">
        <v>0</v>
      </c>
      <c r="P558" s="543">
        <v>0</v>
      </c>
      <c r="Q558" s="517"/>
      <c r="R558" s="520">
        <v>0</v>
      </c>
      <c r="S558" s="520">
        <v>0</v>
      </c>
      <c r="T558" s="520">
        <v>0</v>
      </c>
      <c r="U558" s="517"/>
      <c r="V558" s="542">
        <v>0</v>
      </c>
      <c r="W558" s="543">
        <v>0</v>
      </c>
    </row>
    <row r="559" spans="1:23" x14ac:dyDescent="0.25">
      <c r="A559">
        <v>554</v>
      </c>
      <c r="B559" t="s">
        <v>555</v>
      </c>
      <c r="C559" t="s">
        <v>18</v>
      </c>
      <c r="D559" t="s">
        <v>16</v>
      </c>
      <c r="F559" s="520">
        <v>0</v>
      </c>
      <c r="G559" s="520">
        <v>0</v>
      </c>
      <c r="H559" s="520">
        <v>0</v>
      </c>
      <c r="I559" s="517"/>
      <c r="J559" s="520">
        <v>0</v>
      </c>
      <c r="K559" s="520">
        <v>0</v>
      </c>
      <c r="L559" s="520">
        <v>0</v>
      </c>
      <c r="M559" s="517"/>
      <c r="N559" s="542">
        <v>0</v>
      </c>
      <c r="O559" s="543">
        <v>0</v>
      </c>
      <c r="P559" s="543">
        <v>0</v>
      </c>
      <c r="Q559" s="517"/>
      <c r="R559" s="520">
        <v>0</v>
      </c>
      <c r="S559" s="520">
        <v>0</v>
      </c>
      <c r="T559" s="520">
        <v>0</v>
      </c>
      <c r="U559" s="517"/>
      <c r="V559" s="542">
        <v>0</v>
      </c>
      <c r="W559" s="543">
        <v>0</v>
      </c>
    </row>
    <row r="560" spans="1:23" x14ac:dyDescent="0.25">
      <c r="A560">
        <v>555</v>
      </c>
      <c r="B560" t="s">
        <v>556</v>
      </c>
      <c r="C560" t="s">
        <v>18</v>
      </c>
      <c r="D560" t="s">
        <v>16</v>
      </c>
      <c r="F560" s="520">
        <v>0</v>
      </c>
      <c r="G560" s="520">
        <v>0</v>
      </c>
      <c r="H560" s="520">
        <v>0</v>
      </c>
      <c r="I560" s="517"/>
      <c r="J560" s="520">
        <v>0</v>
      </c>
      <c r="K560" s="520">
        <v>0</v>
      </c>
      <c r="L560" s="520">
        <v>0</v>
      </c>
      <c r="M560" s="517"/>
      <c r="N560" s="542">
        <v>0</v>
      </c>
      <c r="O560" s="543">
        <v>0</v>
      </c>
      <c r="P560" s="543">
        <v>0</v>
      </c>
      <c r="Q560" s="517"/>
      <c r="R560" s="520">
        <v>0</v>
      </c>
      <c r="S560" s="520">
        <v>0</v>
      </c>
      <c r="T560" s="520">
        <v>0</v>
      </c>
      <c r="U560" s="517"/>
      <c r="V560" s="542">
        <v>0</v>
      </c>
      <c r="W560" s="543">
        <v>0</v>
      </c>
    </row>
    <row r="561" spans="1:23" x14ac:dyDescent="0.25">
      <c r="A561">
        <v>556</v>
      </c>
      <c r="B561" t="s">
        <v>557</v>
      </c>
      <c r="C561" t="s">
        <v>18</v>
      </c>
      <c r="D561" t="s">
        <v>16</v>
      </c>
      <c r="F561" s="520">
        <v>0</v>
      </c>
      <c r="G561" s="520">
        <v>0</v>
      </c>
      <c r="H561" s="520">
        <v>0</v>
      </c>
      <c r="I561" s="517"/>
      <c r="J561" s="520">
        <v>0</v>
      </c>
      <c r="K561" s="520">
        <v>0</v>
      </c>
      <c r="L561" s="520">
        <v>0</v>
      </c>
      <c r="M561" s="517"/>
      <c r="N561" s="542">
        <v>0</v>
      </c>
      <c r="O561" s="543">
        <v>0</v>
      </c>
      <c r="P561" s="543">
        <v>0</v>
      </c>
      <c r="Q561" s="517"/>
      <c r="R561" s="520">
        <v>0</v>
      </c>
      <c r="S561" s="520">
        <v>0</v>
      </c>
      <c r="T561" s="520">
        <v>0</v>
      </c>
      <c r="U561" s="517"/>
      <c r="V561" s="542">
        <v>0</v>
      </c>
      <c r="W561" s="543">
        <v>0</v>
      </c>
    </row>
    <row r="562" spans="1:23" x14ac:dyDescent="0.25">
      <c r="A562">
        <v>557</v>
      </c>
      <c r="B562" t="s">
        <v>558</v>
      </c>
      <c r="C562" t="s">
        <v>18</v>
      </c>
      <c r="D562" t="s">
        <v>16</v>
      </c>
      <c r="F562" s="520">
        <v>0</v>
      </c>
      <c r="G562" s="520">
        <v>0</v>
      </c>
      <c r="H562" s="520">
        <v>0</v>
      </c>
      <c r="I562" s="517"/>
      <c r="J562" s="520">
        <v>0</v>
      </c>
      <c r="K562" s="520">
        <v>0</v>
      </c>
      <c r="L562" s="520">
        <v>0</v>
      </c>
      <c r="M562" s="517"/>
      <c r="N562" s="542">
        <v>0</v>
      </c>
      <c r="O562" s="543">
        <v>0</v>
      </c>
      <c r="P562" s="543">
        <v>0</v>
      </c>
      <c r="Q562" s="517"/>
      <c r="R562" s="520">
        <v>0</v>
      </c>
      <c r="S562" s="520">
        <v>0</v>
      </c>
      <c r="T562" s="520">
        <v>0</v>
      </c>
      <c r="U562" s="517"/>
      <c r="V562" s="542">
        <v>0</v>
      </c>
      <c r="W562" s="543">
        <v>0</v>
      </c>
    </row>
    <row r="563" spans="1:23" x14ac:dyDescent="0.25">
      <c r="A563">
        <v>558</v>
      </c>
      <c r="B563" t="s">
        <v>559</v>
      </c>
      <c r="C563" t="s">
        <v>18</v>
      </c>
      <c r="D563" t="s">
        <v>16</v>
      </c>
      <c r="F563" s="520">
        <v>0</v>
      </c>
      <c r="G563" s="520">
        <v>0</v>
      </c>
      <c r="H563" s="520">
        <v>0</v>
      </c>
      <c r="I563" s="517"/>
      <c r="J563" s="520">
        <v>0</v>
      </c>
      <c r="K563" s="520">
        <v>0</v>
      </c>
      <c r="L563" s="520">
        <v>0</v>
      </c>
      <c r="M563" s="517"/>
      <c r="N563" s="542">
        <v>0</v>
      </c>
      <c r="O563" s="543">
        <v>0</v>
      </c>
      <c r="P563" s="543">
        <v>0</v>
      </c>
      <c r="Q563" s="517"/>
      <c r="R563" s="520">
        <v>0</v>
      </c>
      <c r="S563" s="520">
        <v>0</v>
      </c>
      <c r="T563" s="520">
        <v>0</v>
      </c>
      <c r="U563" s="517"/>
      <c r="V563" s="542">
        <v>0</v>
      </c>
      <c r="W563" s="543">
        <v>0</v>
      </c>
    </row>
    <row r="564" spans="1:23" x14ac:dyDescent="0.25">
      <c r="A564">
        <v>559</v>
      </c>
      <c r="B564" t="s">
        <v>560</v>
      </c>
      <c r="C564" t="s">
        <v>18</v>
      </c>
      <c r="D564" t="s">
        <v>16</v>
      </c>
      <c r="F564" s="520">
        <v>0</v>
      </c>
      <c r="G564" s="520">
        <v>0</v>
      </c>
      <c r="H564" s="520">
        <v>0</v>
      </c>
      <c r="I564" s="517"/>
      <c r="J564" s="520">
        <v>0</v>
      </c>
      <c r="K564" s="520">
        <v>0</v>
      </c>
      <c r="L564" s="520">
        <v>0</v>
      </c>
      <c r="M564" s="517"/>
      <c r="N564" s="542">
        <v>0</v>
      </c>
      <c r="O564" s="543">
        <v>0</v>
      </c>
      <c r="P564" s="543">
        <v>0</v>
      </c>
      <c r="Q564" s="517"/>
      <c r="R564" s="520">
        <v>0</v>
      </c>
      <c r="S564" s="520">
        <v>0</v>
      </c>
      <c r="T564" s="520">
        <v>0</v>
      </c>
      <c r="U564" s="517"/>
      <c r="V564" s="542">
        <v>0</v>
      </c>
      <c r="W564" s="543">
        <v>0</v>
      </c>
    </row>
    <row r="565" spans="1:23" x14ac:dyDescent="0.25">
      <c r="A565">
        <v>560</v>
      </c>
      <c r="B565" t="s">
        <v>561</v>
      </c>
      <c r="C565" t="s">
        <v>18</v>
      </c>
      <c r="D565" t="s">
        <v>16</v>
      </c>
      <c r="F565" s="520">
        <v>0</v>
      </c>
      <c r="G565" s="520">
        <v>0</v>
      </c>
      <c r="H565" s="520">
        <v>0</v>
      </c>
      <c r="I565" s="517"/>
      <c r="J565" s="520">
        <v>0</v>
      </c>
      <c r="K565" s="520">
        <v>0</v>
      </c>
      <c r="L565" s="520">
        <v>0</v>
      </c>
      <c r="M565" s="517"/>
      <c r="N565" s="542">
        <v>0</v>
      </c>
      <c r="O565" s="543">
        <v>0</v>
      </c>
      <c r="P565" s="543">
        <v>0</v>
      </c>
      <c r="Q565" s="517"/>
      <c r="R565" s="520">
        <v>0</v>
      </c>
      <c r="S565" s="520">
        <v>0</v>
      </c>
      <c r="T565" s="520">
        <v>0</v>
      </c>
      <c r="U565" s="517"/>
      <c r="V565" s="542">
        <v>0</v>
      </c>
      <c r="W565" s="543">
        <v>0</v>
      </c>
    </row>
    <row r="566" spans="1:23" x14ac:dyDescent="0.25">
      <c r="A566">
        <v>561</v>
      </c>
      <c r="B566" t="s">
        <v>562</v>
      </c>
      <c r="C566" t="s">
        <v>18</v>
      </c>
      <c r="D566" t="s">
        <v>16</v>
      </c>
      <c r="F566" s="520">
        <v>0</v>
      </c>
      <c r="G566" s="520">
        <v>0</v>
      </c>
      <c r="H566" s="520">
        <v>0</v>
      </c>
      <c r="I566" s="517"/>
      <c r="J566" s="520">
        <v>0</v>
      </c>
      <c r="K566" s="520">
        <v>0</v>
      </c>
      <c r="L566" s="520">
        <v>0</v>
      </c>
      <c r="M566" s="517"/>
      <c r="N566" s="542">
        <v>0</v>
      </c>
      <c r="O566" s="543">
        <v>0</v>
      </c>
      <c r="P566" s="543">
        <v>0</v>
      </c>
      <c r="Q566" s="517"/>
      <c r="R566" s="520">
        <v>0</v>
      </c>
      <c r="S566" s="520">
        <v>0</v>
      </c>
      <c r="T566" s="520">
        <v>0</v>
      </c>
      <c r="U566" s="517"/>
      <c r="V566" s="542">
        <v>0</v>
      </c>
      <c r="W566" s="543">
        <v>0</v>
      </c>
    </row>
    <row r="567" spans="1:23" x14ac:dyDescent="0.25">
      <c r="A567">
        <v>562</v>
      </c>
      <c r="B567" t="s">
        <v>563</v>
      </c>
      <c r="C567" t="s">
        <v>18</v>
      </c>
      <c r="D567" t="s">
        <v>16</v>
      </c>
      <c r="F567" s="520">
        <v>0</v>
      </c>
      <c r="G567" s="520">
        <v>0</v>
      </c>
      <c r="H567" s="520">
        <v>0</v>
      </c>
      <c r="I567" s="517"/>
      <c r="J567" s="520">
        <v>0</v>
      </c>
      <c r="K567" s="520">
        <v>0</v>
      </c>
      <c r="L567" s="520">
        <v>0</v>
      </c>
      <c r="M567" s="517"/>
      <c r="N567" s="542">
        <v>0</v>
      </c>
      <c r="O567" s="543">
        <v>0</v>
      </c>
      <c r="P567" s="543">
        <v>0</v>
      </c>
      <c r="Q567" s="517"/>
      <c r="R567" s="520">
        <v>0</v>
      </c>
      <c r="S567" s="520">
        <v>0</v>
      </c>
      <c r="T567" s="520">
        <v>0</v>
      </c>
      <c r="U567" s="517"/>
      <c r="V567" s="542">
        <v>0</v>
      </c>
      <c r="W567" s="543">
        <v>0</v>
      </c>
    </row>
    <row r="568" spans="1:23" x14ac:dyDescent="0.25">
      <c r="A568">
        <v>563</v>
      </c>
      <c r="B568" t="s">
        <v>564</v>
      </c>
      <c r="C568" t="s">
        <v>18</v>
      </c>
      <c r="D568" t="s">
        <v>16</v>
      </c>
      <c r="F568" s="520">
        <v>0</v>
      </c>
      <c r="G568" s="520">
        <v>0</v>
      </c>
      <c r="H568" s="520">
        <v>0</v>
      </c>
      <c r="I568" s="517"/>
      <c r="J568" s="520">
        <v>0</v>
      </c>
      <c r="K568" s="520">
        <v>0</v>
      </c>
      <c r="L568" s="520">
        <v>0</v>
      </c>
      <c r="M568" s="517"/>
      <c r="N568" s="542">
        <v>0</v>
      </c>
      <c r="O568" s="543">
        <v>0</v>
      </c>
      <c r="P568" s="543">
        <v>0</v>
      </c>
      <c r="Q568" s="517"/>
      <c r="R568" s="520">
        <v>0</v>
      </c>
      <c r="S568" s="520">
        <v>0</v>
      </c>
      <c r="T568" s="520">
        <v>0</v>
      </c>
      <c r="U568" s="517"/>
      <c r="V568" s="542">
        <v>0</v>
      </c>
      <c r="W568" s="543">
        <v>0</v>
      </c>
    </row>
    <row r="569" spans="1:23" x14ac:dyDescent="0.25">
      <c r="A569">
        <v>564</v>
      </c>
      <c r="B569" t="s">
        <v>565</v>
      </c>
      <c r="C569" t="s">
        <v>18</v>
      </c>
      <c r="D569" t="s">
        <v>16</v>
      </c>
      <c r="F569" s="520">
        <v>0</v>
      </c>
      <c r="G569" s="520">
        <v>0</v>
      </c>
      <c r="H569" s="520">
        <v>0</v>
      </c>
      <c r="I569" s="517"/>
      <c r="J569" s="520">
        <v>0</v>
      </c>
      <c r="K569" s="520">
        <v>0</v>
      </c>
      <c r="L569" s="520">
        <v>0</v>
      </c>
      <c r="M569" s="517"/>
      <c r="N569" s="542">
        <v>0</v>
      </c>
      <c r="O569" s="543">
        <v>0</v>
      </c>
      <c r="P569" s="543">
        <v>0</v>
      </c>
      <c r="Q569" s="517"/>
      <c r="R569" s="520">
        <v>0</v>
      </c>
      <c r="S569" s="520">
        <v>0</v>
      </c>
      <c r="T569" s="520">
        <v>0</v>
      </c>
      <c r="U569" s="517"/>
      <c r="V569" s="542">
        <v>0</v>
      </c>
      <c r="W569" s="543">
        <v>0</v>
      </c>
    </row>
    <row r="570" spans="1:23" x14ac:dyDescent="0.25">
      <c r="A570">
        <v>565</v>
      </c>
      <c r="B570" t="s">
        <v>566</v>
      </c>
      <c r="C570" t="s">
        <v>18</v>
      </c>
      <c r="D570" t="s">
        <v>16</v>
      </c>
      <c r="F570" s="520">
        <v>0</v>
      </c>
      <c r="G570" s="520">
        <v>0</v>
      </c>
      <c r="H570" s="520">
        <v>0</v>
      </c>
      <c r="I570" s="517"/>
      <c r="J570" s="520">
        <v>0</v>
      </c>
      <c r="K570" s="520">
        <v>0</v>
      </c>
      <c r="L570" s="520">
        <v>0</v>
      </c>
      <c r="M570" s="517"/>
      <c r="N570" s="542">
        <v>0</v>
      </c>
      <c r="O570" s="543">
        <v>0</v>
      </c>
      <c r="P570" s="543">
        <v>0</v>
      </c>
      <c r="Q570" s="517"/>
      <c r="R570" s="520">
        <v>0</v>
      </c>
      <c r="S570" s="520">
        <v>0</v>
      </c>
      <c r="T570" s="520">
        <v>0</v>
      </c>
      <c r="U570" s="517"/>
      <c r="V570" s="542">
        <v>0</v>
      </c>
      <c r="W570" s="543">
        <v>0</v>
      </c>
    </row>
    <row r="571" spans="1:23" x14ac:dyDescent="0.25">
      <c r="A571">
        <v>566</v>
      </c>
      <c r="B571" t="s">
        <v>567</v>
      </c>
      <c r="C571" t="s">
        <v>18</v>
      </c>
      <c r="D571" t="s">
        <v>16</v>
      </c>
      <c r="F571" s="520">
        <v>0</v>
      </c>
      <c r="G571" s="520">
        <v>0</v>
      </c>
      <c r="H571" s="520">
        <v>0</v>
      </c>
      <c r="I571" s="517"/>
      <c r="J571" s="520">
        <v>0</v>
      </c>
      <c r="K571" s="520">
        <v>0</v>
      </c>
      <c r="L571" s="520">
        <v>0</v>
      </c>
      <c r="M571" s="517"/>
      <c r="N571" s="542">
        <v>0</v>
      </c>
      <c r="O571" s="543">
        <v>0</v>
      </c>
      <c r="P571" s="543">
        <v>0</v>
      </c>
      <c r="Q571" s="517"/>
      <c r="R571" s="520">
        <v>0</v>
      </c>
      <c r="S571" s="520">
        <v>0</v>
      </c>
      <c r="T571" s="520">
        <v>0</v>
      </c>
      <c r="U571" s="517"/>
      <c r="V571" s="542">
        <v>0</v>
      </c>
      <c r="W571" s="543">
        <v>0</v>
      </c>
    </row>
    <row r="572" spans="1:23" x14ac:dyDescent="0.25">
      <c r="A572">
        <v>567</v>
      </c>
      <c r="B572" t="s">
        <v>568</v>
      </c>
      <c r="C572" t="s">
        <v>18</v>
      </c>
      <c r="D572" t="s">
        <v>16</v>
      </c>
      <c r="F572" s="520">
        <v>0</v>
      </c>
      <c r="G572" s="520">
        <v>0</v>
      </c>
      <c r="H572" s="520">
        <v>0</v>
      </c>
      <c r="I572" s="517"/>
      <c r="J572" s="520">
        <v>0</v>
      </c>
      <c r="K572" s="520">
        <v>0</v>
      </c>
      <c r="L572" s="520">
        <v>0</v>
      </c>
      <c r="M572" s="517"/>
      <c r="N572" s="542">
        <v>0</v>
      </c>
      <c r="O572" s="543">
        <v>0</v>
      </c>
      <c r="P572" s="543">
        <v>0</v>
      </c>
      <c r="Q572" s="517"/>
      <c r="R572" s="520">
        <v>0</v>
      </c>
      <c r="S572" s="520">
        <v>0</v>
      </c>
      <c r="T572" s="520">
        <v>0</v>
      </c>
      <c r="U572" s="517"/>
      <c r="V572" s="542">
        <v>0</v>
      </c>
      <c r="W572" s="543">
        <v>0</v>
      </c>
    </row>
    <row r="573" spans="1:23" x14ac:dyDescent="0.25">
      <c r="A573">
        <v>568</v>
      </c>
      <c r="B573" t="s">
        <v>569</v>
      </c>
      <c r="C573" t="s">
        <v>18</v>
      </c>
      <c r="D573" t="s">
        <v>16</v>
      </c>
      <c r="F573" s="520">
        <v>0</v>
      </c>
      <c r="G573" s="520">
        <v>0</v>
      </c>
      <c r="H573" s="520">
        <v>0</v>
      </c>
      <c r="I573" s="517"/>
      <c r="J573" s="520">
        <v>0</v>
      </c>
      <c r="K573" s="520">
        <v>0</v>
      </c>
      <c r="L573" s="520">
        <v>0</v>
      </c>
      <c r="M573" s="517"/>
      <c r="N573" s="542">
        <v>0</v>
      </c>
      <c r="O573" s="543">
        <v>0</v>
      </c>
      <c r="P573" s="543">
        <v>0</v>
      </c>
      <c r="Q573" s="517"/>
      <c r="R573" s="520">
        <v>0</v>
      </c>
      <c r="S573" s="520">
        <v>0</v>
      </c>
      <c r="T573" s="520">
        <v>0</v>
      </c>
      <c r="U573" s="517"/>
      <c r="V573" s="542">
        <v>0</v>
      </c>
      <c r="W573" s="543">
        <v>0</v>
      </c>
    </row>
    <row r="574" spans="1:23" x14ac:dyDescent="0.25">
      <c r="A574">
        <v>569</v>
      </c>
      <c r="B574" t="s">
        <v>570</v>
      </c>
      <c r="C574" t="s">
        <v>18</v>
      </c>
      <c r="D574" t="s">
        <v>16</v>
      </c>
      <c r="F574" s="520">
        <v>0</v>
      </c>
      <c r="G574" s="520">
        <v>0</v>
      </c>
      <c r="H574" s="520">
        <v>0</v>
      </c>
      <c r="I574" s="517"/>
      <c r="J574" s="520">
        <v>0</v>
      </c>
      <c r="K574" s="520">
        <v>0</v>
      </c>
      <c r="L574" s="520">
        <v>0</v>
      </c>
      <c r="M574" s="517"/>
      <c r="N574" s="542">
        <v>0</v>
      </c>
      <c r="O574" s="543">
        <v>0</v>
      </c>
      <c r="P574" s="543">
        <v>0</v>
      </c>
      <c r="Q574" s="517"/>
      <c r="R574" s="520">
        <v>0</v>
      </c>
      <c r="S574" s="520">
        <v>0</v>
      </c>
      <c r="T574" s="520">
        <v>0</v>
      </c>
      <c r="U574" s="517"/>
      <c r="V574" s="542">
        <v>0</v>
      </c>
      <c r="W574" s="543">
        <v>0</v>
      </c>
    </row>
    <row r="575" spans="1:23" x14ac:dyDescent="0.25">
      <c r="A575">
        <v>570</v>
      </c>
      <c r="B575" t="s">
        <v>571</v>
      </c>
      <c r="C575" t="s">
        <v>18</v>
      </c>
      <c r="D575" t="s">
        <v>16</v>
      </c>
      <c r="F575" s="520">
        <v>0</v>
      </c>
      <c r="G575" s="520">
        <v>0</v>
      </c>
      <c r="H575" s="520">
        <v>0</v>
      </c>
      <c r="I575" s="517"/>
      <c r="J575" s="520">
        <v>0</v>
      </c>
      <c r="K575" s="520">
        <v>0</v>
      </c>
      <c r="L575" s="520">
        <v>0</v>
      </c>
      <c r="M575" s="517"/>
      <c r="N575" s="542">
        <v>0</v>
      </c>
      <c r="O575" s="543">
        <v>0</v>
      </c>
      <c r="P575" s="543">
        <v>0</v>
      </c>
      <c r="Q575" s="517"/>
      <c r="R575" s="520">
        <v>0</v>
      </c>
      <c r="S575" s="520">
        <v>0</v>
      </c>
      <c r="T575" s="520">
        <v>0</v>
      </c>
      <c r="U575" s="517"/>
      <c r="V575" s="542">
        <v>0</v>
      </c>
      <c r="W575" s="543">
        <v>0</v>
      </c>
    </row>
    <row r="576" spans="1:23" x14ac:dyDescent="0.25">
      <c r="A576">
        <v>571</v>
      </c>
      <c r="B576" t="s">
        <v>572</v>
      </c>
      <c r="C576" t="s">
        <v>18</v>
      </c>
      <c r="D576" t="s">
        <v>16</v>
      </c>
      <c r="F576" s="520">
        <v>0</v>
      </c>
      <c r="G576" s="520">
        <v>0</v>
      </c>
      <c r="H576" s="520">
        <v>0</v>
      </c>
      <c r="I576" s="517"/>
      <c r="J576" s="520">
        <v>0</v>
      </c>
      <c r="K576" s="520">
        <v>0</v>
      </c>
      <c r="L576" s="520">
        <v>0</v>
      </c>
      <c r="M576" s="517"/>
      <c r="N576" s="542">
        <v>0</v>
      </c>
      <c r="O576" s="543">
        <v>0</v>
      </c>
      <c r="P576" s="543">
        <v>0</v>
      </c>
      <c r="Q576" s="517"/>
      <c r="R576" s="520">
        <v>0</v>
      </c>
      <c r="S576" s="520">
        <v>0</v>
      </c>
      <c r="T576" s="520">
        <v>0</v>
      </c>
      <c r="U576" s="517"/>
      <c r="V576" s="542">
        <v>0</v>
      </c>
      <c r="W576" s="543">
        <v>0</v>
      </c>
    </row>
    <row r="577" spans="1:23" x14ac:dyDescent="0.25">
      <c r="A577">
        <v>572</v>
      </c>
      <c r="B577" t="s">
        <v>573</v>
      </c>
      <c r="C577" t="s">
        <v>24</v>
      </c>
      <c r="D577" t="s">
        <v>16</v>
      </c>
      <c r="F577" s="520">
        <v>30</v>
      </c>
      <c r="G577" s="520">
        <v>194337.26</v>
      </c>
      <c r="H577" s="520">
        <v>540</v>
      </c>
      <c r="I577" s="517"/>
      <c r="J577" s="520">
        <v>0</v>
      </c>
      <c r="K577" s="520">
        <v>0</v>
      </c>
      <c r="L577" s="520">
        <v>0</v>
      </c>
      <c r="M577" s="517"/>
      <c r="N577" s="542">
        <v>30</v>
      </c>
      <c r="O577" s="543">
        <v>194337.26</v>
      </c>
      <c r="P577" s="543">
        <v>540</v>
      </c>
      <c r="Q577" s="517"/>
      <c r="R577" s="520">
        <v>0</v>
      </c>
      <c r="S577" s="520">
        <v>0</v>
      </c>
      <c r="T577" s="520">
        <v>0</v>
      </c>
      <c r="U577" s="517"/>
      <c r="V577" s="542">
        <v>30</v>
      </c>
      <c r="W577" s="543">
        <v>194337.26</v>
      </c>
    </row>
    <row r="578" spans="1:23" x14ac:dyDescent="0.25">
      <c r="A578">
        <v>573</v>
      </c>
      <c r="B578" t="s">
        <v>574</v>
      </c>
      <c r="C578" t="s">
        <v>18</v>
      </c>
      <c r="D578" t="s">
        <v>16</v>
      </c>
      <c r="F578" s="520">
        <v>6</v>
      </c>
      <c r="G578" s="520">
        <v>16664</v>
      </c>
      <c r="H578" s="520">
        <v>300</v>
      </c>
      <c r="I578" s="517"/>
      <c r="J578" s="520">
        <v>0</v>
      </c>
      <c r="K578" s="520">
        <v>0</v>
      </c>
      <c r="L578" s="520">
        <v>0</v>
      </c>
      <c r="M578" s="517"/>
      <c r="N578" s="542">
        <v>6</v>
      </c>
      <c r="O578" s="543">
        <v>16664</v>
      </c>
      <c r="P578" s="543">
        <v>300</v>
      </c>
      <c r="Q578" s="517"/>
      <c r="R578" s="520">
        <v>0</v>
      </c>
      <c r="S578" s="520">
        <v>0</v>
      </c>
      <c r="T578" s="520">
        <v>0</v>
      </c>
      <c r="U578" s="517"/>
      <c r="V578" s="542">
        <v>6</v>
      </c>
      <c r="W578" s="543">
        <v>16664</v>
      </c>
    </row>
    <row r="579" spans="1:23" x14ac:dyDescent="0.25">
      <c r="A579">
        <v>574</v>
      </c>
      <c r="B579" t="s">
        <v>575</v>
      </c>
      <c r="C579" t="s">
        <v>18</v>
      </c>
      <c r="D579" t="s">
        <v>20</v>
      </c>
      <c r="F579" s="520">
        <v>8</v>
      </c>
      <c r="G579" s="520">
        <v>109545</v>
      </c>
      <c r="H579" s="520">
        <v>265</v>
      </c>
      <c r="I579" s="517"/>
      <c r="J579" s="520">
        <v>0</v>
      </c>
      <c r="K579" s="520">
        <v>0</v>
      </c>
      <c r="L579" s="520">
        <v>0</v>
      </c>
      <c r="M579" s="517"/>
      <c r="N579" s="542">
        <v>8</v>
      </c>
      <c r="O579" s="543">
        <v>109545</v>
      </c>
      <c r="P579" s="543">
        <v>265</v>
      </c>
      <c r="Q579" s="517"/>
      <c r="R579" s="520">
        <v>0</v>
      </c>
      <c r="S579" s="520">
        <v>0</v>
      </c>
      <c r="T579" s="520">
        <v>0</v>
      </c>
      <c r="U579" s="517"/>
      <c r="V579" s="542">
        <v>8</v>
      </c>
      <c r="W579" s="543">
        <v>109545</v>
      </c>
    </row>
    <row r="580" spans="1:23" x14ac:dyDescent="0.25">
      <c r="A580">
        <v>575</v>
      </c>
      <c r="B580" t="s">
        <v>3305</v>
      </c>
      <c r="C580" t="s">
        <v>355</v>
      </c>
      <c r="D580" t="s">
        <v>16</v>
      </c>
      <c r="F580" s="520">
        <v>0</v>
      </c>
      <c r="G580" s="520">
        <v>0</v>
      </c>
      <c r="H580" s="520">
        <v>0</v>
      </c>
      <c r="I580" s="517"/>
      <c r="J580" s="520">
        <v>0</v>
      </c>
      <c r="K580" s="520">
        <v>0</v>
      </c>
      <c r="L580" s="520">
        <v>0</v>
      </c>
      <c r="M580" s="517"/>
      <c r="N580" s="542">
        <v>0</v>
      </c>
      <c r="O580" s="543">
        <v>0</v>
      </c>
      <c r="P580" s="543">
        <v>0</v>
      </c>
      <c r="Q580" s="517"/>
      <c r="R580" s="520">
        <v>0</v>
      </c>
      <c r="S580" s="520">
        <v>0</v>
      </c>
      <c r="T580" s="520">
        <v>0</v>
      </c>
      <c r="U580" s="517"/>
      <c r="V580" s="542">
        <v>0</v>
      </c>
      <c r="W580" s="543">
        <v>0</v>
      </c>
    </row>
    <row r="581" spans="1:23" x14ac:dyDescent="0.25">
      <c r="A581">
        <v>576</v>
      </c>
      <c r="B581" t="s">
        <v>576</v>
      </c>
      <c r="C581" t="s">
        <v>90</v>
      </c>
      <c r="D581" t="s">
        <v>20</v>
      </c>
      <c r="F581" s="520">
        <v>0</v>
      </c>
      <c r="G581" s="520">
        <v>0</v>
      </c>
      <c r="H581" s="520">
        <v>0</v>
      </c>
      <c r="I581" s="517"/>
      <c r="J581" s="520">
        <v>0</v>
      </c>
      <c r="K581" s="520">
        <v>0</v>
      </c>
      <c r="L581" s="520">
        <v>0</v>
      </c>
      <c r="M581" s="517"/>
      <c r="N581" s="542">
        <v>0</v>
      </c>
      <c r="O581" s="543">
        <v>0</v>
      </c>
      <c r="P581" s="543">
        <v>0</v>
      </c>
      <c r="Q581" s="517"/>
      <c r="R581" s="520">
        <v>0</v>
      </c>
      <c r="S581" s="520">
        <v>0</v>
      </c>
      <c r="T581" s="520">
        <v>0</v>
      </c>
      <c r="U581" s="517"/>
      <c r="V581" s="542">
        <v>0</v>
      </c>
      <c r="W581" s="543">
        <v>0</v>
      </c>
    </row>
    <row r="582" spans="1:23" x14ac:dyDescent="0.25">
      <c r="A582">
        <v>577</v>
      </c>
      <c r="B582" t="s">
        <v>577</v>
      </c>
      <c r="C582" t="s">
        <v>25</v>
      </c>
      <c r="D582" t="s">
        <v>16</v>
      </c>
      <c r="F582" s="520">
        <v>0</v>
      </c>
      <c r="G582" s="520">
        <v>0</v>
      </c>
      <c r="H582" s="520">
        <v>0</v>
      </c>
      <c r="I582" s="517"/>
      <c r="J582" s="520">
        <v>0</v>
      </c>
      <c r="K582" s="520">
        <v>0</v>
      </c>
      <c r="L582" s="520">
        <v>0</v>
      </c>
      <c r="M582" s="517"/>
      <c r="N582" s="542">
        <v>0</v>
      </c>
      <c r="O582" s="543">
        <v>0</v>
      </c>
      <c r="P582" s="543">
        <v>0</v>
      </c>
      <c r="Q582" s="517"/>
      <c r="R582" s="520">
        <v>0</v>
      </c>
      <c r="S582" s="520">
        <v>0</v>
      </c>
      <c r="T582" s="520">
        <v>0</v>
      </c>
      <c r="U582" s="517"/>
      <c r="V582" s="542">
        <v>0</v>
      </c>
      <c r="W582" s="543">
        <v>0</v>
      </c>
    </row>
    <row r="583" spans="1:23" x14ac:dyDescent="0.25">
      <c r="A583">
        <v>578</v>
      </c>
      <c r="B583" t="s">
        <v>578</v>
      </c>
      <c r="C583" t="s">
        <v>18</v>
      </c>
      <c r="D583" t="s">
        <v>16</v>
      </c>
      <c r="F583" s="520">
        <v>3</v>
      </c>
      <c r="G583" s="520">
        <v>20026</v>
      </c>
      <c r="H583" s="520">
        <v>150</v>
      </c>
      <c r="I583" s="517"/>
      <c r="J583" s="520">
        <v>0</v>
      </c>
      <c r="K583" s="520">
        <v>0</v>
      </c>
      <c r="L583" s="520">
        <v>0</v>
      </c>
      <c r="M583" s="517"/>
      <c r="N583" s="542">
        <v>3</v>
      </c>
      <c r="O583" s="543">
        <v>20026</v>
      </c>
      <c r="P583" s="543">
        <v>150</v>
      </c>
      <c r="Q583" s="517"/>
      <c r="R583" s="520">
        <v>0</v>
      </c>
      <c r="S583" s="520">
        <v>0</v>
      </c>
      <c r="T583" s="520">
        <v>0</v>
      </c>
      <c r="U583" s="517"/>
      <c r="V583" s="542">
        <v>3</v>
      </c>
      <c r="W583" s="543">
        <v>20026</v>
      </c>
    </row>
    <row r="584" spans="1:23" x14ac:dyDescent="0.25">
      <c r="A584">
        <v>579</v>
      </c>
      <c r="B584" t="s">
        <v>579</v>
      </c>
      <c r="C584" t="s">
        <v>18</v>
      </c>
      <c r="D584" t="s">
        <v>16</v>
      </c>
      <c r="F584" s="520">
        <v>0</v>
      </c>
      <c r="G584" s="520">
        <v>0</v>
      </c>
      <c r="H584" s="520">
        <v>0</v>
      </c>
      <c r="I584" s="517"/>
      <c r="J584" s="520">
        <v>0</v>
      </c>
      <c r="K584" s="520">
        <v>0</v>
      </c>
      <c r="L584" s="520">
        <v>0</v>
      </c>
      <c r="M584" s="517"/>
      <c r="N584" s="542">
        <v>0</v>
      </c>
      <c r="O584" s="543">
        <v>0</v>
      </c>
      <c r="P584" s="543">
        <v>0</v>
      </c>
      <c r="Q584" s="517"/>
      <c r="R584" s="520">
        <v>0</v>
      </c>
      <c r="S584" s="520">
        <v>0</v>
      </c>
      <c r="T584" s="520">
        <v>0</v>
      </c>
      <c r="U584" s="517"/>
      <c r="V584" s="542">
        <v>0</v>
      </c>
      <c r="W584" s="543">
        <v>0</v>
      </c>
    </row>
    <row r="585" spans="1:23" x14ac:dyDescent="0.25">
      <c r="A585">
        <v>580</v>
      </c>
      <c r="B585" t="s">
        <v>580</v>
      </c>
      <c r="C585" t="s">
        <v>18</v>
      </c>
      <c r="D585" t="s">
        <v>16</v>
      </c>
      <c r="F585" s="520">
        <v>0</v>
      </c>
      <c r="G585" s="520">
        <v>0</v>
      </c>
      <c r="H585" s="520">
        <v>0</v>
      </c>
      <c r="I585" s="517"/>
      <c r="J585" s="520">
        <v>0</v>
      </c>
      <c r="K585" s="520">
        <v>0</v>
      </c>
      <c r="L585" s="520">
        <v>0</v>
      </c>
      <c r="M585" s="517"/>
      <c r="N585" s="542">
        <v>0</v>
      </c>
      <c r="O585" s="543">
        <v>0</v>
      </c>
      <c r="P585" s="543">
        <v>0</v>
      </c>
      <c r="Q585" s="517"/>
      <c r="R585" s="520">
        <v>0</v>
      </c>
      <c r="S585" s="520">
        <v>0</v>
      </c>
      <c r="T585" s="520">
        <v>0</v>
      </c>
      <c r="U585" s="517"/>
      <c r="V585" s="542">
        <v>0</v>
      </c>
      <c r="W585" s="543">
        <v>0</v>
      </c>
    </row>
    <row r="586" spans="1:23" x14ac:dyDescent="0.25">
      <c r="A586">
        <v>581</v>
      </c>
      <c r="B586" t="s">
        <v>581</v>
      </c>
      <c r="C586" t="s">
        <v>18</v>
      </c>
      <c r="D586" t="s">
        <v>16</v>
      </c>
      <c r="F586" s="520">
        <v>0</v>
      </c>
      <c r="G586" s="520">
        <v>0</v>
      </c>
      <c r="H586" s="520">
        <v>0</v>
      </c>
      <c r="I586" s="517"/>
      <c r="J586" s="520">
        <v>0</v>
      </c>
      <c r="K586" s="520">
        <v>0</v>
      </c>
      <c r="L586" s="520">
        <v>0</v>
      </c>
      <c r="M586" s="517"/>
      <c r="N586" s="542">
        <v>0</v>
      </c>
      <c r="O586" s="543">
        <v>0</v>
      </c>
      <c r="P586" s="543">
        <v>0</v>
      </c>
      <c r="Q586" s="517"/>
      <c r="R586" s="520">
        <v>0</v>
      </c>
      <c r="S586" s="520">
        <v>0</v>
      </c>
      <c r="T586" s="520">
        <v>0</v>
      </c>
      <c r="U586" s="517"/>
      <c r="V586" s="542">
        <v>0</v>
      </c>
      <c r="W586" s="543">
        <v>0</v>
      </c>
    </row>
    <row r="587" spans="1:23" x14ac:dyDescent="0.25">
      <c r="A587">
        <v>582</v>
      </c>
      <c r="B587" t="s">
        <v>582</v>
      </c>
      <c r="C587" t="s">
        <v>18</v>
      </c>
      <c r="D587" t="s">
        <v>16</v>
      </c>
      <c r="F587" s="520">
        <v>22</v>
      </c>
      <c r="G587" s="520">
        <v>691624.4</v>
      </c>
      <c r="H587" s="520">
        <v>1300</v>
      </c>
      <c r="I587" s="517"/>
      <c r="J587" s="520">
        <v>0</v>
      </c>
      <c r="K587" s="520">
        <v>0</v>
      </c>
      <c r="L587" s="520">
        <v>0</v>
      </c>
      <c r="M587" s="517"/>
      <c r="N587" s="542">
        <v>22</v>
      </c>
      <c r="O587" s="543">
        <v>691624.4</v>
      </c>
      <c r="P587" s="543">
        <v>1300</v>
      </c>
      <c r="Q587" s="517"/>
      <c r="R587" s="520">
        <v>0</v>
      </c>
      <c r="S587" s="520">
        <v>0</v>
      </c>
      <c r="T587" s="520">
        <v>0</v>
      </c>
      <c r="U587" s="517"/>
      <c r="V587" s="542">
        <v>22</v>
      </c>
      <c r="W587" s="543">
        <v>691624.4</v>
      </c>
    </row>
    <row r="588" spans="1:23" x14ac:dyDescent="0.25">
      <c r="A588">
        <v>583</v>
      </c>
      <c r="B588" t="s">
        <v>583</v>
      </c>
      <c r="C588" t="s">
        <v>18</v>
      </c>
      <c r="D588" t="s">
        <v>16</v>
      </c>
      <c r="F588" s="520">
        <v>4</v>
      </c>
      <c r="G588" s="520">
        <v>260105</v>
      </c>
      <c r="H588" s="520">
        <v>350</v>
      </c>
      <c r="I588" s="517"/>
      <c r="J588" s="520">
        <v>0</v>
      </c>
      <c r="K588" s="520">
        <v>0</v>
      </c>
      <c r="L588" s="520">
        <v>0</v>
      </c>
      <c r="M588" s="517"/>
      <c r="N588" s="542">
        <v>4</v>
      </c>
      <c r="O588" s="543">
        <v>260105</v>
      </c>
      <c r="P588" s="543">
        <v>350</v>
      </c>
      <c r="Q588" s="517"/>
      <c r="R588" s="520">
        <v>0</v>
      </c>
      <c r="S588" s="520">
        <v>0</v>
      </c>
      <c r="T588" s="520">
        <v>0</v>
      </c>
      <c r="U588" s="517"/>
      <c r="V588" s="542">
        <v>4</v>
      </c>
      <c r="W588" s="543">
        <v>260105</v>
      </c>
    </row>
    <row r="589" spans="1:23" x14ac:dyDescent="0.25">
      <c r="A589">
        <v>584</v>
      </c>
      <c r="B589" t="s">
        <v>584</v>
      </c>
      <c r="C589" t="s">
        <v>15</v>
      </c>
      <c r="D589" t="s">
        <v>16</v>
      </c>
      <c r="F589" s="520">
        <v>32</v>
      </c>
      <c r="G589" s="520">
        <v>55105.790000000008</v>
      </c>
      <c r="H589" s="520">
        <v>350</v>
      </c>
      <c r="I589" s="517"/>
      <c r="J589" s="520">
        <v>0</v>
      </c>
      <c r="K589" s="520">
        <v>0</v>
      </c>
      <c r="L589" s="520">
        <v>0</v>
      </c>
      <c r="M589" s="517"/>
      <c r="N589" s="542">
        <v>32</v>
      </c>
      <c r="O589" s="543">
        <v>55105.790000000008</v>
      </c>
      <c r="P589" s="543">
        <v>350</v>
      </c>
      <c r="Q589" s="517"/>
      <c r="R589" s="520">
        <v>0</v>
      </c>
      <c r="S589" s="520">
        <v>0</v>
      </c>
      <c r="T589" s="520">
        <v>0</v>
      </c>
      <c r="U589" s="517"/>
      <c r="V589" s="542">
        <v>32</v>
      </c>
      <c r="W589" s="543">
        <v>55105.790000000008</v>
      </c>
    </row>
    <row r="590" spans="1:23" x14ac:dyDescent="0.25">
      <c r="A590">
        <v>585</v>
      </c>
      <c r="B590" t="s">
        <v>585</v>
      </c>
      <c r="C590" t="s">
        <v>18</v>
      </c>
      <c r="D590" t="s">
        <v>20</v>
      </c>
      <c r="F590" s="520">
        <v>11</v>
      </c>
      <c r="G590" s="520">
        <v>400744</v>
      </c>
      <c r="H590" s="520">
        <v>385</v>
      </c>
      <c r="I590" s="517"/>
      <c r="J590" s="520">
        <v>0</v>
      </c>
      <c r="K590" s="520">
        <v>0</v>
      </c>
      <c r="L590" s="520">
        <v>0</v>
      </c>
      <c r="M590" s="517"/>
      <c r="N590" s="542">
        <v>11</v>
      </c>
      <c r="O590" s="543">
        <v>400744</v>
      </c>
      <c r="P590" s="543">
        <v>385</v>
      </c>
      <c r="Q590" s="517"/>
      <c r="R590" s="520">
        <v>0</v>
      </c>
      <c r="S590" s="520">
        <v>0</v>
      </c>
      <c r="T590" s="520">
        <v>0</v>
      </c>
      <c r="U590" s="517"/>
      <c r="V590" s="542">
        <v>11</v>
      </c>
      <c r="W590" s="543">
        <v>400744</v>
      </c>
    </row>
    <row r="591" spans="1:23" x14ac:dyDescent="0.25">
      <c r="A591">
        <v>586</v>
      </c>
      <c r="B591" t="s">
        <v>586</v>
      </c>
      <c r="C591" t="s">
        <v>51</v>
      </c>
      <c r="D591" t="s">
        <v>16</v>
      </c>
      <c r="F591" s="520">
        <v>249</v>
      </c>
      <c r="G591" s="520">
        <v>339478.94000000012</v>
      </c>
      <c r="H591" s="520">
        <v>2490</v>
      </c>
      <c r="I591" s="517"/>
      <c r="J591" s="520">
        <v>0</v>
      </c>
      <c r="K591" s="520">
        <v>0</v>
      </c>
      <c r="L591" s="520">
        <v>0</v>
      </c>
      <c r="M591" s="517"/>
      <c r="N591" s="542">
        <v>249</v>
      </c>
      <c r="O591" s="543">
        <v>339478.94000000012</v>
      </c>
      <c r="P591" s="543">
        <v>2490</v>
      </c>
      <c r="Q591" s="517"/>
      <c r="R591" s="520">
        <v>0</v>
      </c>
      <c r="S591" s="520">
        <v>0</v>
      </c>
      <c r="T591" s="520">
        <v>0</v>
      </c>
      <c r="U591" s="517"/>
      <c r="V591" s="542">
        <v>249</v>
      </c>
      <c r="W591" s="543">
        <v>339478.94000000012</v>
      </c>
    </row>
    <row r="592" spans="1:23" x14ac:dyDescent="0.25">
      <c r="A592">
        <v>587</v>
      </c>
      <c r="B592" t="s">
        <v>587</v>
      </c>
      <c r="C592" t="s">
        <v>39</v>
      </c>
      <c r="D592" t="s">
        <v>16</v>
      </c>
      <c r="F592" s="520">
        <v>114</v>
      </c>
      <c r="G592" s="520">
        <v>122806.99999999997</v>
      </c>
      <c r="H592" s="520">
        <v>570</v>
      </c>
      <c r="I592" s="517"/>
      <c r="J592" s="520">
        <v>0</v>
      </c>
      <c r="K592" s="520">
        <v>0</v>
      </c>
      <c r="L592" s="520">
        <v>0</v>
      </c>
      <c r="M592" s="517"/>
      <c r="N592" s="542">
        <v>114</v>
      </c>
      <c r="O592" s="543">
        <v>122806.99999999997</v>
      </c>
      <c r="P592" s="543">
        <v>570</v>
      </c>
      <c r="Q592" s="517"/>
      <c r="R592" s="520">
        <v>0</v>
      </c>
      <c r="S592" s="520">
        <v>0</v>
      </c>
      <c r="T592" s="520">
        <v>0</v>
      </c>
      <c r="U592" s="517"/>
      <c r="V592" s="542">
        <v>114</v>
      </c>
      <c r="W592" s="543">
        <v>122806.99999999997</v>
      </c>
    </row>
    <row r="593" spans="1:23" x14ac:dyDescent="0.25">
      <c r="A593">
        <v>588</v>
      </c>
      <c r="B593" t="s">
        <v>588</v>
      </c>
      <c r="C593" t="s">
        <v>355</v>
      </c>
      <c r="D593" t="s">
        <v>16</v>
      </c>
      <c r="F593" s="520">
        <v>0</v>
      </c>
      <c r="G593" s="520">
        <v>0</v>
      </c>
      <c r="H593" s="520">
        <v>0</v>
      </c>
      <c r="I593" s="517"/>
      <c r="J593" s="520">
        <v>0</v>
      </c>
      <c r="K593" s="520">
        <v>0</v>
      </c>
      <c r="L593" s="520">
        <v>0</v>
      </c>
      <c r="M593" s="517"/>
      <c r="N593" s="542">
        <v>0</v>
      </c>
      <c r="O593" s="543">
        <v>0</v>
      </c>
      <c r="P593" s="543">
        <v>0</v>
      </c>
      <c r="Q593" s="517"/>
      <c r="R593" s="520">
        <v>0</v>
      </c>
      <c r="S593" s="520">
        <v>0</v>
      </c>
      <c r="T593" s="520">
        <v>0</v>
      </c>
      <c r="U593" s="517"/>
      <c r="V593" s="542">
        <v>0</v>
      </c>
      <c r="W593" s="543">
        <v>0</v>
      </c>
    </row>
    <row r="594" spans="1:23" x14ac:dyDescent="0.25">
      <c r="A594">
        <v>589</v>
      </c>
      <c r="B594" t="s">
        <v>589</v>
      </c>
      <c r="C594" t="s">
        <v>136</v>
      </c>
      <c r="D594" t="s">
        <v>16</v>
      </c>
      <c r="F594" s="520">
        <v>0</v>
      </c>
      <c r="G594" s="520">
        <v>0</v>
      </c>
      <c r="H594" s="520">
        <v>0</v>
      </c>
      <c r="I594" s="517"/>
      <c r="J594" s="520">
        <v>0</v>
      </c>
      <c r="K594" s="520">
        <v>0</v>
      </c>
      <c r="L594" s="520">
        <v>0</v>
      </c>
      <c r="M594" s="517"/>
      <c r="N594" s="542">
        <v>0</v>
      </c>
      <c r="O594" s="543">
        <v>0</v>
      </c>
      <c r="P594" s="543">
        <v>0</v>
      </c>
      <c r="Q594" s="517"/>
      <c r="R594" s="520">
        <v>0</v>
      </c>
      <c r="S594" s="520">
        <v>0</v>
      </c>
      <c r="T594" s="520">
        <v>0</v>
      </c>
      <c r="U594" s="517"/>
      <c r="V594" s="542">
        <v>0</v>
      </c>
      <c r="W594" s="543">
        <v>0</v>
      </c>
    </row>
    <row r="595" spans="1:23" x14ac:dyDescent="0.25">
      <c r="A595">
        <v>590</v>
      </c>
      <c r="B595" t="s">
        <v>3306</v>
      </c>
      <c r="C595" t="s">
        <v>39</v>
      </c>
      <c r="D595" t="s">
        <v>16</v>
      </c>
      <c r="F595" s="520">
        <v>0</v>
      </c>
      <c r="G595" s="520">
        <v>0</v>
      </c>
      <c r="H595" s="520">
        <v>0</v>
      </c>
      <c r="I595" s="517"/>
      <c r="J595" s="520">
        <v>0</v>
      </c>
      <c r="K595" s="520">
        <v>0</v>
      </c>
      <c r="L595" s="520">
        <v>0</v>
      </c>
      <c r="M595" s="517"/>
      <c r="N595" s="542">
        <v>0</v>
      </c>
      <c r="O595" s="543">
        <v>0</v>
      </c>
      <c r="P595" s="543">
        <v>0</v>
      </c>
      <c r="Q595" s="517"/>
      <c r="R595" s="520">
        <v>0</v>
      </c>
      <c r="S595" s="520">
        <v>0</v>
      </c>
      <c r="T595" s="520">
        <v>0</v>
      </c>
      <c r="U595" s="517"/>
      <c r="V595" s="542">
        <v>0</v>
      </c>
      <c r="W595" s="543">
        <v>0</v>
      </c>
    </row>
    <row r="596" spans="1:23" x14ac:dyDescent="0.25">
      <c r="A596">
        <v>591</v>
      </c>
      <c r="B596" t="s">
        <v>604</v>
      </c>
      <c r="C596" t="s">
        <v>39</v>
      </c>
      <c r="D596" t="s">
        <v>16</v>
      </c>
      <c r="F596" s="520">
        <v>0</v>
      </c>
      <c r="G596" s="520">
        <v>0</v>
      </c>
      <c r="H596" s="520">
        <v>0</v>
      </c>
      <c r="I596" s="517"/>
      <c r="J596" s="520">
        <v>0</v>
      </c>
      <c r="K596" s="520">
        <v>0</v>
      </c>
      <c r="L596" s="520">
        <v>0</v>
      </c>
      <c r="M596" s="517"/>
      <c r="N596" s="542">
        <v>0</v>
      </c>
      <c r="O596" s="543">
        <v>0</v>
      </c>
      <c r="P596" s="543">
        <v>0</v>
      </c>
      <c r="Q596" s="517"/>
      <c r="R596" s="520">
        <v>0</v>
      </c>
      <c r="S596" s="520">
        <v>0</v>
      </c>
      <c r="T596" s="520">
        <v>0</v>
      </c>
      <c r="U596" s="517"/>
      <c r="V596" s="542">
        <v>0</v>
      </c>
      <c r="W596" s="543">
        <v>0</v>
      </c>
    </row>
    <row r="597" spans="1:23" x14ac:dyDescent="0.25">
      <c r="A597">
        <v>592</v>
      </c>
      <c r="B597" t="s">
        <v>590</v>
      </c>
      <c r="C597" t="s">
        <v>39</v>
      </c>
      <c r="D597" t="s">
        <v>16</v>
      </c>
      <c r="F597" s="520">
        <v>2</v>
      </c>
      <c r="G597" s="520">
        <v>666.47</v>
      </c>
      <c r="H597" s="520">
        <v>20</v>
      </c>
      <c r="I597" s="517"/>
      <c r="J597" s="520">
        <v>0</v>
      </c>
      <c r="K597" s="520">
        <v>0</v>
      </c>
      <c r="L597" s="520">
        <v>0</v>
      </c>
      <c r="M597" s="517"/>
      <c r="N597" s="542">
        <v>2</v>
      </c>
      <c r="O597" s="543">
        <v>666.47</v>
      </c>
      <c r="P597" s="543">
        <v>20</v>
      </c>
      <c r="Q597" s="517"/>
      <c r="R597" s="520">
        <v>0</v>
      </c>
      <c r="S597" s="520">
        <v>0</v>
      </c>
      <c r="T597" s="520">
        <v>0</v>
      </c>
      <c r="U597" s="517"/>
      <c r="V597" s="542">
        <v>2</v>
      </c>
      <c r="W597" s="543">
        <v>666.47</v>
      </c>
    </row>
    <row r="598" spans="1:23" x14ac:dyDescent="0.25">
      <c r="A598">
        <v>593</v>
      </c>
      <c r="B598" t="s">
        <v>591</v>
      </c>
      <c r="C598" t="s">
        <v>51</v>
      </c>
      <c r="D598" t="s">
        <v>16</v>
      </c>
      <c r="F598" s="520">
        <v>0</v>
      </c>
      <c r="G598" s="520">
        <v>0</v>
      </c>
      <c r="H598" s="520">
        <v>0</v>
      </c>
      <c r="I598" s="517"/>
      <c r="J598" s="520">
        <v>0</v>
      </c>
      <c r="K598" s="520">
        <v>0</v>
      </c>
      <c r="L598" s="520">
        <v>0</v>
      </c>
      <c r="M598" s="517"/>
      <c r="N598" s="542">
        <v>0</v>
      </c>
      <c r="O598" s="543">
        <v>0</v>
      </c>
      <c r="P598" s="543">
        <v>0</v>
      </c>
      <c r="Q598" s="517"/>
      <c r="R598" s="520">
        <v>0</v>
      </c>
      <c r="S598" s="520">
        <v>0</v>
      </c>
      <c r="T598" s="520">
        <v>0</v>
      </c>
      <c r="U598" s="517"/>
      <c r="V598" s="542">
        <v>0</v>
      </c>
      <c r="W598" s="543">
        <v>0</v>
      </c>
    </row>
    <row r="599" spans="1:23" x14ac:dyDescent="0.25">
      <c r="A599">
        <v>594</v>
      </c>
      <c r="B599" t="s">
        <v>592</v>
      </c>
      <c r="C599" t="s">
        <v>349</v>
      </c>
      <c r="D599" t="s">
        <v>16</v>
      </c>
      <c r="F599" s="520">
        <v>0</v>
      </c>
      <c r="G599" s="520">
        <v>0</v>
      </c>
      <c r="H599" s="520">
        <v>0</v>
      </c>
      <c r="I599" s="517"/>
      <c r="J599" s="520">
        <v>0</v>
      </c>
      <c r="K599" s="520">
        <v>0</v>
      </c>
      <c r="L599" s="520">
        <v>0</v>
      </c>
      <c r="M599" s="517"/>
      <c r="N599" s="542">
        <v>0</v>
      </c>
      <c r="O599" s="543">
        <v>0</v>
      </c>
      <c r="P599" s="543">
        <v>0</v>
      </c>
      <c r="Q599" s="517"/>
      <c r="R599" s="520">
        <v>0</v>
      </c>
      <c r="S599" s="520">
        <v>0</v>
      </c>
      <c r="T599" s="520">
        <v>0</v>
      </c>
      <c r="U599" s="517"/>
      <c r="V599" s="542">
        <v>0</v>
      </c>
      <c r="W599" s="543">
        <v>0</v>
      </c>
    </row>
    <row r="600" spans="1:23" x14ac:dyDescent="0.25">
      <c r="A600">
        <v>595</v>
      </c>
      <c r="B600" t="s">
        <v>593</v>
      </c>
      <c r="C600" t="s">
        <v>41</v>
      </c>
      <c r="D600" t="s">
        <v>16</v>
      </c>
      <c r="F600" s="520">
        <v>0</v>
      </c>
      <c r="G600" s="520">
        <v>0</v>
      </c>
      <c r="H600" s="520">
        <v>0</v>
      </c>
      <c r="I600" s="517"/>
      <c r="J600" s="520">
        <v>0</v>
      </c>
      <c r="K600" s="520">
        <v>0</v>
      </c>
      <c r="L600" s="520">
        <v>0</v>
      </c>
      <c r="M600" s="517"/>
      <c r="N600" s="542">
        <v>0</v>
      </c>
      <c r="O600" s="543">
        <v>0</v>
      </c>
      <c r="P600" s="543">
        <v>0</v>
      </c>
      <c r="Q600" s="517"/>
      <c r="R600" s="520">
        <v>0</v>
      </c>
      <c r="S600" s="520">
        <v>0</v>
      </c>
      <c r="T600" s="520">
        <v>0</v>
      </c>
      <c r="U600" s="517"/>
      <c r="V600" s="542">
        <v>0</v>
      </c>
      <c r="W600" s="543">
        <v>0</v>
      </c>
    </row>
    <row r="601" spans="1:23" x14ac:dyDescent="0.25">
      <c r="A601">
        <v>596</v>
      </c>
      <c r="B601" t="s">
        <v>594</v>
      </c>
      <c r="C601" t="s">
        <v>18</v>
      </c>
      <c r="D601" t="s">
        <v>20</v>
      </c>
      <c r="F601" s="520">
        <v>6</v>
      </c>
      <c r="G601" s="520">
        <v>158904.70000000001</v>
      </c>
      <c r="H601" s="520">
        <v>210</v>
      </c>
      <c r="I601" s="517"/>
      <c r="J601" s="520">
        <v>0</v>
      </c>
      <c r="K601" s="520">
        <v>0</v>
      </c>
      <c r="L601" s="520">
        <v>0</v>
      </c>
      <c r="M601" s="517"/>
      <c r="N601" s="542">
        <v>6</v>
      </c>
      <c r="O601" s="543">
        <v>158904.70000000001</v>
      </c>
      <c r="P601" s="543">
        <v>210</v>
      </c>
      <c r="Q601" s="517"/>
      <c r="R601" s="520">
        <v>0</v>
      </c>
      <c r="S601" s="520">
        <v>0</v>
      </c>
      <c r="T601" s="520">
        <v>0</v>
      </c>
      <c r="U601" s="517"/>
      <c r="V601" s="542">
        <v>6</v>
      </c>
      <c r="W601" s="543">
        <v>158904.70000000001</v>
      </c>
    </row>
    <row r="602" spans="1:23" x14ac:dyDescent="0.25">
      <c r="A602">
        <v>597</v>
      </c>
      <c r="B602" t="s">
        <v>595</v>
      </c>
      <c r="C602" t="s">
        <v>366</v>
      </c>
      <c r="D602" t="s">
        <v>16</v>
      </c>
      <c r="F602" s="520">
        <v>8</v>
      </c>
      <c r="G602" s="520">
        <v>34801</v>
      </c>
      <c r="H602" s="520">
        <v>200</v>
      </c>
      <c r="I602" s="517"/>
      <c r="J602" s="520">
        <v>0</v>
      </c>
      <c r="K602" s="520">
        <v>0</v>
      </c>
      <c r="L602" s="520">
        <v>0</v>
      </c>
      <c r="M602" s="517"/>
      <c r="N602" s="542">
        <v>8</v>
      </c>
      <c r="O602" s="543">
        <v>34801</v>
      </c>
      <c r="P602" s="543">
        <v>200</v>
      </c>
      <c r="Q602" s="517"/>
      <c r="R602" s="520">
        <v>0</v>
      </c>
      <c r="S602" s="520">
        <v>0</v>
      </c>
      <c r="T602" s="520">
        <v>0</v>
      </c>
      <c r="U602" s="517"/>
      <c r="V602" s="542">
        <v>8</v>
      </c>
      <c r="W602" s="543">
        <v>34801</v>
      </c>
    </row>
    <row r="603" spans="1:23" x14ac:dyDescent="0.25">
      <c r="A603">
        <v>598</v>
      </c>
      <c r="B603" t="s">
        <v>596</v>
      </c>
      <c r="C603" t="s">
        <v>18</v>
      </c>
      <c r="D603" t="s">
        <v>16</v>
      </c>
      <c r="F603" s="520">
        <v>9</v>
      </c>
      <c r="G603" s="520">
        <v>669345</v>
      </c>
      <c r="H603" s="520">
        <v>270</v>
      </c>
      <c r="I603" s="517"/>
      <c r="J603" s="520">
        <v>0</v>
      </c>
      <c r="K603" s="520">
        <v>0</v>
      </c>
      <c r="L603" s="520">
        <v>0</v>
      </c>
      <c r="M603" s="517"/>
      <c r="N603" s="542">
        <v>9</v>
      </c>
      <c r="O603" s="543">
        <v>669345</v>
      </c>
      <c r="P603" s="543">
        <v>270</v>
      </c>
      <c r="Q603" s="517"/>
      <c r="R603" s="520">
        <v>0</v>
      </c>
      <c r="S603" s="520">
        <v>0</v>
      </c>
      <c r="T603" s="520">
        <v>0</v>
      </c>
      <c r="U603" s="517"/>
      <c r="V603" s="542">
        <v>9</v>
      </c>
      <c r="W603" s="543">
        <v>669345</v>
      </c>
    </row>
    <row r="604" spans="1:23" x14ac:dyDescent="0.25">
      <c r="A604">
        <v>599</v>
      </c>
      <c r="B604" t="s">
        <v>597</v>
      </c>
      <c r="C604" t="s">
        <v>15</v>
      </c>
      <c r="D604" t="s">
        <v>16</v>
      </c>
      <c r="F604" s="520">
        <v>7</v>
      </c>
      <c r="G604" s="520">
        <v>300083</v>
      </c>
      <c r="H604" s="520">
        <v>210</v>
      </c>
      <c r="I604" s="517"/>
      <c r="J604" s="520">
        <v>0</v>
      </c>
      <c r="K604" s="520">
        <v>0</v>
      </c>
      <c r="L604" s="520">
        <v>0</v>
      </c>
      <c r="M604" s="517"/>
      <c r="N604" s="542">
        <v>7</v>
      </c>
      <c r="O604" s="543">
        <v>300083</v>
      </c>
      <c r="P604" s="543">
        <v>210</v>
      </c>
      <c r="Q604" s="517"/>
      <c r="R604" s="520">
        <v>0</v>
      </c>
      <c r="S604" s="520">
        <v>0</v>
      </c>
      <c r="T604" s="520">
        <v>0</v>
      </c>
      <c r="U604" s="517"/>
      <c r="V604" s="542">
        <v>7</v>
      </c>
      <c r="W604" s="543">
        <v>300083</v>
      </c>
    </row>
    <row r="605" spans="1:23" x14ac:dyDescent="0.25">
      <c r="A605">
        <v>600</v>
      </c>
      <c r="B605" t="s">
        <v>598</v>
      </c>
      <c r="C605" t="s">
        <v>18</v>
      </c>
      <c r="D605" t="s">
        <v>16</v>
      </c>
      <c r="F605" s="520">
        <v>12</v>
      </c>
      <c r="G605" s="520">
        <v>452313</v>
      </c>
      <c r="H605" s="520">
        <v>360</v>
      </c>
      <c r="I605" s="517"/>
      <c r="J605" s="520">
        <v>0</v>
      </c>
      <c r="K605" s="520">
        <v>0</v>
      </c>
      <c r="L605" s="520">
        <v>0</v>
      </c>
      <c r="M605" s="517"/>
      <c r="N605" s="542">
        <v>12</v>
      </c>
      <c r="O605" s="543">
        <v>452313</v>
      </c>
      <c r="P605" s="543">
        <v>360</v>
      </c>
      <c r="Q605" s="517"/>
      <c r="R605" s="520">
        <v>0</v>
      </c>
      <c r="S605" s="520">
        <v>0</v>
      </c>
      <c r="T605" s="520">
        <v>0</v>
      </c>
      <c r="U605" s="517"/>
      <c r="V605" s="542">
        <v>12</v>
      </c>
      <c r="W605" s="543">
        <v>452313</v>
      </c>
    </row>
    <row r="606" spans="1:23" x14ac:dyDescent="0.25">
      <c r="A606">
        <v>601</v>
      </c>
      <c r="B606" t="s">
        <v>599</v>
      </c>
      <c r="C606" t="s">
        <v>15</v>
      </c>
      <c r="D606" t="s">
        <v>16</v>
      </c>
      <c r="F606" s="520">
        <v>0</v>
      </c>
      <c r="G606" s="520">
        <v>0</v>
      </c>
      <c r="H606" s="520">
        <v>0</v>
      </c>
      <c r="I606" s="517"/>
      <c r="J606" s="520">
        <v>0</v>
      </c>
      <c r="K606" s="520">
        <v>0</v>
      </c>
      <c r="L606" s="520">
        <v>0</v>
      </c>
      <c r="M606" s="517"/>
      <c r="N606" s="542">
        <v>0</v>
      </c>
      <c r="O606" s="543">
        <v>0</v>
      </c>
      <c r="P606" s="543">
        <v>0</v>
      </c>
      <c r="Q606" s="517"/>
      <c r="R606" s="520">
        <v>0</v>
      </c>
      <c r="S606" s="520">
        <v>0</v>
      </c>
      <c r="T606" s="520">
        <v>0</v>
      </c>
      <c r="U606" s="517"/>
      <c r="V606" s="542">
        <v>0</v>
      </c>
      <c r="W606" s="543">
        <v>0</v>
      </c>
    </row>
    <row r="607" spans="1:23" x14ac:dyDescent="0.25">
      <c r="A607">
        <v>602</v>
      </c>
      <c r="B607" t="s">
        <v>600</v>
      </c>
      <c r="C607" t="s">
        <v>18</v>
      </c>
      <c r="D607" t="s">
        <v>16</v>
      </c>
      <c r="F607" s="520">
        <v>14</v>
      </c>
      <c r="G607" s="520">
        <v>400193.43</v>
      </c>
      <c r="H607" s="520">
        <v>420</v>
      </c>
      <c r="I607" s="517"/>
      <c r="J607" s="520">
        <v>0</v>
      </c>
      <c r="K607" s="520">
        <v>0</v>
      </c>
      <c r="L607" s="520">
        <v>0</v>
      </c>
      <c r="M607" s="517"/>
      <c r="N607" s="542">
        <v>14</v>
      </c>
      <c r="O607" s="543">
        <v>400193.43</v>
      </c>
      <c r="P607" s="543">
        <v>420</v>
      </c>
      <c r="Q607" s="517"/>
      <c r="R607" s="520">
        <v>0</v>
      </c>
      <c r="S607" s="520">
        <v>0</v>
      </c>
      <c r="T607" s="520">
        <v>0</v>
      </c>
      <c r="U607" s="517"/>
      <c r="V607" s="542">
        <v>14</v>
      </c>
      <c r="W607" s="543">
        <v>400193.43</v>
      </c>
    </row>
    <row r="608" spans="1:23" x14ac:dyDescent="0.25">
      <c r="A608">
        <v>603</v>
      </c>
      <c r="B608" t="s">
        <v>601</v>
      </c>
      <c r="C608" t="s">
        <v>15</v>
      </c>
      <c r="D608" t="s">
        <v>16</v>
      </c>
      <c r="F608" s="520">
        <v>30</v>
      </c>
      <c r="G608" s="520">
        <v>1829670</v>
      </c>
      <c r="H608" s="520">
        <v>900</v>
      </c>
      <c r="I608" s="517"/>
      <c r="J608" s="520">
        <v>0</v>
      </c>
      <c r="K608" s="520">
        <v>0</v>
      </c>
      <c r="L608" s="520">
        <v>0</v>
      </c>
      <c r="M608" s="517"/>
      <c r="N608" s="542">
        <v>30</v>
      </c>
      <c r="O608" s="543">
        <v>1829670</v>
      </c>
      <c r="P608" s="543">
        <v>900</v>
      </c>
      <c r="Q608" s="517"/>
      <c r="R608" s="520">
        <v>0</v>
      </c>
      <c r="S608" s="520">
        <v>0</v>
      </c>
      <c r="T608" s="520">
        <v>0</v>
      </c>
      <c r="U608" s="517"/>
      <c r="V608" s="542">
        <v>30</v>
      </c>
      <c r="W608" s="543">
        <v>1829670</v>
      </c>
    </row>
    <row r="609" spans="1:23" x14ac:dyDescent="0.25">
      <c r="A609">
        <v>604</v>
      </c>
      <c r="B609" t="s">
        <v>602</v>
      </c>
      <c r="C609" t="s">
        <v>18</v>
      </c>
      <c r="D609" t="s">
        <v>20</v>
      </c>
      <c r="F609" s="520">
        <v>5</v>
      </c>
      <c r="G609" s="520">
        <v>85129</v>
      </c>
      <c r="H609" s="520">
        <v>250</v>
      </c>
      <c r="I609" s="517"/>
      <c r="J609" s="520">
        <v>0</v>
      </c>
      <c r="K609" s="520">
        <v>0</v>
      </c>
      <c r="L609" s="520">
        <v>0</v>
      </c>
      <c r="M609" s="517"/>
      <c r="N609" s="542">
        <v>5</v>
      </c>
      <c r="O609" s="543">
        <v>85129</v>
      </c>
      <c r="P609" s="543">
        <v>250</v>
      </c>
      <c r="Q609" s="517"/>
      <c r="R609" s="520">
        <v>0</v>
      </c>
      <c r="S609" s="520">
        <v>0</v>
      </c>
      <c r="T609" s="520">
        <v>0</v>
      </c>
      <c r="U609" s="517"/>
      <c r="V609" s="542">
        <v>5</v>
      </c>
      <c r="W609" s="543">
        <v>85129</v>
      </c>
    </row>
    <row r="610" spans="1:23" x14ac:dyDescent="0.25">
      <c r="A610">
        <v>605</v>
      </c>
      <c r="B610" t="s">
        <v>603</v>
      </c>
      <c r="C610" t="s">
        <v>18</v>
      </c>
      <c r="D610" t="s">
        <v>20</v>
      </c>
      <c r="F610" s="520">
        <v>22</v>
      </c>
      <c r="G610" s="520">
        <v>374181.18</v>
      </c>
      <c r="H610" s="520">
        <v>1100</v>
      </c>
      <c r="I610" s="517"/>
      <c r="J610" s="520">
        <v>0</v>
      </c>
      <c r="K610" s="520">
        <v>0</v>
      </c>
      <c r="L610" s="520">
        <v>0</v>
      </c>
      <c r="M610" s="517"/>
      <c r="N610" s="542">
        <v>22</v>
      </c>
      <c r="O610" s="543">
        <v>374181.18</v>
      </c>
      <c r="P610" s="543">
        <v>1100</v>
      </c>
      <c r="Q610" s="517"/>
      <c r="R610" s="520">
        <v>0</v>
      </c>
      <c r="S610" s="520">
        <v>0</v>
      </c>
      <c r="T610" s="520">
        <v>0</v>
      </c>
      <c r="U610" s="517"/>
      <c r="V610" s="542">
        <v>22</v>
      </c>
      <c r="W610" s="543">
        <v>374181.18</v>
      </c>
    </row>
    <row r="611" spans="1:23" x14ac:dyDescent="0.25">
      <c r="A611">
        <v>606</v>
      </c>
      <c r="B611" t="s">
        <v>3307</v>
      </c>
      <c r="C611" t="s">
        <v>355</v>
      </c>
      <c r="D611" t="s">
        <v>3231</v>
      </c>
      <c r="F611" s="520">
        <v>0</v>
      </c>
      <c r="G611" s="520">
        <v>0</v>
      </c>
      <c r="H611" s="520">
        <v>0</v>
      </c>
      <c r="I611" s="517"/>
      <c r="J611" s="520">
        <v>0</v>
      </c>
      <c r="K611" s="520">
        <v>0</v>
      </c>
      <c r="L611" s="520">
        <v>0</v>
      </c>
      <c r="M611" s="517"/>
      <c r="N611" s="542">
        <v>0</v>
      </c>
      <c r="O611" s="543">
        <v>0</v>
      </c>
      <c r="P611" s="543">
        <v>0</v>
      </c>
      <c r="Q611" s="517"/>
      <c r="R611" s="520">
        <v>0</v>
      </c>
      <c r="S611" s="520">
        <v>0</v>
      </c>
      <c r="T611" s="520">
        <v>0</v>
      </c>
      <c r="U611" s="517"/>
      <c r="V611" s="542">
        <v>0</v>
      </c>
      <c r="W611" s="543">
        <v>0</v>
      </c>
    </row>
    <row r="612" spans="1:23" x14ac:dyDescent="0.25">
      <c r="A612">
        <v>607</v>
      </c>
      <c r="B612" t="s">
        <v>605</v>
      </c>
      <c r="C612" t="s">
        <v>92</v>
      </c>
      <c r="D612" t="s">
        <v>606</v>
      </c>
      <c r="F612" s="520">
        <v>0</v>
      </c>
      <c r="G612" s="520">
        <v>0</v>
      </c>
      <c r="H612" s="520">
        <v>0</v>
      </c>
      <c r="I612" s="517"/>
      <c r="J612" s="520">
        <v>0</v>
      </c>
      <c r="K612" s="520">
        <v>0</v>
      </c>
      <c r="L612" s="520">
        <v>0</v>
      </c>
      <c r="M612" s="517"/>
      <c r="N612" s="542">
        <v>0</v>
      </c>
      <c r="O612" s="543">
        <v>0</v>
      </c>
      <c r="P612" s="543">
        <v>0</v>
      </c>
      <c r="Q612" s="517"/>
      <c r="R612" s="520">
        <v>0</v>
      </c>
      <c r="S612" s="520">
        <v>0</v>
      </c>
      <c r="T612" s="520">
        <v>0</v>
      </c>
      <c r="U612" s="517"/>
      <c r="V612" s="542">
        <v>0</v>
      </c>
      <c r="W612" s="543">
        <v>0</v>
      </c>
    </row>
    <row r="613" spans="1:23" x14ac:dyDescent="0.25">
      <c r="A613">
        <v>608</v>
      </c>
      <c r="B613" t="s">
        <v>3308</v>
      </c>
      <c r="C613" t="s">
        <v>18</v>
      </c>
      <c r="D613" t="s">
        <v>16</v>
      </c>
      <c r="F613" s="520">
        <v>0</v>
      </c>
      <c r="G613" s="520">
        <v>0</v>
      </c>
      <c r="H613" s="520">
        <v>0</v>
      </c>
      <c r="I613" s="517"/>
      <c r="J613" s="520">
        <v>0</v>
      </c>
      <c r="K613" s="520">
        <v>0</v>
      </c>
      <c r="L613" s="520">
        <v>0</v>
      </c>
      <c r="M613" s="517"/>
      <c r="N613" s="542">
        <v>0</v>
      </c>
      <c r="O613" s="543">
        <v>0</v>
      </c>
      <c r="P613" s="543">
        <v>0</v>
      </c>
      <c r="Q613" s="517"/>
      <c r="R613" s="520">
        <v>0</v>
      </c>
      <c r="S613" s="520">
        <v>0</v>
      </c>
      <c r="T613" s="520">
        <v>0</v>
      </c>
      <c r="U613" s="517"/>
      <c r="V613" s="542">
        <v>0</v>
      </c>
      <c r="W613" s="543">
        <v>0</v>
      </c>
    </row>
    <row r="614" spans="1:23" x14ac:dyDescent="0.25">
      <c r="A614">
        <v>609</v>
      </c>
      <c r="B614" t="s">
        <v>607</v>
      </c>
      <c r="D614" t="s">
        <v>16</v>
      </c>
      <c r="F614" s="520">
        <v>0</v>
      </c>
      <c r="G614" s="520">
        <v>0</v>
      </c>
      <c r="H614" s="520">
        <v>0</v>
      </c>
      <c r="I614" s="517"/>
      <c r="J614" s="520">
        <v>0</v>
      </c>
      <c r="K614" s="520">
        <v>0</v>
      </c>
      <c r="L614" s="520">
        <v>0</v>
      </c>
      <c r="M614" s="517"/>
      <c r="N614" s="542">
        <v>0</v>
      </c>
      <c r="O614" s="543">
        <v>0</v>
      </c>
      <c r="P614" s="543">
        <v>0</v>
      </c>
      <c r="Q614" s="517"/>
      <c r="R614" s="520">
        <v>0</v>
      </c>
      <c r="S614" s="520">
        <v>0</v>
      </c>
      <c r="T614" s="520">
        <v>0</v>
      </c>
      <c r="U614" s="517"/>
      <c r="V614" s="542">
        <v>0</v>
      </c>
      <c r="W614" s="543">
        <v>0</v>
      </c>
    </row>
    <row r="615" spans="1:23" x14ac:dyDescent="0.25">
      <c r="A615">
        <v>610</v>
      </c>
      <c r="B615" t="s">
        <v>608</v>
      </c>
      <c r="C615" t="s">
        <v>18</v>
      </c>
      <c r="D615" t="s">
        <v>16</v>
      </c>
      <c r="F615" s="520">
        <v>2</v>
      </c>
      <c r="G615" s="520">
        <v>23000</v>
      </c>
      <c r="H615" s="520">
        <v>14</v>
      </c>
      <c r="I615" s="517"/>
      <c r="J615" s="520">
        <v>0</v>
      </c>
      <c r="K615" s="520">
        <v>0</v>
      </c>
      <c r="L615" s="520">
        <v>0</v>
      </c>
      <c r="M615" s="517"/>
      <c r="N615" s="542">
        <v>2</v>
      </c>
      <c r="O615" s="543">
        <v>23000</v>
      </c>
      <c r="P615" s="543">
        <v>14</v>
      </c>
      <c r="Q615" s="517"/>
      <c r="R615" s="520">
        <v>0</v>
      </c>
      <c r="S615" s="520">
        <v>0</v>
      </c>
      <c r="T615" s="520">
        <v>0</v>
      </c>
      <c r="U615" s="517"/>
      <c r="V615" s="542">
        <v>2</v>
      </c>
      <c r="W615" s="543">
        <v>23000</v>
      </c>
    </row>
    <row r="616" spans="1:23" x14ac:dyDescent="0.25">
      <c r="A616">
        <v>611</v>
      </c>
      <c r="B616" t="s">
        <v>609</v>
      </c>
      <c r="C616" t="s">
        <v>18</v>
      </c>
      <c r="D616" t="s">
        <v>16</v>
      </c>
      <c r="F616" s="520">
        <v>0</v>
      </c>
      <c r="G616" s="520">
        <v>0</v>
      </c>
      <c r="H616" s="520">
        <v>0</v>
      </c>
      <c r="I616" s="517"/>
      <c r="J616" s="520">
        <v>0</v>
      </c>
      <c r="K616" s="520">
        <v>0</v>
      </c>
      <c r="L616" s="520">
        <v>0</v>
      </c>
      <c r="M616" s="517"/>
      <c r="N616" s="542">
        <v>0</v>
      </c>
      <c r="O616" s="543">
        <v>0</v>
      </c>
      <c r="P616" s="543">
        <v>0</v>
      </c>
      <c r="Q616" s="517"/>
      <c r="R616" s="520">
        <v>0</v>
      </c>
      <c r="S616" s="520">
        <v>0</v>
      </c>
      <c r="T616" s="520">
        <v>0</v>
      </c>
      <c r="U616" s="517"/>
      <c r="V616" s="542">
        <v>0</v>
      </c>
      <c r="W616" s="543">
        <v>0</v>
      </c>
    </row>
    <row r="617" spans="1:23" x14ac:dyDescent="0.25">
      <c r="A617">
        <v>612</v>
      </c>
      <c r="B617" t="s">
        <v>610</v>
      </c>
      <c r="C617" t="s">
        <v>18</v>
      </c>
      <c r="D617" t="s">
        <v>16</v>
      </c>
      <c r="F617" s="520">
        <v>0</v>
      </c>
      <c r="G617" s="520">
        <v>0</v>
      </c>
      <c r="H617" s="520">
        <v>0</v>
      </c>
      <c r="I617" s="517"/>
      <c r="J617" s="520">
        <v>0</v>
      </c>
      <c r="K617" s="520">
        <v>0</v>
      </c>
      <c r="L617" s="520">
        <v>0</v>
      </c>
      <c r="M617" s="517"/>
      <c r="N617" s="542">
        <v>0</v>
      </c>
      <c r="O617" s="543">
        <v>0</v>
      </c>
      <c r="P617" s="543">
        <v>0</v>
      </c>
      <c r="Q617" s="517"/>
      <c r="R617" s="520">
        <v>0</v>
      </c>
      <c r="S617" s="520">
        <v>0</v>
      </c>
      <c r="T617" s="520">
        <v>0</v>
      </c>
      <c r="U617" s="517"/>
      <c r="V617" s="542">
        <v>0</v>
      </c>
      <c r="W617" s="543">
        <v>0</v>
      </c>
    </row>
    <row r="618" spans="1:23" x14ac:dyDescent="0.25">
      <c r="A618">
        <v>613</v>
      </c>
      <c r="B618" t="s">
        <v>611</v>
      </c>
      <c r="C618" t="s">
        <v>18</v>
      </c>
      <c r="D618" t="s">
        <v>16</v>
      </c>
      <c r="F618" s="520">
        <v>0</v>
      </c>
      <c r="G618" s="520">
        <v>0</v>
      </c>
      <c r="H618" s="520">
        <v>0</v>
      </c>
      <c r="I618" s="517"/>
      <c r="J618" s="520">
        <v>0</v>
      </c>
      <c r="K618" s="520">
        <v>0</v>
      </c>
      <c r="L618" s="520">
        <v>0</v>
      </c>
      <c r="M618" s="517"/>
      <c r="N618" s="542">
        <v>0</v>
      </c>
      <c r="O618" s="543">
        <v>0</v>
      </c>
      <c r="P618" s="543">
        <v>0</v>
      </c>
      <c r="Q618" s="517"/>
      <c r="R618" s="520">
        <v>0</v>
      </c>
      <c r="S618" s="520">
        <v>0</v>
      </c>
      <c r="T618" s="520">
        <v>0</v>
      </c>
      <c r="U618" s="517"/>
      <c r="V618" s="542">
        <v>0</v>
      </c>
      <c r="W618" s="543">
        <v>0</v>
      </c>
    </row>
    <row r="619" spans="1:23" x14ac:dyDescent="0.25">
      <c r="A619">
        <v>614</v>
      </c>
      <c r="B619" t="s">
        <v>612</v>
      </c>
      <c r="D619" t="s">
        <v>16</v>
      </c>
      <c r="F619" s="520">
        <v>0</v>
      </c>
      <c r="G619" s="520">
        <v>0</v>
      </c>
      <c r="H619" s="520">
        <v>0</v>
      </c>
      <c r="I619" s="517"/>
      <c r="J619" s="520">
        <v>0</v>
      </c>
      <c r="K619" s="520">
        <v>0</v>
      </c>
      <c r="L619" s="520">
        <v>0</v>
      </c>
      <c r="M619" s="517"/>
      <c r="N619" s="542">
        <v>0</v>
      </c>
      <c r="O619" s="543">
        <v>0</v>
      </c>
      <c r="P619" s="543">
        <v>0</v>
      </c>
      <c r="Q619" s="517"/>
      <c r="R619" s="520">
        <v>0</v>
      </c>
      <c r="S619" s="520">
        <v>0</v>
      </c>
      <c r="T619" s="520">
        <v>0</v>
      </c>
      <c r="U619" s="517"/>
      <c r="V619" s="542">
        <v>0</v>
      </c>
      <c r="W619" s="543">
        <v>0</v>
      </c>
    </row>
    <row r="620" spans="1:23" x14ac:dyDescent="0.25">
      <c r="A620">
        <v>615</v>
      </c>
      <c r="B620" t="s">
        <v>613</v>
      </c>
      <c r="C620" t="s">
        <v>15</v>
      </c>
      <c r="D620" t="s">
        <v>45</v>
      </c>
      <c r="F620" s="520">
        <v>37</v>
      </c>
      <c r="G620" s="520">
        <v>209819</v>
      </c>
      <c r="H620" s="520">
        <v>1110</v>
      </c>
      <c r="I620" s="517"/>
      <c r="J620" s="520">
        <v>0</v>
      </c>
      <c r="K620" s="520">
        <v>0</v>
      </c>
      <c r="L620" s="520">
        <v>0</v>
      </c>
      <c r="M620" s="517"/>
      <c r="N620" s="542">
        <v>37</v>
      </c>
      <c r="O620" s="543">
        <v>209819</v>
      </c>
      <c r="P620" s="543">
        <v>1110</v>
      </c>
      <c r="Q620" s="517"/>
      <c r="R620" s="520">
        <v>0</v>
      </c>
      <c r="S620" s="520">
        <v>0</v>
      </c>
      <c r="T620" s="520">
        <v>0</v>
      </c>
      <c r="U620" s="517"/>
      <c r="V620" s="542">
        <v>37</v>
      </c>
      <c r="W620" s="543">
        <v>209819</v>
      </c>
    </row>
    <row r="621" spans="1:23" x14ac:dyDescent="0.25">
      <c r="A621">
        <v>616</v>
      </c>
      <c r="B621" t="s">
        <v>614</v>
      </c>
      <c r="C621" t="s">
        <v>15</v>
      </c>
      <c r="D621" t="s">
        <v>45</v>
      </c>
      <c r="F621" s="520">
        <v>0</v>
      </c>
      <c r="G621" s="520">
        <v>0</v>
      </c>
      <c r="H621" s="520">
        <v>0</v>
      </c>
      <c r="I621" s="517"/>
      <c r="J621" s="520">
        <v>0</v>
      </c>
      <c r="K621" s="520">
        <v>0</v>
      </c>
      <c r="L621" s="520">
        <v>0</v>
      </c>
      <c r="M621" s="517"/>
      <c r="N621" s="542">
        <v>0</v>
      </c>
      <c r="O621" s="543">
        <v>0</v>
      </c>
      <c r="P621" s="543">
        <v>0</v>
      </c>
      <c r="Q621" s="517"/>
      <c r="R621" s="520">
        <v>0</v>
      </c>
      <c r="S621" s="520">
        <v>0</v>
      </c>
      <c r="T621" s="520">
        <v>0</v>
      </c>
      <c r="U621" s="517"/>
      <c r="V621" s="542">
        <v>0</v>
      </c>
      <c r="W621" s="543">
        <v>0</v>
      </c>
    </row>
    <row r="622" spans="1:23" x14ac:dyDescent="0.25">
      <c r="A622">
        <v>617</v>
      </c>
      <c r="B622" t="s">
        <v>615</v>
      </c>
      <c r="C622" t="s">
        <v>18</v>
      </c>
      <c r="D622" t="s">
        <v>16</v>
      </c>
      <c r="F622" s="520">
        <v>8</v>
      </c>
      <c r="G622" s="520">
        <v>58699</v>
      </c>
      <c r="H622" s="520">
        <v>80</v>
      </c>
      <c r="I622" s="517"/>
      <c r="J622" s="520">
        <v>0</v>
      </c>
      <c r="K622" s="520">
        <v>0</v>
      </c>
      <c r="L622" s="520">
        <v>0</v>
      </c>
      <c r="M622" s="517"/>
      <c r="N622" s="542">
        <v>8</v>
      </c>
      <c r="O622" s="543">
        <v>58699</v>
      </c>
      <c r="P622" s="543">
        <v>80</v>
      </c>
      <c r="Q622" s="517"/>
      <c r="R622" s="520">
        <v>0</v>
      </c>
      <c r="S622" s="520">
        <v>0</v>
      </c>
      <c r="T622" s="520">
        <v>0</v>
      </c>
      <c r="U622" s="517"/>
      <c r="V622" s="542">
        <v>8</v>
      </c>
      <c r="W622" s="543">
        <v>58699</v>
      </c>
    </row>
    <row r="623" spans="1:23" x14ac:dyDescent="0.25">
      <c r="A623">
        <v>618</v>
      </c>
      <c r="B623" t="s">
        <v>616</v>
      </c>
      <c r="C623" t="s">
        <v>18</v>
      </c>
      <c r="D623" t="s">
        <v>16</v>
      </c>
      <c r="F623" s="520">
        <v>0</v>
      </c>
      <c r="G623" s="520">
        <v>0</v>
      </c>
      <c r="H623" s="520">
        <v>0</v>
      </c>
      <c r="I623" s="517"/>
      <c r="J623" s="520">
        <v>0</v>
      </c>
      <c r="K623" s="520">
        <v>0</v>
      </c>
      <c r="L623" s="520">
        <v>0</v>
      </c>
      <c r="M623" s="517"/>
      <c r="N623" s="542">
        <v>0</v>
      </c>
      <c r="O623" s="543">
        <v>0</v>
      </c>
      <c r="P623" s="543">
        <v>0</v>
      </c>
      <c r="Q623" s="517"/>
      <c r="R623" s="520">
        <v>0</v>
      </c>
      <c r="S623" s="520">
        <v>0</v>
      </c>
      <c r="T623" s="520">
        <v>0</v>
      </c>
      <c r="U623" s="517"/>
      <c r="V623" s="542">
        <v>0</v>
      </c>
      <c r="W623" s="543">
        <v>0</v>
      </c>
    </row>
    <row r="624" spans="1:23" x14ac:dyDescent="0.25">
      <c r="A624">
        <v>619</v>
      </c>
      <c r="B624" t="s">
        <v>617</v>
      </c>
      <c r="C624" t="s">
        <v>92</v>
      </c>
      <c r="D624" t="s">
        <v>16</v>
      </c>
      <c r="F624" s="520">
        <v>0</v>
      </c>
      <c r="G624" s="520">
        <v>0</v>
      </c>
      <c r="H624" s="520">
        <v>0</v>
      </c>
      <c r="I624" s="517"/>
      <c r="J624" s="520">
        <v>0</v>
      </c>
      <c r="K624" s="520">
        <v>0</v>
      </c>
      <c r="L624" s="520">
        <v>0</v>
      </c>
      <c r="M624" s="517"/>
      <c r="N624" s="542">
        <v>0</v>
      </c>
      <c r="O624" s="543">
        <v>0</v>
      </c>
      <c r="P624" s="543">
        <v>0</v>
      </c>
      <c r="Q624" s="517"/>
      <c r="R624" s="520">
        <v>0</v>
      </c>
      <c r="S624" s="520">
        <v>0</v>
      </c>
      <c r="T624" s="520">
        <v>0</v>
      </c>
      <c r="U624" s="517"/>
      <c r="V624" s="542">
        <v>0</v>
      </c>
      <c r="W624" s="543">
        <v>0</v>
      </c>
    </row>
    <row r="625" spans="1:23" x14ac:dyDescent="0.25">
      <c r="A625">
        <v>620</v>
      </c>
      <c r="B625" t="s">
        <v>618</v>
      </c>
      <c r="C625" t="s">
        <v>18</v>
      </c>
      <c r="D625" t="s">
        <v>16</v>
      </c>
      <c r="F625" s="520">
        <v>6</v>
      </c>
      <c r="G625" s="520">
        <v>106506</v>
      </c>
      <c r="H625" s="520">
        <v>150</v>
      </c>
      <c r="I625" s="517"/>
      <c r="J625" s="520">
        <v>0</v>
      </c>
      <c r="K625" s="520">
        <v>0</v>
      </c>
      <c r="L625" s="520">
        <v>0</v>
      </c>
      <c r="M625" s="517"/>
      <c r="N625" s="542">
        <v>6</v>
      </c>
      <c r="O625" s="543">
        <v>106506</v>
      </c>
      <c r="P625" s="543">
        <v>150</v>
      </c>
      <c r="Q625" s="517"/>
      <c r="R625" s="520">
        <v>0</v>
      </c>
      <c r="S625" s="520">
        <v>0</v>
      </c>
      <c r="T625" s="520">
        <v>0</v>
      </c>
      <c r="U625" s="517"/>
      <c r="V625" s="542">
        <v>6</v>
      </c>
      <c r="W625" s="543">
        <v>106506</v>
      </c>
    </row>
    <row r="626" spans="1:23" x14ac:dyDescent="0.25">
      <c r="A626">
        <v>621</v>
      </c>
      <c r="B626" t="s">
        <v>619</v>
      </c>
      <c r="C626" t="s">
        <v>25</v>
      </c>
      <c r="D626" t="s">
        <v>16</v>
      </c>
      <c r="F626" s="520">
        <v>5</v>
      </c>
      <c r="G626" s="520">
        <v>76338</v>
      </c>
      <c r="H626" s="520">
        <v>125</v>
      </c>
      <c r="I626" s="517"/>
      <c r="J626" s="520">
        <v>0</v>
      </c>
      <c r="K626" s="520">
        <v>0</v>
      </c>
      <c r="L626" s="520">
        <v>0</v>
      </c>
      <c r="M626" s="517"/>
      <c r="N626" s="542">
        <v>5</v>
      </c>
      <c r="O626" s="543">
        <v>76338</v>
      </c>
      <c r="P626" s="543">
        <v>125</v>
      </c>
      <c r="Q626" s="517"/>
      <c r="R626" s="520">
        <v>0</v>
      </c>
      <c r="S626" s="520">
        <v>0</v>
      </c>
      <c r="T626" s="520">
        <v>0</v>
      </c>
      <c r="U626" s="517"/>
      <c r="V626" s="542">
        <v>5</v>
      </c>
      <c r="W626" s="543">
        <v>76338</v>
      </c>
    </row>
    <row r="627" spans="1:23" x14ac:dyDescent="0.25">
      <c r="A627">
        <v>622</v>
      </c>
      <c r="B627" t="s">
        <v>620</v>
      </c>
      <c r="C627" t="s">
        <v>25</v>
      </c>
      <c r="D627" t="s">
        <v>16</v>
      </c>
      <c r="F627" s="520">
        <v>0</v>
      </c>
      <c r="G627" s="520">
        <v>0</v>
      </c>
      <c r="H627" s="520">
        <v>0</v>
      </c>
      <c r="I627" s="517"/>
      <c r="J627" s="520">
        <v>0</v>
      </c>
      <c r="K627" s="520">
        <v>0</v>
      </c>
      <c r="L627" s="520">
        <v>0</v>
      </c>
      <c r="M627" s="517"/>
      <c r="N627" s="542">
        <v>0</v>
      </c>
      <c r="O627" s="543">
        <v>0</v>
      </c>
      <c r="P627" s="543">
        <v>0</v>
      </c>
      <c r="Q627" s="517"/>
      <c r="R627" s="520">
        <v>0</v>
      </c>
      <c r="S627" s="520">
        <v>0</v>
      </c>
      <c r="T627" s="520">
        <v>0</v>
      </c>
      <c r="U627" s="517"/>
      <c r="V627" s="542">
        <v>0</v>
      </c>
      <c r="W627" s="543">
        <v>0</v>
      </c>
    </row>
    <row r="628" spans="1:23" x14ac:dyDescent="0.25">
      <c r="A628">
        <v>623</v>
      </c>
      <c r="B628" t="s">
        <v>621</v>
      </c>
      <c r="C628" t="s">
        <v>15</v>
      </c>
      <c r="D628" t="s">
        <v>16</v>
      </c>
      <c r="F628" s="520">
        <v>1</v>
      </c>
      <c r="G628" s="520">
        <v>12500</v>
      </c>
      <c r="H628" s="520">
        <v>25</v>
      </c>
      <c r="I628" s="517"/>
      <c r="J628" s="520">
        <v>0</v>
      </c>
      <c r="K628" s="520">
        <v>0</v>
      </c>
      <c r="L628" s="520">
        <v>0</v>
      </c>
      <c r="M628" s="517"/>
      <c r="N628" s="542">
        <v>1</v>
      </c>
      <c r="O628" s="543">
        <v>12500</v>
      </c>
      <c r="P628" s="543">
        <v>25</v>
      </c>
      <c r="Q628" s="517"/>
      <c r="R628" s="520">
        <v>0</v>
      </c>
      <c r="S628" s="520">
        <v>0</v>
      </c>
      <c r="T628" s="520">
        <v>0</v>
      </c>
      <c r="U628" s="517"/>
      <c r="V628" s="542">
        <v>1</v>
      </c>
      <c r="W628" s="543">
        <v>12500</v>
      </c>
    </row>
    <row r="629" spans="1:23" x14ac:dyDescent="0.25">
      <c r="A629">
        <v>624</v>
      </c>
      <c r="B629" t="s">
        <v>622</v>
      </c>
      <c r="C629" t="s">
        <v>15</v>
      </c>
      <c r="D629" t="s">
        <v>16</v>
      </c>
      <c r="F629" s="520">
        <v>0</v>
      </c>
      <c r="G629" s="520">
        <v>0</v>
      </c>
      <c r="H629" s="520">
        <v>0</v>
      </c>
      <c r="I629" s="517"/>
      <c r="J629" s="520">
        <v>0</v>
      </c>
      <c r="K629" s="520">
        <v>0</v>
      </c>
      <c r="L629" s="520">
        <v>0</v>
      </c>
      <c r="M629" s="517"/>
      <c r="N629" s="542">
        <v>0</v>
      </c>
      <c r="O629" s="543">
        <v>0</v>
      </c>
      <c r="P629" s="543">
        <v>0</v>
      </c>
      <c r="Q629" s="517"/>
      <c r="R629" s="520">
        <v>0</v>
      </c>
      <c r="S629" s="520">
        <v>0</v>
      </c>
      <c r="T629" s="520">
        <v>0</v>
      </c>
      <c r="U629" s="517"/>
      <c r="V629" s="542">
        <v>0</v>
      </c>
      <c r="W629" s="543">
        <v>0</v>
      </c>
    </row>
    <row r="630" spans="1:23" x14ac:dyDescent="0.25">
      <c r="A630">
        <v>625</v>
      </c>
      <c r="B630" t="s">
        <v>623</v>
      </c>
      <c r="C630" t="s">
        <v>15</v>
      </c>
      <c r="D630" t="s">
        <v>16</v>
      </c>
      <c r="F630" s="520">
        <v>1</v>
      </c>
      <c r="G630" s="520">
        <v>5200</v>
      </c>
      <c r="H630" s="520">
        <v>25</v>
      </c>
      <c r="I630" s="517"/>
      <c r="J630" s="520">
        <v>0</v>
      </c>
      <c r="K630" s="520">
        <v>0</v>
      </c>
      <c r="L630" s="520">
        <v>0</v>
      </c>
      <c r="M630" s="517"/>
      <c r="N630" s="542">
        <v>1</v>
      </c>
      <c r="O630" s="543">
        <v>5200</v>
      </c>
      <c r="P630" s="543">
        <v>25</v>
      </c>
      <c r="Q630" s="517"/>
      <c r="R630" s="520">
        <v>0</v>
      </c>
      <c r="S630" s="520">
        <v>0</v>
      </c>
      <c r="T630" s="520">
        <v>0</v>
      </c>
      <c r="U630" s="517"/>
      <c r="V630" s="542">
        <v>1</v>
      </c>
      <c r="W630" s="543">
        <v>5200</v>
      </c>
    </row>
    <row r="631" spans="1:23" x14ac:dyDescent="0.25">
      <c r="A631">
        <v>626</v>
      </c>
      <c r="B631" t="s">
        <v>624</v>
      </c>
      <c r="C631" t="s">
        <v>18</v>
      </c>
      <c r="D631" t="s">
        <v>16</v>
      </c>
      <c r="F631" s="520">
        <v>1</v>
      </c>
      <c r="G631" s="520">
        <v>7747</v>
      </c>
      <c r="H631" s="520">
        <v>25</v>
      </c>
      <c r="I631" s="517"/>
      <c r="J631" s="520">
        <v>0</v>
      </c>
      <c r="K631" s="520">
        <v>0</v>
      </c>
      <c r="L631" s="520">
        <v>0</v>
      </c>
      <c r="M631" s="517"/>
      <c r="N631" s="542">
        <v>1</v>
      </c>
      <c r="O631" s="543">
        <v>7747</v>
      </c>
      <c r="P631" s="543">
        <v>25</v>
      </c>
      <c r="Q631" s="517"/>
      <c r="R631" s="520">
        <v>0</v>
      </c>
      <c r="S631" s="520">
        <v>0</v>
      </c>
      <c r="T631" s="520">
        <v>0</v>
      </c>
      <c r="U631" s="517"/>
      <c r="V631" s="542">
        <v>1</v>
      </c>
      <c r="W631" s="543">
        <v>7747</v>
      </c>
    </row>
    <row r="632" spans="1:23" x14ac:dyDescent="0.25">
      <c r="A632">
        <v>627</v>
      </c>
      <c r="B632" t="s">
        <v>625</v>
      </c>
      <c r="C632" t="s">
        <v>525</v>
      </c>
      <c r="D632" t="s">
        <v>16</v>
      </c>
      <c r="F632" s="520">
        <v>4</v>
      </c>
      <c r="G632" s="520">
        <v>52068</v>
      </c>
      <c r="H632" s="520">
        <v>120</v>
      </c>
      <c r="I632" s="517"/>
      <c r="J632" s="520">
        <v>0</v>
      </c>
      <c r="K632" s="520">
        <v>0</v>
      </c>
      <c r="L632" s="520">
        <v>0</v>
      </c>
      <c r="M632" s="517"/>
      <c r="N632" s="542">
        <v>4</v>
      </c>
      <c r="O632" s="543">
        <v>52068</v>
      </c>
      <c r="P632" s="543">
        <v>120</v>
      </c>
      <c r="Q632" s="517"/>
      <c r="R632" s="520">
        <v>0</v>
      </c>
      <c r="S632" s="520">
        <v>0</v>
      </c>
      <c r="T632" s="520">
        <v>0</v>
      </c>
      <c r="U632" s="517"/>
      <c r="V632" s="542">
        <v>4</v>
      </c>
      <c r="W632" s="543">
        <v>52068</v>
      </c>
    </row>
    <row r="633" spans="1:23" x14ac:dyDescent="0.25">
      <c r="A633">
        <v>628</v>
      </c>
      <c r="B633" t="s">
        <v>626</v>
      </c>
      <c r="C633" t="s">
        <v>25</v>
      </c>
      <c r="D633" t="s">
        <v>20</v>
      </c>
      <c r="F633" s="520">
        <v>0</v>
      </c>
      <c r="G633" s="520">
        <v>0</v>
      </c>
      <c r="H633" s="520">
        <v>0</v>
      </c>
      <c r="I633" s="517"/>
      <c r="J633" s="520">
        <v>0</v>
      </c>
      <c r="K633" s="520">
        <v>0</v>
      </c>
      <c r="L633" s="520">
        <v>0</v>
      </c>
      <c r="M633" s="517"/>
      <c r="N633" s="542">
        <v>0</v>
      </c>
      <c r="O633" s="543">
        <v>0</v>
      </c>
      <c r="P633" s="543">
        <v>0</v>
      </c>
      <c r="Q633" s="517"/>
      <c r="R633" s="520">
        <v>0</v>
      </c>
      <c r="S633" s="520">
        <v>0</v>
      </c>
      <c r="T633" s="520">
        <v>0</v>
      </c>
      <c r="U633" s="517"/>
      <c r="V633" s="542">
        <v>0</v>
      </c>
      <c r="W633" s="543">
        <v>0</v>
      </c>
    </row>
    <row r="634" spans="1:23" x14ac:dyDescent="0.25">
      <c r="A634">
        <v>629</v>
      </c>
      <c r="B634" t="s">
        <v>627</v>
      </c>
      <c r="C634" t="s">
        <v>24</v>
      </c>
      <c r="D634" t="s">
        <v>16</v>
      </c>
      <c r="F634" s="520">
        <v>1</v>
      </c>
      <c r="G634" s="520">
        <v>2000</v>
      </c>
      <c r="H634" s="520">
        <v>15</v>
      </c>
      <c r="I634" s="517"/>
      <c r="J634" s="520">
        <v>0</v>
      </c>
      <c r="K634" s="520">
        <v>0</v>
      </c>
      <c r="L634" s="520">
        <v>0</v>
      </c>
      <c r="M634" s="517"/>
      <c r="N634" s="542">
        <v>1</v>
      </c>
      <c r="O634" s="543">
        <v>2000</v>
      </c>
      <c r="P634" s="543">
        <v>15</v>
      </c>
      <c r="Q634" s="517"/>
      <c r="R634" s="520">
        <v>0</v>
      </c>
      <c r="S634" s="520">
        <v>0</v>
      </c>
      <c r="T634" s="520">
        <v>0</v>
      </c>
      <c r="U634" s="517"/>
      <c r="V634" s="542">
        <v>1</v>
      </c>
      <c r="W634" s="543">
        <v>2000</v>
      </c>
    </row>
    <row r="635" spans="1:23" x14ac:dyDescent="0.25">
      <c r="A635">
        <v>630</v>
      </c>
      <c r="B635" t="s">
        <v>628</v>
      </c>
      <c r="C635" t="s">
        <v>25</v>
      </c>
      <c r="D635" t="s">
        <v>16</v>
      </c>
      <c r="F635" s="520">
        <v>70</v>
      </c>
      <c r="G635" s="520">
        <v>704106.85</v>
      </c>
      <c r="H635" s="520">
        <v>700</v>
      </c>
      <c r="I635" s="517"/>
      <c r="J635" s="520">
        <v>0</v>
      </c>
      <c r="K635" s="520">
        <v>0</v>
      </c>
      <c r="L635" s="520">
        <v>0</v>
      </c>
      <c r="M635" s="517"/>
      <c r="N635" s="542">
        <v>70</v>
      </c>
      <c r="O635" s="543">
        <v>704106.85</v>
      </c>
      <c r="P635" s="543">
        <v>700</v>
      </c>
      <c r="Q635" s="517"/>
      <c r="R635" s="520">
        <v>0</v>
      </c>
      <c r="S635" s="520">
        <v>0</v>
      </c>
      <c r="T635" s="520">
        <v>0</v>
      </c>
      <c r="U635" s="517"/>
      <c r="V635" s="542">
        <v>70</v>
      </c>
      <c r="W635" s="543">
        <v>704106.85</v>
      </c>
    </row>
    <row r="636" spans="1:23" x14ac:dyDescent="0.25">
      <c r="A636">
        <v>631</v>
      </c>
      <c r="B636" t="s">
        <v>629</v>
      </c>
      <c r="D636" t="s">
        <v>16</v>
      </c>
      <c r="F636" s="520">
        <v>0</v>
      </c>
      <c r="G636" s="520">
        <v>0</v>
      </c>
      <c r="H636" s="520">
        <v>0</v>
      </c>
      <c r="I636" s="517"/>
      <c r="J636" s="520">
        <v>0</v>
      </c>
      <c r="K636" s="520">
        <v>0</v>
      </c>
      <c r="L636" s="520">
        <v>0</v>
      </c>
      <c r="M636" s="517"/>
      <c r="N636" s="542">
        <v>0</v>
      </c>
      <c r="O636" s="543">
        <v>0</v>
      </c>
      <c r="P636" s="543">
        <v>0</v>
      </c>
      <c r="Q636" s="517"/>
      <c r="R636" s="520">
        <v>0</v>
      </c>
      <c r="S636" s="520">
        <v>0</v>
      </c>
      <c r="T636" s="520">
        <v>0</v>
      </c>
      <c r="U636" s="517"/>
      <c r="V636" s="542">
        <v>0</v>
      </c>
      <c r="W636" s="543">
        <v>0</v>
      </c>
    </row>
    <row r="637" spans="1:23" x14ac:dyDescent="0.25">
      <c r="A637">
        <v>632</v>
      </c>
      <c r="B637" t="s">
        <v>630</v>
      </c>
      <c r="C637" t="s">
        <v>25</v>
      </c>
      <c r="D637" t="s">
        <v>16</v>
      </c>
      <c r="F637" s="520">
        <v>0</v>
      </c>
      <c r="G637" s="520">
        <v>0</v>
      </c>
      <c r="H637" s="520">
        <v>0</v>
      </c>
      <c r="I637" s="517"/>
      <c r="J637" s="520">
        <v>0</v>
      </c>
      <c r="K637" s="520">
        <v>0</v>
      </c>
      <c r="L637" s="520">
        <v>0</v>
      </c>
      <c r="M637" s="517"/>
      <c r="N637" s="542">
        <v>0</v>
      </c>
      <c r="O637" s="543">
        <v>0</v>
      </c>
      <c r="P637" s="543">
        <v>0</v>
      </c>
      <c r="Q637" s="517"/>
      <c r="R637" s="520">
        <v>0</v>
      </c>
      <c r="S637" s="520">
        <v>0</v>
      </c>
      <c r="T637" s="520">
        <v>0</v>
      </c>
      <c r="U637" s="517"/>
      <c r="V637" s="542">
        <v>0</v>
      </c>
      <c r="W637" s="543">
        <v>0</v>
      </c>
    </row>
    <row r="638" spans="1:23" x14ac:dyDescent="0.25">
      <c r="A638">
        <v>633</v>
      </c>
      <c r="B638" t="s">
        <v>636</v>
      </c>
      <c r="F638" s="520">
        <v>0</v>
      </c>
      <c r="G638" s="520">
        <v>0</v>
      </c>
      <c r="H638" s="520">
        <v>0</v>
      </c>
      <c r="I638" s="517"/>
      <c r="J638" s="520">
        <v>0</v>
      </c>
      <c r="K638" s="520">
        <v>0</v>
      </c>
      <c r="L638" s="520">
        <v>0</v>
      </c>
      <c r="M638" s="517"/>
      <c r="N638" s="542">
        <v>0</v>
      </c>
      <c r="O638" s="543">
        <v>0</v>
      </c>
      <c r="P638" s="543">
        <v>0</v>
      </c>
      <c r="Q638" s="517"/>
      <c r="R638" s="520">
        <v>0</v>
      </c>
      <c r="S638" s="520">
        <v>0</v>
      </c>
      <c r="T638" s="520">
        <v>0</v>
      </c>
      <c r="U638" s="517"/>
      <c r="V638" s="542">
        <v>0</v>
      </c>
      <c r="W638" s="543">
        <v>0</v>
      </c>
    </row>
    <row r="639" spans="1:23" x14ac:dyDescent="0.25">
      <c r="A639">
        <v>634</v>
      </c>
      <c r="B639" t="s">
        <v>631</v>
      </c>
      <c r="C639" t="s">
        <v>18</v>
      </c>
      <c r="D639" t="s">
        <v>16</v>
      </c>
      <c r="F639" s="520">
        <v>0</v>
      </c>
      <c r="G639" s="520">
        <v>0</v>
      </c>
      <c r="H639" s="520">
        <v>0</v>
      </c>
      <c r="I639" s="517"/>
      <c r="J639" s="520">
        <v>0</v>
      </c>
      <c r="K639" s="520">
        <v>0</v>
      </c>
      <c r="L639" s="520">
        <v>0</v>
      </c>
      <c r="M639" s="517"/>
      <c r="N639" s="542">
        <v>0</v>
      </c>
      <c r="O639" s="543">
        <v>0</v>
      </c>
      <c r="P639" s="543">
        <v>0</v>
      </c>
      <c r="Q639" s="517"/>
      <c r="R639" s="520">
        <v>0</v>
      </c>
      <c r="S639" s="520">
        <v>0</v>
      </c>
      <c r="T639" s="520">
        <v>0</v>
      </c>
      <c r="U639" s="517"/>
      <c r="V639" s="542">
        <v>0</v>
      </c>
      <c r="W639" s="543">
        <v>0</v>
      </c>
    </row>
    <row r="640" spans="1:23" x14ac:dyDescent="0.25">
      <c r="A640">
        <v>635</v>
      </c>
      <c r="B640" t="s">
        <v>642</v>
      </c>
      <c r="C640" t="s">
        <v>15</v>
      </c>
      <c r="D640" t="s">
        <v>16</v>
      </c>
      <c r="F640" s="520">
        <v>0</v>
      </c>
      <c r="G640" s="520">
        <v>0</v>
      </c>
      <c r="H640" s="520">
        <v>0</v>
      </c>
      <c r="I640" s="517"/>
      <c r="J640" s="520">
        <v>0</v>
      </c>
      <c r="K640" s="520">
        <v>0</v>
      </c>
      <c r="L640" s="520">
        <v>0</v>
      </c>
      <c r="M640" s="517"/>
      <c r="N640" s="542">
        <v>0</v>
      </c>
      <c r="O640" s="543">
        <v>0</v>
      </c>
      <c r="P640" s="543">
        <v>0</v>
      </c>
      <c r="Q640" s="517"/>
      <c r="R640" s="520">
        <v>0</v>
      </c>
      <c r="S640" s="520">
        <v>0</v>
      </c>
      <c r="T640" s="520">
        <v>0</v>
      </c>
      <c r="U640" s="517"/>
      <c r="V640" s="542">
        <v>0</v>
      </c>
      <c r="W640" s="543">
        <v>0</v>
      </c>
    </row>
    <row r="641" spans="1:23" x14ac:dyDescent="0.25">
      <c r="A641">
        <v>636</v>
      </c>
      <c r="B641" t="s">
        <v>632</v>
      </c>
      <c r="C641" t="s">
        <v>15</v>
      </c>
      <c r="D641" t="s">
        <v>16</v>
      </c>
      <c r="F641" s="520">
        <v>0</v>
      </c>
      <c r="G641" s="520">
        <v>0</v>
      </c>
      <c r="H641" s="520">
        <v>0</v>
      </c>
      <c r="I641" s="517"/>
      <c r="J641" s="520">
        <v>0</v>
      </c>
      <c r="K641" s="520">
        <v>0</v>
      </c>
      <c r="L641" s="520">
        <v>0</v>
      </c>
      <c r="M641" s="517"/>
      <c r="N641" s="542">
        <v>0</v>
      </c>
      <c r="O641" s="543">
        <v>0</v>
      </c>
      <c r="P641" s="543">
        <v>0</v>
      </c>
      <c r="Q641" s="517"/>
      <c r="R641" s="520">
        <v>0</v>
      </c>
      <c r="S641" s="520">
        <v>0</v>
      </c>
      <c r="T641" s="520">
        <v>0</v>
      </c>
      <c r="U641" s="517"/>
      <c r="V641" s="542">
        <v>0</v>
      </c>
      <c r="W641" s="543">
        <v>0</v>
      </c>
    </row>
    <row r="642" spans="1:23" x14ac:dyDescent="0.25">
      <c r="A642">
        <v>637</v>
      </c>
      <c r="B642" t="s">
        <v>633</v>
      </c>
      <c r="C642" t="s">
        <v>15</v>
      </c>
      <c r="D642" t="s">
        <v>16</v>
      </c>
      <c r="F642" s="520">
        <v>3</v>
      </c>
      <c r="G642" s="520">
        <v>191500</v>
      </c>
      <c r="H642" s="520">
        <v>225</v>
      </c>
      <c r="I642" s="517"/>
      <c r="J642" s="520">
        <v>0</v>
      </c>
      <c r="K642" s="520">
        <v>0</v>
      </c>
      <c r="L642" s="520">
        <v>0</v>
      </c>
      <c r="M642" s="517"/>
      <c r="N642" s="542">
        <v>3</v>
      </c>
      <c r="O642" s="543">
        <v>191500</v>
      </c>
      <c r="P642" s="543">
        <v>225</v>
      </c>
      <c r="Q642" s="517"/>
      <c r="R642" s="520">
        <v>0</v>
      </c>
      <c r="S642" s="520">
        <v>0</v>
      </c>
      <c r="T642" s="520">
        <v>0</v>
      </c>
      <c r="U642" s="517"/>
      <c r="V642" s="542">
        <v>3</v>
      </c>
      <c r="W642" s="543">
        <v>191500</v>
      </c>
    </row>
    <row r="643" spans="1:23" x14ac:dyDescent="0.25">
      <c r="A643">
        <v>638</v>
      </c>
      <c r="B643" t="s">
        <v>634</v>
      </c>
      <c r="C643" t="s">
        <v>39</v>
      </c>
      <c r="D643" t="s">
        <v>16</v>
      </c>
      <c r="F643" s="520">
        <v>2</v>
      </c>
      <c r="G643" s="520">
        <v>1243.3699999999999</v>
      </c>
      <c r="H643" s="520">
        <v>20</v>
      </c>
      <c r="I643" s="517"/>
      <c r="J643" s="520">
        <v>0</v>
      </c>
      <c r="K643" s="520">
        <v>0</v>
      </c>
      <c r="L643" s="520">
        <v>0</v>
      </c>
      <c r="M643" s="517"/>
      <c r="N643" s="542">
        <v>2</v>
      </c>
      <c r="O643" s="543">
        <v>1243.3699999999999</v>
      </c>
      <c r="P643" s="543">
        <v>20</v>
      </c>
      <c r="Q643" s="517"/>
      <c r="R643" s="520">
        <v>0</v>
      </c>
      <c r="S643" s="520">
        <v>0</v>
      </c>
      <c r="T643" s="520">
        <v>0</v>
      </c>
      <c r="U643" s="517"/>
      <c r="V643" s="542">
        <v>2</v>
      </c>
      <c r="W643" s="543">
        <v>1243.3699999999999</v>
      </c>
    </row>
    <row r="644" spans="1:23" x14ac:dyDescent="0.25">
      <c r="A644">
        <v>639</v>
      </c>
      <c r="B644" t="s">
        <v>635</v>
      </c>
      <c r="D644" t="s">
        <v>20</v>
      </c>
      <c r="F644" s="520">
        <v>11</v>
      </c>
      <c r="G644" s="520">
        <v>403557</v>
      </c>
      <c r="H644" s="520">
        <v>475</v>
      </c>
      <c r="I644" s="517"/>
      <c r="J644" s="520">
        <v>0</v>
      </c>
      <c r="K644" s="520">
        <v>0</v>
      </c>
      <c r="L644" s="520">
        <v>0</v>
      </c>
      <c r="M644" s="517"/>
      <c r="N644" s="542">
        <v>11</v>
      </c>
      <c r="O644" s="543">
        <v>403557</v>
      </c>
      <c r="P644" s="543">
        <v>475</v>
      </c>
      <c r="Q644" s="517"/>
      <c r="R644" s="520">
        <v>0</v>
      </c>
      <c r="S644" s="520">
        <v>0</v>
      </c>
      <c r="T644" s="520">
        <v>0</v>
      </c>
      <c r="U644" s="517"/>
      <c r="V644" s="542">
        <v>11</v>
      </c>
      <c r="W644" s="543">
        <v>403557</v>
      </c>
    </row>
    <row r="645" spans="1:23" x14ac:dyDescent="0.25">
      <c r="A645">
        <v>640</v>
      </c>
      <c r="B645" t="s">
        <v>637</v>
      </c>
      <c r="C645" t="s">
        <v>25</v>
      </c>
      <c r="D645" t="s">
        <v>369</v>
      </c>
      <c r="F645" s="520">
        <v>2133</v>
      </c>
      <c r="G645" s="520">
        <v>6405491.1900000004</v>
      </c>
      <c r="H645" s="520">
        <v>19197</v>
      </c>
      <c r="I645" s="517"/>
      <c r="J645" s="520">
        <v>0</v>
      </c>
      <c r="K645" s="520">
        <v>0</v>
      </c>
      <c r="L645" s="520">
        <v>0</v>
      </c>
      <c r="M645" s="517"/>
      <c r="N645" s="542">
        <v>2133</v>
      </c>
      <c r="O645" s="543">
        <v>6405491.1900000004</v>
      </c>
      <c r="P645" s="543">
        <v>19197</v>
      </c>
      <c r="Q645" s="517"/>
      <c r="R645" s="520">
        <v>0</v>
      </c>
      <c r="S645" s="520">
        <v>0</v>
      </c>
      <c r="T645" s="520">
        <v>0</v>
      </c>
      <c r="U645" s="517"/>
      <c r="V645" s="542">
        <v>2133</v>
      </c>
      <c r="W645" s="543">
        <v>6405491.1900000004</v>
      </c>
    </row>
    <row r="646" spans="1:23" x14ac:dyDescent="0.25">
      <c r="A646">
        <v>641</v>
      </c>
      <c r="B646" t="s">
        <v>2431</v>
      </c>
      <c r="C646" t="s">
        <v>41</v>
      </c>
      <c r="D646" t="s">
        <v>20</v>
      </c>
      <c r="F646" s="520">
        <v>17</v>
      </c>
      <c r="G646" s="520">
        <v>2150000</v>
      </c>
      <c r="H646" s="520">
        <v>2150</v>
      </c>
      <c r="I646" s="517"/>
      <c r="J646" s="520">
        <v>0</v>
      </c>
      <c r="K646" s="520">
        <v>0</v>
      </c>
      <c r="L646" s="520">
        <v>0</v>
      </c>
      <c r="M646" s="517"/>
      <c r="N646" s="542">
        <v>17</v>
      </c>
      <c r="O646" s="543">
        <v>2150000</v>
      </c>
      <c r="P646" s="543">
        <v>2150</v>
      </c>
      <c r="Q646" s="517"/>
      <c r="R646" s="520">
        <v>0</v>
      </c>
      <c r="S646" s="520">
        <v>0</v>
      </c>
      <c r="T646" s="520">
        <v>0</v>
      </c>
      <c r="U646" s="517"/>
      <c r="V646" s="542">
        <v>17</v>
      </c>
      <c r="W646" s="543">
        <v>2150000</v>
      </c>
    </row>
    <row r="647" spans="1:23" x14ac:dyDescent="0.25">
      <c r="A647">
        <v>642</v>
      </c>
      <c r="B647" t="s">
        <v>638</v>
      </c>
      <c r="C647" t="s">
        <v>15</v>
      </c>
      <c r="D647" t="s">
        <v>16</v>
      </c>
      <c r="F647" s="520">
        <v>1</v>
      </c>
      <c r="G647" s="520">
        <v>10000</v>
      </c>
      <c r="H647" s="520">
        <v>30</v>
      </c>
      <c r="I647" s="517"/>
      <c r="J647" s="520">
        <v>0</v>
      </c>
      <c r="K647" s="520">
        <v>0</v>
      </c>
      <c r="L647" s="520">
        <v>0</v>
      </c>
      <c r="M647" s="517"/>
      <c r="N647" s="542">
        <v>1</v>
      </c>
      <c r="O647" s="543">
        <v>10000</v>
      </c>
      <c r="P647" s="543">
        <v>30</v>
      </c>
      <c r="Q647" s="517"/>
      <c r="R647" s="520">
        <v>0</v>
      </c>
      <c r="S647" s="520">
        <v>0</v>
      </c>
      <c r="T647" s="520">
        <v>0</v>
      </c>
      <c r="U647" s="517"/>
      <c r="V647" s="542">
        <v>1</v>
      </c>
      <c r="W647" s="543">
        <v>10000</v>
      </c>
    </row>
    <row r="648" spans="1:23" x14ac:dyDescent="0.25">
      <c r="A648">
        <v>643</v>
      </c>
      <c r="B648" t="s">
        <v>639</v>
      </c>
      <c r="C648" t="s">
        <v>154</v>
      </c>
      <c r="D648" t="s">
        <v>45</v>
      </c>
      <c r="F648" s="520">
        <v>5</v>
      </c>
      <c r="G648" s="520">
        <v>7300</v>
      </c>
      <c r="H648" s="520">
        <v>75</v>
      </c>
      <c r="I648" s="517"/>
      <c r="J648" s="520">
        <v>0</v>
      </c>
      <c r="K648" s="520">
        <v>0</v>
      </c>
      <c r="L648" s="520">
        <v>0</v>
      </c>
      <c r="M648" s="517"/>
      <c r="N648" s="542">
        <v>5</v>
      </c>
      <c r="O648" s="543">
        <v>7300</v>
      </c>
      <c r="P648" s="543">
        <v>75</v>
      </c>
      <c r="Q648" s="517"/>
      <c r="R648" s="520">
        <v>0</v>
      </c>
      <c r="S648" s="520">
        <v>0</v>
      </c>
      <c r="T648" s="520">
        <v>0</v>
      </c>
      <c r="U648" s="517"/>
      <c r="V648" s="542">
        <v>5</v>
      </c>
      <c r="W648" s="543">
        <v>7300</v>
      </c>
    </row>
    <row r="649" spans="1:23" x14ac:dyDescent="0.25">
      <c r="A649">
        <v>644</v>
      </c>
      <c r="B649" t="s">
        <v>640</v>
      </c>
      <c r="C649" t="s">
        <v>136</v>
      </c>
      <c r="D649" t="s">
        <v>16</v>
      </c>
      <c r="F649" s="520">
        <v>0</v>
      </c>
      <c r="G649" s="520">
        <v>0</v>
      </c>
      <c r="H649" s="520">
        <v>0</v>
      </c>
      <c r="I649" s="517"/>
      <c r="J649" s="520">
        <v>0</v>
      </c>
      <c r="K649" s="520">
        <v>0</v>
      </c>
      <c r="L649" s="520">
        <v>0</v>
      </c>
      <c r="M649" s="517"/>
      <c r="N649" s="542">
        <v>0</v>
      </c>
      <c r="O649" s="543">
        <v>0</v>
      </c>
      <c r="P649" s="543">
        <v>0</v>
      </c>
      <c r="Q649" s="517"/>
      <c r="R649" s="520">
        <v>0</v>
      </c>
      <c r="S649" s="520">
        <v>0</v>
      </c>
      <c r="T649" s="520">
        <v>0</v>
      </c>
      <c r="U649" s="517"/>
      <c r="V649" s="542">
        <v>0</v>
      </c>
      <c r="W649" s="543">
        <v>0</v>
      </c>
    </row>
    <row r="650" spans="1:23" x14ac:dyDescent="0.25">
      <c r="A650">
        <v>645</v>
      </c>
      <c r="B650" t="s">
        <v>641</v>
      </c>
      <c r="C650" t="s">
        <v>18</v>
      </c>
      <c r="D650" t="s">
        <v>16</v>
      </c>
      <c r="F650" s="520">
        <v>12</v>
      </c>
      <c r="G650" s="520">
        <v>172962</v>
      </c>
      <c r="H650" s="520">
        <v>700</v>
      </c>
      <c r="I650" s="517"/>
      <c r="J650" s="520">
        <v>0</v>
      </c>
      <c r="K650" s="520">
        <v>0</v>
      </c>
      <c r="L650" s="520">
        <v>0</v>
      </c>
      <c r="M650" s="517"/>
      <c r="N650" s="542">
        <v>12</v>
      </c>
      <c r="O650" s="543">
        <v>172962</v>
      </c>
      <c r="P650" s="543">
        <v>700</v>
      </c>
      <c r="Q650" s="517"/>
      <c r="R650" s="520">
        <v>0</v>
      </c>
      <c r="S650" s="520">
        <v>0</v>
      </c>
      <c r="T650" s="520">
        <v>0</v>
      </c>
      <c r="U650" s="517"/>
      <c r="V650" s="542">
        <v>12</v>
      </c>
      <c r="W650" s="543">
        <v>172962</v>
      </c>
    </row>
    <row r="651" spans="1:23" x14ac:dyDescent="0.25">
      <c r="A651">
        <v>646</v>
      </c>
      <c r="B651" t="s">
        <v>643</v>
      </c>
      <c r="C651" t="s">
        <v>15</v>
      </c>
      <c r="D651" t="s">
        <v>16</v>
      </c>
      <c r="F651" s="520">
        <v>0</v>
      </c>
      <c r="G651" s="520">
        <v>0</v>
      </c>
      <c r="H651" s="520">
        <v>0</v>
      </c>
      <c r="I651" s="517"/>
      <c r="J651" s="520">
        <v>0</v>
      </c>
      <c r="K651" s="520">
        <v>0</v>
      </c>
      <c r="L651" s="520">
        <v>0</v>
      </c>
      <c r="M651" s="517"/>
      <c r="N651" s="542">
        <v>0</v>
      </c>
      <c r="O651" s="543">
        <v>0</v>
      </c>
      <c r="P651" s="543">
        <v>0</v>
      </c>
      <c r="Q651" s="517"/>
      <c r="R651" s="520">
        <v>0</v>
      </c>
      <c r="S651" s="520">
        <v>0</v>
      </c>
      <c r="T651" s="520">
        <v>0</v>
      </c>
      <c r="U651" s="517"/>
      <c r="V651" s="542">
        <v>0</v>
      </c>
      <c r="W651" s="543">
        <v>0</v>
      </c>
    </row>
    <row r="652" spans="1:23" x14ac:dyDescent="0.25">
      <c r="A652">
        <v>647</v>
      </c>
      <c r="B652" t="s">
        <v>644</v>
      </c>
      <c r="C652" t="s">
        <v>15</v>
      </c>
      <c r="D652" t="s">
        <v>16</v>
      </c>
      <c r="F652" s="520">
        <v>0</v>
      </c>
      <c r="G652" s="520">
        <v>0</v>
      </c>
      <c r="H652" s="520">
        <v>0</v>
      </c>
      <c r="I652" s="517"/>
      <c r="J652" s="520">
        <v>0</v>
      </c>
      <c r="K652" s="520">
        <v>0</v>
      </c>
      <c r="L652" s="520">
        <v>0</v>
      </c>
      <c r="M652" s="517"/>
      <c r="N652" s="542">
        <v>0</v>
      </c>
      <c r="O652" s="543">
        <v>0</v>
      </c>
      <c r="P652" s="543">
        <v>0</v>
      </c>
      <c r="Q652" s="517"/>
      <c r="R652" s="520">
        <v>0</v>
      </c>
      <c r="S652" s="520">
        <v>0</v>
      </c>
      <c r="T652" s="520">
        <v>0</v>
      </c>
      <c r="U652" s="517"/>
      <c r="V652" s="542">
        <v>0</v>
      </c>
      <c r="W652" s="543">
        <v>0</v>
      </c>
    </row>
    <row r="653" spans="1:23" x14ac:dyDescent="0.25">
      <c r="A653">
        <v>648</v>
      </c>
      <c r="B653" t="s">
        <v>645</v>
      </c>
      <c r="D653" t="s">
        <v>20</v>
      </c>
      <c r="F653" s="520">
        <v>0</v>
      </c>
      <c r="G653" s="520">
        <v>0</v>
      </c>
      <c r="H653" s="520">
        <v>0</v>
      </c>
      <c r="I653" s="517"/>
      <c r="J653" s="520">
        <v>0</v>
      </c>
      <c r="K653" s="520">
        <v>0</v>
      </c>
      <c r="L653" s="520">
        <v>0</v>
      </c>
      <c r="M653" s="517"/>
      <c r="N653" s="542">
        <v>0</v>
      </c>
      <c r="O653" s="543">
        <v>0</v>
      </c>
      <c r="P653" s="543">
        <v>0</v>
      </c>
      <c r="Q653" s="517"/>
      <c r="R653" s="520">
        <v>0</v>
      </c>
      <c r="S653" s="520">
        <v>0</v>
      </c>
      <c r="T653" s="520">
        <v>0</v>
      </c>
      <c r="U653" s="517"/>
      <c r="V653" s="542">
        <v>0</v>
      </c>
      <c r="W653" s="543">
        <v>0</v>
      </c>
    </row>
    <row r="654" spans="1:23" x14ac:dyDescent="0.25">
      <c r="A654">
        <v>649</v>
      </c>
      <c r="B654" t="s">
        <v>646</v>
      </c>
      <c r="C654" t="s">
        <v>18</v>
      </c>
      <c r="D654" t="s">
        <v>20</v>
      </c>
      <c r="F654" s="520">
        <v>11</v>
      </c>
      <c r="G654" s="520">
        <v>245986.55</v>
      </c>
      <c r="H654" s="520">
        <v>550</v>
      </c>
      <c r="I654" s="517"/>
      <c r="J654" s="520">
        <v>0</v>
      </c>
      <c r="K654" s="520">
        <v>0</v>
      </c>
      <c r="L654" s="520">
        <v>0</v>
      </c>
      <c r="M654" s="517"/>
      <c r="N654" s="542">
        <v>11</v>
      </c>
      <c r="O654" s="543">
        <v>245986.55</v>
      </c>
      <c r="P654" s="543">
        <v>550</v>
      </c>
      <c r="Q654" s="517"/>
      <c r="R654" s="520">
        <v>0</v>
      </c>
      <c r="S654" s="520">
        <v>0</v>
      </c>
      <c r="T654" s="520">
        <v>0</v>
      </c>
      <c r="U654" s="517"/>
      <c r="V654" s="542">
        <v>11</v>
      </c>
      <c r="W654" s="543">
        <v>245986.55</v>
      </c>
    </row>
    <row r="655" spans="1:23" x14ac:dyDescent="0.25">
      <c r="A655">
        <v>650</v>
      </c>
      <c r="B655" t="s">
        <v>647</v>
      </c>
      <c r="C655" t="s">
        <v>18</v>
      </c>
      <c r="D655" t="s">
        <v>20</v>
      </c>
      <c r="F655" s="520">
        <v>11</v>
      </c>
      <c r="G655" s="520">
        <v>180744.47999999998</v>
      </c>
      <c r="H655" s="520">
        <v>550</v>
      </c>
      <c r="I655" s="517"/>
      <c r="J655" s="520">
        <v>0</v>
      </c>
      <c r="K655" s="520">
        <v>0</v>
      </c>
      <c r="L655" s="520">
        <v>0</v>
      </c>
      <c r="M655" s="517"/>
      <c r="N655" s="542">
        <v>11</v>
      </c>
      <c r="O655" s="543">
        <v>180744.47999999998</v>
      </c>
      <c r="P655" s="543">
        <v>550</v>
      </c>
      <c r="Q655" s="517"/>
      <c r="R655" s="520">
        <v>0</v>
      </c>
      <c r="S655" s="520">
        <v>0</v>
      </c>
      <c r="T655" s="520">
        <v>0</v>
      </c>
      <c r="U655" s="517"/>
      <c r="V655" s="542">
        <v>11</v>
      </c>
      <c r="W655" s="543">
        <v>180744.47999999998</v>
      </c>
    </row>
    <row r="656" spans="1:23" x14ac:dyDescent="0.25">
      <c r="A656">
        <v>651</v>
      </c>
      <c r="B656" t="s">
        <v>2432</v>
      </c>
      <c r="C656" t="s">
        <v>18</v>
      </c>
      <c r="D656" t="s">
        <v>16</v>
      </c>
      <c r="F656" s="520">
        <v>0</v>
      </c>
      <c r="G656" s="520">
        <v>0</v>
      </c>
      <c r="H656" s="520">
        <v>0</v>
      </c>
      <c r="I656" s="517"/>
      <c r="J656" s="520">
        <v>0</v>
      </c>
      <c r="K656" s="520">
        <v>0</v>
      </c>
      <c r="L656" s="520">
        <v>0</v>
      </c>
      <c r="M656" s="517"/>
      <c r="N656" s="542">
        <v>0</v>
      </c>
      <c r="O656" s="543">
        <v>0</v>
      </c>
      <c r="P656" s="543">
        <v>0</v>
      </c>
      <c r="Q656" s="517"/>
      <c r="R656" s="520">
        <v>0</v>
      </c>
      <c r="S656" s="520">
        <v>0</v>
      </c>
      <c r="T656" s="520">
        <v>0</v>
      </c>
      <c r="U656" s="517"/>
      <c r="V656" s="542">
        <v>0</v>
      </c>
      <c r="W656" s="543">
        <v>0</v>
      </c>
    </row>
    <row r="657" spans="1:23" x14ac:dyDescent="0.25">
      <c r="A657">
        <v>652</v>
      </c>
      <c r="B657" t="s">
        <v>648</v>
      </c>
      <c r="C657" t="s">
        <v>355</v>
      </c>
      <c r="D657" t="s">
        <v>16</v>
      </c>
      <c r="F657" s="520">
        <v>14</v>
      </c>
      <c r="G657" s="520">
        <v>7508.07</v>
      </c>
      <c r="H657" s="520">
        <v>112</v>
      </c>
      <c r="I657" s="517"/>
      <c r="J657" s="520">
        <v>0</v>
      </c>
      <c r="K657" s="520">
        <v>0</v>
      </c>
      <c r="L657" s="520">
        <v>0</v>
      </c>
      <c r="M657" s="517"/>
      <c r="N657" s="542">
        <v>14</v>
      </c>
      <c r="O657" s="543">
        <v>7508.07</v>
      </c>
      <c r="P657" s="543">
        <v>112</v>
      </c>
      <c r="Q657" s="517"/>
      <c r="R657" s="520">
        <v>0</v>
      </c>
      <c r="S657" s="520">
        <v>0</v>
      </c>
      <c r="T657" s="520">
        <v>0</v>
      </c>
      <c r="U657" s="517"/>
      <c r="V657" s="542">
        <v>14</v>
      </c>
      <c r="W657" s="543">
        <v>7508.07</v>
      </c>
    </row>
    <row r="658" spans="1:23" x14ac:dyDescent="0.25">
      <c r="A658">
        <v>653</v>
      </c>
      <c r="B658" t="s">
        <v>649</v>
      </c>
      <c r="C658" t="s">
        <v>24</v>
      </c>
      <c r="D658" t="s">
        <v>16</v>
      </c>
      <c r="F658" s="520">
        <v>138</v>
      </c>
      <c r="G658" s="520">
        <v>230173.30999999997</v>
      </c>
      <c r="H658" s="520">
        <v>1380</v>
      </c>
      <c r="I658" s="517"/>
      <c r="J658" s="520">
        <v>0</v>
      </c>
      <c r="K658" s="520">
        <v>0</v>
      </c>
      <c r="L658" s="520">
        <v>0</v>
      </c>
      <c r="M658" s="517"/>
      <c r="N658" s="542">
        <v>138</v>
      </c>
      <c r="O658" s="543">
        <v>230173.30999999997</v>
      </c>
      <c r="P658" s="543">
        <v>1380</v>
      </c>
      <c r="Q658" s="517"/>
      <c r="R658" s="520">
        <v>0</v>
      </c>
      <c r="S658" s="520">
        <v>0</v>
      </c>
      <c r="T658" s="520">
        <v>0</v>
      </c>
      <c r="U658" s="517"/>
      <c r="V658" s="542">
        <v>138</v>
      </c>
      <c r="W658" s="543">
        <v>230173.30999999997</v>
      </c>
    </row>
    <row r="659" spans="1:23" x14ac:dyDescent="0.25">
      <c r="A659">
        <v>654</v>
      </c>
      <c r="B659" t="s">
        <v>650</v>
      </c>
      <c r="C659" t="s">
        <v>366</v>
      </c>
      <c r="D659" t="s">
        <v>20</v>
      </c>
      <c r="F659" s="520">
        <v>6</v>
      </c>
      <c r="G659" s="520">
        <v>58446.1</v>
      </c>
      <c r="H659" s="520">
        <v>300</v>
      </c>
      <c r="I659" s="517"/>
      <c r="J659" s="520">
        <v>0</v>
      </c>
      <c r="K659" s="520">
        <v>0</v>
      </c>
      <c r="L659" s="520">
        <v>0</v>
      </c>
      <c r="M659" s="517"/>
      <c r="N659" s="542">
        <v>6</v>
      </c>
      <c r="O659" s="543">
        <v>58446.1</v>
      </c>
      <c r="P659" s="543">
        <v>300</v>
      </c>
      <c r="Q659" s="517"/>
      <c r="R659" s="520">
        <v>0</v>
      </c>
      <c r="S659" s="520">
        <v>0</v>
      </c>
      <c r="T659" s="520">
        <v>0</v>
      </c>
      <c r="U659" s="517"/>
      <c r="V659" s="542">
        <v>6</v>
      </c>
      <c r="W659" s="543">
        <v>58446.1</v>
      </c>
    </row>
    <row r="660" spans="1:23" x14ac:dyDescent="0.25">
      <c r="A660">
        <v>655</v>
      </c>
      <c r="B660" t="s">
        <v>651</v>
      </c>
      <c r="C660" t="s">
        <v>15</v>
      </c>
      <c r="D660" t="s">
        <v>16</v>
      </c>
      <c r="F660" s="520">
        <v>0</v>
      </c>
      <c r="G660" s="520">
        <v>0</v>
      </c>
      <c r="H660" s="520">
        <v>0</v>
      </c>
      <c r="I660" s="517"/>
      <c r="J660" s="520">
        <v>0</v>
      </c>
      <c r="K660" s="520">
        <v>0</v>
      </c>
      <c r="L660" s="520">
        <v>0</v>
      </c>
      <c r="M660" s="517"/>
      <c r="N660" s="542">
        <v>0</v>
      </c>
      <c r="O660" s="543">
        <v>0</v>
      </c>
      <c r="P660" s="543">
        <v>0</v>
      </c>
      <c r="Q660" s="517"/>
      <c r="R660" s="520">
        <v>0</v>
      </c>
      <c r="S660" s="520">
        <v>0</v>
      </c>
      <c r="T660" s="520">
        <v>0</v>
      </c>
      <c r="U660" s="517"/>
      <c r="V660" s="542">
        <v>0</v>
      </c>
      <c r="W660" s="543">
        <v>0</v>
      </c>
    </row>
    <row r="661" spans="1:23" x14ac:dyDescent="0.25">
      <c r="A661">
        <v>656</v>
      </c>
      <c r="B661" t="s">
        <v>652</v>
      </c>
      <c r="C661" t="s">
        <v>154</v>
      </c>
      <c r="D661" t="s">
        <v>16</v>
      </c>
      <c r="F661" s="520">
        <v>0</v>
      </c>
      <c r="G661" s="520">
        <v>0</v>
      </c>
      <c r="H661" s="520">
        <v>0</v>
      </c>
      <c r="I661" s="517"/>
      <c r="J661" s="520">
        <v>0</v>
      </c>
      <c r="K661" s="520">
        <v>0</v>
      </c>
      <c r="L661" s="520">
        <v>0</v>
      </c>
      <c r="M661" s="517"/>
      <c r="N661" s="542">
        <v>0</v>
      </c>
      <c r="O661" s="543">
        <v>0</v>
      </c>
      <c r="P661" s="543">
        <v>0</v>
      </c>
      <c r="Q661" s="517"/>
      <c r="R661" s="520">
        <v>0</v>
      </c>
      <c r="S661" s="520">
        <v>0</v>
      </c>
      <c r="T661" s="520">
        <v>0</v>
      </c>
      <c r="U661" s="517"/>
      <c r="V661" s="542">
        <v>0</v>
      </c>
      <c r="W661" s="543">
        <v>0</v>
      </c>
    </row>
    <row r="662" spans="1:23" x14ac:dyDescent="0.25">
      <c r="A662">
        <v>657</v>
      </c>
      <c r="B662" t="s">
        <v>653</v>
      </c>
      <c r="C662" t="s">
        <v>18</v>
      </c>
      <c r="D662" t="s">
        <v>16</v>
      </c>
      <c r="F662" s="520">
        <v>0</v>
      </c>
      <c r="G662" s="520">
        <v>0</v>
      </c>
      <c r="H662" s="520">
        <v>0</v>
      </c>
      <c r="I662" s="517"/>
      <c r="J662" s="520">
        <v>0</v>
      </c>
      <c r="K662" s="520">
        <v>0</v>
      </c>
      <c r="L662" s="520">
        <v>0</v>
      </c>
      <c r="M662" s="517"/>
      <c r="N662" s="542">
        <v>0</v>
      </c>
      <c r="O662" s="543">
        <v>0</v>
      </c>
      <c r="P662" s="543">
        <v>0</v>
      </c>
      <c r="Q662" s="517"/>
      <c r="R662" s="520">
        <v>0</v>
      </c>
      <c r="S662" s="520">
        <v>0</v>
      </c>
      <c r="T662" s="520">
        <v>0</v>
      </c>
      <c r="U662" s="517"/>
      <c r="V662" s="542">
        <v>0</v>
      </c>
      <c r="W662" s="543">
        <v>0</v>
      </c>
    </row>
    <row r="663" spans="1:23" x14ac:dyDescent="0.25">
      <c r="A663">
        <v>658</v>
      </c>
      <c r="B663" t="s">
        <v>654</v>
      </c>
      <c r="C663" t="s">
        <v>25</v>
      </c>
      <c r="D663" t="s">
        <v>40</v>
      </c>
      <c r="F663" s="520">
        <v>43</v>
      </c>
      <c r="G663" s="520">
        <v>66925</v>
      </c>
      <c r="H663" s="520">
        <v>0</v>
      </c>
      <c r="I663" s="517"/>
      <c r="J663" s="520">
        <v>0</v>
      </c>
      <c r="K663" s="520">
        <v>0</v>
      </c>
      <c r="L663" s="520">
        <v>0</v>
      </c>
      <c r="M663" s="517"/>
      <c r="N663" s="542">
        <v>43</v>
      </c>
      <c r="O663" s="543">
        <v>66925</v>
      </c>
      <c r="P663" s="543">
        <v>0</v>
      </c>
      <c r="Q663" s="517"/>
      <c r="R663" s="520">
        <v>0</v>
      </c>
      <c r="S663" s="520">
        <v>0</v>
      </c>
      <c r="T663" s="520">
        <v>0</v>
      </c>
      <c r="U663" s="517"/>
      <c r="V663" s="542">
        <v>43</v>
      </c>
      <c r="W663" s="543">
        <v>66925</v>
      </c>
    </row>
    <row r="664" spans="1:23" x14ac:dyDescent="0.25">
      <c r="A664">
        <v>659</v>
      </c>
      <c r="B664" t="s">
        <v>655</v>
      </c>
      <c r="C664" t="s">
        <v>24</v>
      </c>
      <c r="D664" t="s">
        <v>20</v>
      </c>
      <c r="F664" s="520">
        <v>4</v>
      </c>
      <c r="G664" s="520">
        <v>2711.95</v>
      </c>
      <c r="H664" s="520">
        <v>140</v>
      </c>
      <c r="I664" s="517"/>
      <c r="J664" s="520">
        <v>0</v>
      </c>
      <c r="K664" s="520">
        <v>0</v>
      </c>
      <c r="L664" s="520">
        <v>0</v>
      </c>
      <c r="M664" s="517"/>
      <c r="N664" s="542">
        <v>4</v>
      </c>
      <c r="O664" s="543">
        <v>2711.95</v>
      </c>
      <c r="P664" s="543">
        <v>140</v>
      </c>
      <c r="Q664" s="517"/>
      <c r="R664" s="520">
        <v>0</v>
      </c>
      <c r="S664" s="520">
        <v>0</v>
      </c>
      <c r="T664" s="520">
        <v>0</v>
      </c>
      <c r="U664" s="517"/>
      <c r="V664" s="542">
        <v>4</v>
      </c>
      <c r="W664" s="543">
        <v>2711.95</v>
      </c>
    </row>
    <row r="665" spans="1:23" x14ac:dyDescent="0.25">
      <c r="A665">
        <v>660</v>
      </c>
      <c r="B665" t="s">
        <v>656</v>
      </c>
      <c r="C665" t="s">
        <v>24</v>
      </c>
      <c r="D665" t="s">
        <v>20</v>
      </c>
      <c r="F665" s="520">
        <v>15</v>
      </c>
      <c r="G665" s="520">
        <v>4300</v>
      </c>
      <c r="H665" s="520">
        <v>150</v>
      </c>
      <c r="I665" s="517"/>
      <c r="J665" s="520">
        <v>0</v>
      </c>
      <c r="K665" s="520">
        <v>0</v>
      </c>
      <c r="L665" s="520">
        <v>0</v>
      </c>
      <c r="M665" s="517"/>
      <c r="N665" s="542">
        <v>15</v>
      </c>
      <c r="O665" s="543">
        <v>4300</v>
      </c>
      <c r="P665" s="543">
        <v>150</v>
      </c>
      <c r="Q665" s="517"/>
      <c r="R665" s="520">
        <v>0</v>
      </c>
      <c r="S665" s="520">
        <v>0</v>
      </c>
      <c r="T665" s="520">
        <v>0</v>
      </c>
      <c r="U665" s="517"/>
      <c r="V665" s="542">
        <v>15</v>
      </c>
      <c r="W665" s="543">
        <v>4300</v>
      </c>
    </row>
    <row r="666" spans="1:23" x14ac:dyDescent="0.25">
      <c r="A666">
        <v>661</v>
      </c>
      <c r="B666" t="s">
        <v>657</v>
      </c>
      <c r="C666" t="s">
        <v>15</v>
      </c>
      <c r="D666" t="s">
        <v>20</v>
      </c>
      <c r="F666" s="520">
        <v>13</v>
      </c>
      <c r="G666" s="520">
        <v>88710.420000000013</v>
      </c>
      <c r="H666" s="520">
        <v>750</v>
      </c>
      <c r="I666" s="517"/>
      <c r="J666" s="520">
        <v>0</v>
      </c>
      <c r="K666" s="520">
        <v>0</v>
      </c>
      <c r="L666" s="520">
        <v>0</v>
      </c>
      <c r="M666" s="517"/>
      <c r="N666" s="542">
        <v>13</v>
      </c>
      <c r="O666" s="543">
        <v>88710.420000000013</v>
      </c>
      <c r="P666" s="543">
        <v>750</v>
      </c>
      <c r="Q666" s="517"/>
      <c r="R666" s="520">
        <v>0</v>
      </c>
      <c r="S666" s="520">
        <v>0</v>
      </c>
      <c r="T666" s="520">
        <v>0</v>
      </c>
      <c r="U666" s="517"/>
      <c r="V666" s="542">
        <v>13</v>
      </c>
      <c r="W666" s="543">
        <v>88710.420000000013</v>
      </c>
    </row>
    <row r="667" spans="1:23" x14ac:dyDescent="0.25">
      <c r="A667">
        <v>662</v>
      </c>
      <c r="B667" t="s">
        <v>658</v>
      </c>
      <c r="C667" t="s">
        <v>24</v>
      </c>
      <c r="D667" t="s">
        <v>659</v>
      </c>
      <c r="F667" s="520">
        <v>0</v>
      </c>
      <c r="G667" s="520">
        <v>0</v>
      </c>
      <c r="H667" s="520">
        <v>0</v>
      </c>
      <c r="I667" s="517"/>
      <c r="J667" s="520">
        <v>0</v>
      </c>
      <c r="K667" s="520">
        <v>0</v>
      </c>
      <c r="L667" s="520">
        <v>0</v>
      </c>
      <c r="M667" s="517"/>
      <c r="N667" s="542">
        <v>0</v>
      </c>
      <c r="O667" s="543">
        <v>0</v>
      </c>
      <c r="P667" s="543">
        <v>0</v>
      </c>
      <c r="Q667" s="517"/>
      <c r="R667" s="520">
        <v>0</v>
      </c>
      <c r="S667" s="520">
        <v>0</v>
      </c>
      <c r="T667" s="520">
        <v>0</v>
      </c>
      <c r="U667" s="517"/>
      <c r="V667" s="542">
        <v>0</v>
      </c>
      <c r="W667" s="543">
        <v>0</v>
      </c>
    </row>
    <row r="668" spans="1:23" x14ac:dyDescent="0.25">
      <c r="A668">
        <v>663</v>
      </c>
      <c r="B668" t="s">
        <v>660</v>
      </c>
      <c r="C668" t="s">
        <v>24</v>
      </c>
      <c r="D668" t="s">
        <v>659</v>
      </c>
      <c r="F668" s="520">
        <v>0</v>
      </c>
      <c r="G668" s="520">
        <v>0</v>
      </c>
      <c r="H668" s="520">
        <v>0</v>
      </c>
      <c r="I668" s="517"/>
      <c r="J668" s="520">
        <v>0</v>
      </c>
      <c r="K668" s="520">
        <v>0</v>
      </c>
      <c r="L668" s="520">
        <v>0</v>
      </c>
      <c r="M668" s="517"/>
      <c r="N668" s="542">
        <v>0</v>
      </c>
      <c r="O668" s="543">
        <v>0</v>
      </c>
      <c r="P668" s="543">
        <v>0</v>
      </c>
      <c r="Q668" s="517"/>
      <c r="R668" s="520">
        <v>0</v>
      </c>
      <c r="S668" s="520">
        <v>0</v>
      </c>
      <c r="T668" s="520">
        <v>0</v>
      </c>
      <c r="U668" s="517"/>
      <c r="V668" s="542">
        <v>0</v>
      </c>
      <c r="W668" s="543">
        <v>0</v>
      </c>
    </row>
    <row r="669" spans="1:23" x14ac:dyDescent="0.25">
      <c r="A669">
        <v>664</v>
      </c>
      <c r="B669" t="s">
        <v>661</v>
      </c>
      <c r="D669" t="s">
        <v>40</v>
      </c>
      <c r="F669" s="520">
        <v>1</v>
      </c>
      <c r="G669" s="520">
        <v>15727.5</v>
      </c>
      <c r="H669" s="520">
        <v>0</v>
      </c>
      <c r="I669" s="517"/>
      <c r="J669" s="520">
        <v>0</v>
      </c>
      <c r="K669" s="520">
        <v>0</v>
      </c>
      <c r="L669" s="520">
        <v>0</v>
      </c>
      <c r="M669" s="517"/>
      <c r="N669" s="542">
        <v>1</v>
      </c>
      <c r="O669" s="543">
        <v>15727.5</v>
      </c>
      <c r="P669" s="543">
        <v>0</v>
      </c>
      <c r="Q669" s="517"/>
      <c r="R669" s="520">
        <v>0</v>
      </c>
      <c r="S669" s="520">
        <v>0</v>
      </c>
      <c r="T669" s="520">
        <v>0</v>
      </c>
      <c r="U669" s="517"/>
      <c r="V669" s="542">
        <v>1</v>
      </c>
      <c r="W669" s="543">
        <v>15727.5</v>
      </c>
    </row>
    <row r="670" spans="1:23" x14ac:dyDescent="0.25">
      <c r="A670">
        <v>665</v>
      </c>
      <c r="B670" t="s">
        <v>662</v>
      </c>
      <c r="D670" t="s">
        <v>16</v>
      </c>
      <c r="F670" s="520">
        <v>0</v>
      </c>
      <c r="G670" s="520">
        <v>0</v>
      </c>
      <c r="H670" s="520">
        <v>0</v>
      </c>
      <c r="I670" s="517"/>
      <c r="J670" s="520">
        <v>0</v>
      </c>
      <c r="K670" s="520">
        <v>0</v>
      </c>
      <c r="L670" s="520">
        <v>0</v>
      </c>
      <c r="M670" s="517"/>
      <c r="N670" s="542">
        <v>0</v>
      </c>
      <c r="O670" s="543">
        <v>0</v>
      </c>
      <c r="P670" s="543">
        <v>0</v>
      </c>
      <c r="Q670" s="517"/>
      <c r="R670" s="520">
        <v>0</v>
      </c>
      <c r="S670" s="520">
        <v>0</v>
      </c>
      <c r="T670" s="520">
        <v>0</v>
      </c>
      <c r="U670" s="517"/>
      <c r="V670" s="542">
        <v>0</v>
      </c>
      <c r="W670" s="543">
        <v>0</v>
      </c>
    </row>
    <row r="671" spans="1:23" x14ac:dyDescent="0.25">
      <c r="A671">
        <v>666</v>
      </c>
      <c r="B671" t="s">
        <v>663</v>
      </c>
      <c r="D671" t="s">
        <v>16</v>
      </c>
      <c r="F671" s="520">
        <v>0</v>
      </c>
      <c r="G671" s="520">
        <v>0</v>
      </c>
      <c r="H671" s="520">
        <v>0</v>
      </c>
      <c r="I671" s="517"/>
      <c r="J671" s="520">
        <v>0</v>
      </c>
      <c r="K671" s="520">
        <v>0</v>
      </c>
      <c r="L671" s="520">
        <v>0</v>
      </c>
      <c r="M671" s="517"/>
      <c r="N671" s="542">
        <v>0</v>
      </c>
      <c r="O671" s="543">
        <v>0</v>
      </c>
      <c r="P671" s="543">
        <v>0</v>
      </c>
      <c r="Q671" s="517"/>
      <c r="R671" s="520">
        <v>0</v>
      </c>
      <c r="S671" s="520">
        <v>0</v>
      </c>
      <c r="T671" s="520">
        <v>0</v>
      </c>
      <c r="U671" s="517"/>
      <c r="V671" s="542">
        <v>0</v>
      </c>
      <c r="W671" s="543">
        <v>0</v>
      </c>
    </row>
    <row r="672" spans="1:23" x14ac:dyDescent="0.25">
      <c r="A672">
        <v>667</v>
      </c>
      <c r="B672" t="s">
        <v>664</v>
      </c>
      <c r="D672" t="s">
        <v>16</v>
      </c>
      <c r="F672" s="520">
        <v>0</v>
      </c>
      <c r="G672" s="520">
        <v>0</v>
      </c>
      <c r="H672" s="520">
        <v>0</v>
      </c>
      <c r="I672" s="517"/>
      <c r="J672" s="520">
        <v>0</v>
      </c>
      <c r="K672" s="520">
        <v>0</v>
      </c>
      <c r="L672" s="520">
        <v>0</v>
      </c>
      <c r="M672" s="517"/>
      <c r="N672" s="542">
        <v>0</v>
      </c>
      <c r="O672" s="543">
        <v>0</v>
      </c>
      <c r="P672" s="543">
        <v>0</v>
      </c>
      <c r="Q672" s="517"/>
      <c r="R672" s="520">
        <v>0</v>
      </c>
      <c r="S672" s="520">
        <v>0</v>
      </c>
      <c r="T672" s="520">
        <v>0</v>
      </c>
      <c r="U672" s="517"/>
      <c r="V672" s="542">
        <v>0</v>
      </c>
      <c r="W672" s="543">
        <v>0</v>
      </c>
    </row>
    <row r="673" spans="1:23" x14ac:dyDescent="0.25">
      <c r="A673">
        <v>668</v>
      </c>
      <c r="B673" t="s">
        <v>665</v>
      </c>
      <c r="D673" t="s">
        <v>327</v>
      </c>
      <c r="F673" s="520">
        <v>2</v>
      </c>
      <c r="G673" s="520">
        <v>100000</v>
      </c>
      <c r="H673" s="520">
        <v>300</v>
      </c>
      <c r="I673" s="517"/>
      <c r="J673" s="520">
        <v>-6</v>
      </c>
      <c r="K673" s="520">
        <v>-263115.25</v>
      </c>
      <c r="L673" s="520">
        <v>-900</v>
      </c>
      <c r="M673" s="517"/>
      <c r="N673" s="542">
        <v>-4</v>
      </c>
      <c r="O673" s="543">
        <v>-163115.25</v>
      </c>
      <c r="P673" s="543">
        <v>-600</v>
      </c>
      <c r="Q673" s="517"/>
      <c r="R673" s="520">
        <v>0</v>
      </c>
      <c r="S673" s="520">
        <v>0</v>
      </c>
      <c r="T673" s="520">
        <v>0</v>
      </c>
      <c r="U673" s="517"/>
      <c r="V673" s="542">
        <v>-4</v>
      </c>
      <c r="W673" s="543">
        <v>-163115.25</v>
      </c>
    </row>
    <row r="674" spans="1:23" x14ac:dyDescent="0.25">
      <c r="A674">
        <v>669</v>
      </c>
      <c r="B674" t="s">
        <v>666</v>
      </c>
      <c r="D674" t="s">
        <v>16</v>
      </c>
      <c r="F674" s="520">
        <v>0</v>
      </c>
      <c r="G674" s="520">
        <v>0</v>
      </c>
      <c r="H674" s="520">
        <v>0</v>
      </c>
      <c r="I674" s="517"/>
      <c r="J674" s="520">
        <v>0</v>
      </c>
      <c r="K674" s="520">
        <v>0</v>
      </c>
      <c r="L674" s="520">
        <v>0</v>
      </c>
      <c r="M674" s="517"/>
      <c r="N674" s="542">
        <v>0</v>
      </c>
      <c r="O674" s="543">
        <v>0</v>
      </c>
      <c r="P674" s="543">
        <v>0</v>
      </c>
      <c r="Q674" s="517"/>
      <c r="R674" s="520">
        <v>0</v>
      </c>
      <c r="S674" s="520">
        <v>0</v>
      </c>
      <c r="T674" s="520">
        <v>0</v>
      </c>
      <c r="U674" s="517"/>
      <c r="V674" s="542">
        <v>0</v>
      </c>
      <c r="W674" s="543">
        <v>0</v>
      </c>
    </row>
    <row r="675" spans="1:23" x14ac:dyDescent="0.25">
      <c r="A675">
        <v>670</v>
      </c>
      <c r="B675" t="s">
        <v>667</v>
      </c>
      <c r="D675" t="s">
        <v>16</v>
      </c>
      <c r="F675" s="520">
        <v>0</v>
      </c>
      <c r="G675" s="520">
        <v>0</v>
      </c>
      <c r="H675" s="520">
        <v>0</v>
      </c>
      <c r="I675" s="517"/>
      <c r="J675" s="520">
        <v>0</v>
      </c>
      <c r="K675" s="520">
        <v>0</v>
      </c>
      <c r="L675" s="520">
        <v>0</v>
      </c>
      <c r="M675" s="517"/>
      <c r="N675" s="542">
        <v>0</v>
      </c>
      <c r="O675" s="543">
        <v>0</v>
      </c>
      <c r="P675" s="543">
        <v>0</v>
      </c>
      <c r="Q675" s="517"/>
      <c r="R675" s="520">
        <v>0</v>
      </c>
      <c r="S675" s="520">
        <v>0</v>
      </c>
      <c r="T675" s="520">
        <v>0</v>
      </c>
      <c r="U675" s="517"/>
      <c r="V675" s="542">
        <v>0</v>
      </c>
      <c r="W675" s="543">
        <v>0</v>
      </c>
    </row>
    <row r="676" spans="1:23" x14ac:dyDescent="0.25">
      <c r="A676">
        <v>671</v>
      </c>
      <c r="B676" t="s">
        <v>668</v>
      </c>
      <c r="D676" t="s">
        <v>16</v>
      </c>
      <c r="F676" s="520">
        <v>0</v>
      </c>
      <c r="G676" s="520">
        <v>0</v>
      </c>
      <c r="H676" s="520">
        <v>0</v>
      </c>
      <c r="I676" s="517"/>
      <c r="J676" s="520">
        <v>0</v>
      </c>
      <c r="K676" s="520">
        <v>0</v>
      </c>
      <c r="L676" s="520">
        <v>0</v>
      </c>
      <c r="M676" s="517"/>
      <c r="N676" s="542">
        <v>0</v>
      </c>
      <c r="O676" s="543">
        <v>0</v>
      </c>
      <c r="P676" s="543">
        <v>0</v>
      </c>
      <c r="Q676" s="517"/>
      <c r="R676" s="520">
        <v>0</v>
      </c>
      <c r="S676" s="520">
        <v>0</v>
      </c>
      <c r="T676" s="520">
        <v>0</v>
      </c>
      <c r="U676" s="517"/>
      <c r="V676" s="542">
        <v>0</v>
      </c>
      <c r="W676" s="543">
        <v>0</v>
      </c>
    </row>
    <row r="677" spans="1:23" x14ac:dyDescent="0.25">
      <c r="A677">
        <v>672</v>
      </c>
      <c r="B677" t="s">
        <v>669</v>
      </c>
      <c r="D677" t="s">
        <v>16</v>
      </c>
      <c r="F677" s="520">
        <v>0</v>
      </c>
      <c r="G677" s="520">
        <v>0</v>
      </c>
      <c r="H677" s="520">
        <v>0</v>
      </c>
      <c r="I677" s="517"/>
      <c r="J677" s="520">
        <v>0</v>
      </c>
      <c r="K677" s="520">
        <v>0</v>
      </c>
      <c r="L677" s="520">
        <v>0</v>
      </c>
      <c r="M677" s="517"/>
      <c r="N677" s="542">
        <v>0</v>
      </c>
      <c r="O677" s="543">
        <v>0</v>
      </c>
      <c r="P677" s="543">
        <v>0</v>
      </c>
      <c r="Q677" s="517"/>
      <c r="R677" s="520">
        <v>0</v>
      </c>
      <c r="S677" s="520">
        <v>0</v>
      </c>
      <c r="T677" s="520">
        <v>0</v>
      </c>
      <c r="U677" s="517"/>
      <c r="V677" s="542">
        <v>0</v>
      </c>
      <c r="W677" s="543">
        <v>0</v>
      </c>
    </row>
    <row r="678" spans="1:23" x14ac:dyDescent="0.25">
      <c r="A678">
        <v>673</v>
      </c>
      <c r="B678" t="s">
        <v>670</v>
      </c>
      <c r="D678" t="s">
        <v>16</v>
      </c>
      <c r="F678" s="520">
        <v>0</v>
      </c>
      <c r="G678" s="520">
        <v>0</v>
      </c>
      <c r="H678" s="520">
        <v>0</v>
      </c>
      <c r="I678" s="517"/>
      <c r="J678" s="520">
        <v>0</v>
      </c>
      <c r="K678" s="520">
        <v>0</v>
      </c>
      <c r="L678" s="520">
        <v>0</v>
      </c>
      <c r="M678" s="517"/>
      <c r="N678" s="542">
        <v>0</v>
      </c>
      <c r="O678" s="543">
        <v>0</v>
      </c>
      <c r="P678" s="543">
        <v>0</v>
      </c>
      <c r="Q678" s="517"/>
      <c r="R678" s="520">
        <v>0</v>
      </c>
      <c r="S678" s="520">
        <v>0</v>
      </c>
      <c r="T678" s="520">
        <v>0</v>
      </c>
      <c r="U678" s="517"/>
      <c r="V678" s="542">
        <v>0</v>
      </c>
      <c r="W678" s="543">
        <v>0</v>
      </c>
    </row>
    <row r="679" spans="1:23" x14ac:dyDescent="0.25">
      <c r="A679">
        <v>674</v>
      </c>
      <c r="B679" t="s">
        <v>671</v>
      </c>
      <c r="D679" t="s">
        <v>16</v>
      </c>
      <c r="F679" s="520">
        <v>0</v>
      </c>
      <c r="G679" s="520">
        <v>0</v>
      </c>
      <c r="H679" s="520">
        <v>0</v>
      </c>
      <c r="I679" s="517"/>
      <c r="J679" s="520">
        <v>0</v>
      </c>
      <c r="K679" s="520">
        <v>0</v>
      </c>
      <c r="L679" s="520">
        <v>0</v>
      </c>
      <c r="M679" s="517"/>
      <c r="N679" s="542">
        <v>0</v>
      </c>
      <c r="O679" s="543">
        <v>0</v>
      </c>
      <c r="P679" s="543">
        <v>0</v>
      </c>
      <c r="Q679" s="517"/>
      <c r="R679" s="520">
        <v>0</v>
      </c>
      <c r="S679" s="520">
        <v>0</v>
      </c>
      <c r="T679" s="520">
        <v>0</v>
      </c>
      <c r="U679" s="517"/>
      <c r="V679" s="542">
        <v>0</v>
      </c>
      <c r="W679" s="543">
        <v>0</v>
      </c>
    </row>
    <row r="680" spans="1:23" x14ac:dyDescent="0.25">
      <c r="A680">
        <v>675</v>
      </c>
      <c r="B680" t="s">
        <v>672</v>
      </c>
      <c r="D680" t="s">
        <v>16</v>
      </c>
      <c r="F680" s="520">
        <v>0</v>
      </c>
      <c r="G680" s="520">
        <v>0</v>
      </c>
      <c r="H680" s="520">
        <v>0</v>
      </c>
      <c r="I680" s="517"/>
      <c r="J680" s="520">
        <v>0</v>
      </c>
      <c r="K680" s="520">
        <v>0</v>
      </c>
      <c r="L680" s="520">
        <v>0</v>
      </c>
      <c r="M680" s="517"/>
      <c r="N680" s="542">
        <v>0</v>
      </c>
      <c r="O680" s="543">
        <v>0</v>
      </c>
      <c r="P680" s="543">
        <v>0</v>
      </c>
      <c r="Q680" s="517"/>
      <c r="R680" s="520">
        <v>0</v>
      </c>
      <c r="S680" s="520">
        <v>0</v>
      </c>
      <c r="T680" s="520">
        <v>0</v>
      </c>
      <c r="U680" s="517"/>
      <c r="V680" s="542">
        <v>0</v>
      </c>
      <c r="W680" s="543">
        <v>0</v>
      </c>
    </row>
    <row r="681" spans="1:23" x14ac:dyDescent="0.25">
      <c r="A681">
        <v>676</v>
      </c>
      <c r="B681" t="s">
        <v>673</v>
      </c>
      <c r="D681" t="s">
        <v>16</v>
      </c>
      <c r="F681" s="520">
        <v>0</v>
      </c>
      <c r="G681" s="520">
        <v>0</v>
      </c>
      <c r="H681" s="520">
        <v>0</v>
      </c>
      <c r="I681" s="517"/>
      <c r="J681" s="520">
        <v>0</v>
      </c>
      <c r="K681" s="520">
        <v>0</v>
      </c>
      <c r="L681" s="520">
        <v>0</v>
      </c>
      <c r="M681" s="517"/>
      <c r="N681" s="542">
        <v>0</v>
      </c>
      <c r="O681" s="543">
        <v>0</v>
      </c>
      <c r="P681" s="543">
        <v>0</v>
      </c>
      <c r="Q681" s="517"/>
      <c r="R681" s="520">
        <v>0</v>
      </c>
      <c r="S681" s="520">
        <v>0</v>
      </c>
      <c r="T681" s="520">
        <v>0</v>
      </c>
      <c r="U681" s="517"/>
      <c r="V681" s="542">
        <v>0</v>
      </c>
      <c r="W681" s="543">
        <v>0</v>
      </c>
    </row>
    <row r="682" spans="1:23" x14ac:dyDescent="0.25">
      <c r="A682">
        <v>677</v>
      </c>
      <c r="B682" t="s">
        <v>674</v>
      </c>
      <c r="D682" t="s">
        <v>16</v>
      </c>
      <c r="F682" s="520">
        <v>0</v>
      </c>
      <c r="G682" s="520">
        <v>0</v>
      </c>
      <c r="H682" s="520">
        <v>0</v>
      </c>
      <c r="I682" s="517"/>
      <c r="J682" s="520">
        <v>0</v>
      </c>
      <c r="K682" s="520">
        <v>0</v>
      </c>
      <c r="L682" s="520">
        <v>0</v>
      </c>
      <c r="M682" s="517"/>
      <c r="N682" s="542">
        <v>0</v>
      </c>
      <c r="O682" s="543">
        <v>0</v>
      </c>
      <c r="P682" s="543">
        <v>0</v>
      </c>
      <c r="Q682" s="517"/>
      <c r="R682" s="520">
        <v>0</v>
      </c>
      <c r="S682" s="520">
        <v>0</v>
      </c>
      <c r="T682" s="520">
        <v>0</v>
      </c>
      <c r="U682" s="517"/>
      <c r="V682" s="542">
        <v>0</v>
      </c>
      <c r="W682" s="543">
        <v>0</v>
      </c>
    </row>
    <row r="683" spans="1:23" x14ac:dyDescent="0.25">
      <c r="A683">
        <v>678</v>
      </c>
      <c r="B683" t="s">
        <v>675</v>
      </c>
      <c r="D683" t="s">
        <v>16</v>
      </c>
      <c r="F683" s="520">
        <v>935</v>
      </c>
      <c r="G683" s="520">
        <v>111744485.68000004</v>
      </c>
      <c r="H683" s="520">
        <v>24780</v>
      </c>
      <c r="I683" s="517"/>
      <c r="J683" s="520">
        <v>0</v>
      </c>
      <c r="K683" s="520">
        <v>0</v>
      </c>
      <c r="L683" s="520">
        <v>0</v>
      </c>
      <c r="M683" s="517"/>
      <c r="N683" s="542">
        <v>935</v>
      </c>
      <c r="O683" s="543">
        <v>111744485.68000004</v>
      </c>
      <c r="P683" s="543">
        <v>24780</v>
      </c>
      <c r="Q683" s="517"/>
      <c r="R683" s="520">
        <v>0</v>
      </c>
      <c r="S683" s="520">
        <v>0</v>
      </c>
      <c r="T683" s="520">
        <v>0</v>
      </c>
      <c r="U683" s="517"/>
      <c r="V683" s="542">
        <v>935</v>
      </c>
      <c r="W683" s="543">
        <v>111744485.68000004</v>
      </c>
    </row>
    <row r="684" spans="1:23" x14ac:dyDescent="0.25">
      <c r="A684">
        <v>679</v>
      </c>
      <c r="B684" t="s">
        <v>676</v>
      </c>
      <c r="D684" t="s">
        <v>16</v>
      </c>
      <c r="F684" s="520">
        <v>0</v>
      </c>
      <c r="G684" s="520">
        <v>0</v>
      </c>
      <c r="H684" s="520">
        <v>0</v>
      </c>
      <c r="I684" s="517"/>
      <c r="J684" s="520">
        <v>0</v>
      </c>
      <c r="K684" s="520">
        <v>0</v>
      </c>
      <c r="L684" s="520">
        <v>0</v>
      </c>
      <c r="M684" s="517"/>
      <c r="N684" s="542">
        <v>0</v>
      </c>
      <c r="O684" s="543">
        <v>0</v>
      </c>
      <c r="P684" s="543">
        <v>0</v>
      </c>
      <c r="Q684" s="517"/>
      <c r="R684" s="520">
        <v>0</v>
      </c>
      <c r="S684" s="520">
        <v>0</v>
      </c>
      <c r="T684" s="520">
        <v>0</v>
      </c>
      <c r="U684" s="517"/>
      <c r="V684" s="542">
        <v>0</v>
      </c>
      <c r="W684" s="543">
        <v>0</v>
      </c>
    </row>
    <row r="685" spans="1:23" x14ac:dyDescent="0.25">
      <c r="A685">
        <v>680</v>
      </c>
      <c r="B685" t="s">
        <v>677</v>
      </c>
      <c r="D685" t="s">
        <v>16</v>
      </c>
      <c r="F685" s="520">
        <v>0</v>
      </c>
      <c r="G685" s="520">
        <v>0</v>
      </c>
      <c r="H685" s="520">
        <v>0</v>
      </c>
      <c r="I685" s="517"/>
      <c r="J685" s="520">
        <v>0</v>
      </c>
      <c r="K685" s="520">
        <v>0</v>
      </c>
      <c r="L685" s="520">
        <v>0</v>
      </c>
      <c r="M685" s="517"/>
      <c r="N685" s="542">
        <v>0</v>
      </c>
      <c r="O685" s="543">
        <v>0</v>
      </c>
      <c r="P685" s="543">
        <v>0</v>
      </c>
      <c r="Q685" s="517"/>
      <c r="R685" s="520">
        <v>0</v>
      </c>
      <c r="S685" s="520">
        <v>0</v>
      </c>
      <c r="T685" s="520">
        <v>0</v>
      </c>
      <c r="U685" s="517"/>
      <c r="V685" s="542">
        <v>0</v>
      </c>
      <c r="W685" s="543">
        <v>0</v>
      </c>
    </row>
    <row r="686" spans="1:23" x14ac:dyDescent="0.25">
      <c r="A686">
        <v>681</v>
      </c>
      <c r="B686" t="s">
        <v>678</v>
      </c>
      <c r="D686" t="s">
        <v>16</v>
      </c>
      <c r="F686" s="520">
        <v>0</v>
      </c>
      <c r="G686" s="520">
        <v>0</v>
      </c>
      <c r="H686" s="520">
        <v>0</v>
      </c>
      <c r="I686" s="517"/>
      <c r="J686" s="520">
        <v>0</v>
      </c>
      <c r="K686" s="520">
        <v>0</v>
      </c>
      <c r="L686" s="520">
        <v>0</v>
      </c>
      <c r="M686" s="517"/>
      <c r="N686" s="542">
        <v>0</v>
      </c>
      <c r="O686" s="543">
        <v>0</v>
      </c>
      <c r="P686" s="543">
        <v>0</v>
      </c>
      <c r="Q686" s="517"/>
      <c r="R686" s="520">
        <v>0</v>
      </c>
      <c r="S686" s="520">
        <v>0</v>
      </c>
      <c r="T686" s="520">
        <v>0</v>
      </c>
      <c r="U686" s="517"/>
      <c r="V686" s="542">
        <v>0</v>
      </c>
      <c r="W686" s="543">
        <v>0</v>
      </c>
    </row>
    <row r="687" spans="1:23" x14ac:dyDescent="0.25">
      <c r="A687">
        <v>682</v>
      </c>
      <c r="B687" t="s">
        <v>679</v>
      </c>
      <c r="D687" t="s">
        <v>16</v>
      </c>
      <c r="F687" s="520">
        <v>0</v>
      </c>
      <c r="G687" s="520">
        <v>0</v>
      </c>
      <c r="H687" s="520">
        <v>0</v>
      </c>
      <c r="I687" s="517"/>
      <c r="J687" s="520">
        <v>0</v>
      </c>
      <c r="K687" s="520">
        <v>0</v>
      </c>
      <c r="L687" s="520">
        <v>0</v>
      </c>
      <c r="M687" s="517"/>
      <c r="N687" s="542">
        <v>0</v>
      </c>
      <c r="O687" s="543">
        <v>0</v>
      </c>
      <c r="P687" s="543">
        <v>0</v>
      </c>
      <c r="Q687" s="517"/>
      <c r="R687" s="520">
        <v>0</v>
      </c>
      <c r="S687" s="520">
        <v>0</v>
      </c>
      <c r="T687" s="520">
        <v>0</v>
      </c>
      <c r="U687" s="517"/>
      <c r="V687" s="542">
        <v>0</v>
      </c>
      <c r="W687" s="543">
        <v>0</v>
      </c>
    </row>
    <row r="688" spans="1:23" x14ac:dyDescent="0.25">
      <c r="A688">
        <v>683</v>
      </c>
      <c r="B688" t="s">
        <v>680</v>
      </c>
      <c r="D688" t="s">
        <v>16</v>
      </c>
      <c r="F688" s="520">
        <v>0</v>
      </c>
      <c r="G688" s="520">
        <v>0</v>
      </c>
      <c r="H688" s="520">
        <v>0</v>
      </c>
      <c r="I688" s="517"/>
      <c r="J688" s="520">
        <v>0</v>
      </c>
      <c r="K688" s="520">
        <v>0</v>
      </c>
      <c r="L688" s="520">
        <v>0</v>
      </c>
      <c r="M688" s="517"/>
      <c r="N688" s="542">
        <v>0</v>
      </c>
      <c r="O688" s="543">
        <v>0</v>
      </c>
      <c r="P688" s="543">
        <v>0</v>
      </c>
      <c r="Q688" s="517"/>
      <c r="R688" s="520">
        <v>0</v>
      </c>
      <c r="S688" s="520">
        <v>0</v>
      </c>
      <c r="T688" s="520">
        <v>0</v>
      </c>
      <c r="U688" s="517"/>
      <c r="V688" s="542">
        <v>0</v>
      </c>
      <c r="W688" s="543">
        <v>0</v>
      </c>
    </row>
    <row r="689" spans="1:23" x14ac:dyDescent="0.25">
      <c r="A689">
        <v>684</v>
      </c>
      <c r="B689" t="s">
        <v>681</v>
      </c>
      <c r="D689" t="s">
        <v>16</v>
      </c>
      <c r="F689" s="520">
        <v>0</v>
      </c>
      <c r="G689" s="520">
        <v>0</v>
      </c>
      <c r="H689" s="520">
        <v>0</v>
      </c>
      <c r="I689" s="517"/>
      <c r="J689" s="520">
        <v>0</v>
      </c>
      <c r="K689" s="520">
        <v>0</v>
      </c>
      <c r="L689" s="520">
        <v>0</v>
      </c>
      <c r="M689" s="517"/>
      <c r="N689" s="542">
        <v>0</v>
      </c>
      <c r="O689" s="543">
        <v>0</v>
      </c>
      <c r="P689" s="543">
        <v>0</v>
      </c>
      <c r="Q689" s="517"/>
      <c r="R689" s="520">
        <v>0</v>
      </c>
      <c r="S689" s="520">
        <v>0</v>
      </c>
      <c r="T689" s="520">
        <v>0</v>
      </c>
      <c r="U689" s="517"/>
      <c r="V689" s="542">
        <v>0</v>
      </c>
      <c r="W689" s="543">
        <v>0</v>
      </c>
    </row>
    <row r="690" spans="1:23" x14ac:dyDescent="0.25">
      <c r="A690">
        <v>685</v>
      </c>
      <c r="B690" t="s">
        <v>682</v>
      </c>
      <c r="D690" t="s">
        <v>16</v>
      </c>
      <c r="F690" s="520">
        <v>41</v>
      </c>
      <c r="G690" s="520">
        <v>1188211.27</v>
      </c>
      <c r="H690" s="520">
        <v>4100</v>
      </c>
      <c r="I690" s="517"/>
      <c r="J690" s="520">
        <v>0</v>
      </c>
      <c r="K690" s="520">
        <v>0</v>
      </c>
      <c r="L690" s="520">
        <v>0</v>
      </c>
      <c r="M690" s="517"/>
      <c r="N690" s="542">
        <v>41</v>
      </c>
      <c r="O690" s="543">
        <v>1188211.27</v>
      </c>
      <c r="P690" s="543">
        <v>4100</v>
      </c>
      <c r="Q690" s="517"/>
      <c r="R690" s="520">
        <v>0</v>
      </c>
      <c r="S690" s="520">
        <v>0</v>
      </c>
      <c r="T690" s="520">
        <v>0</v>
      </c>
      <c r="U690" s="517"/>
      <c r="V690" s="542">
        <v>41</v>
      </c>
      <c r="W690" s="543">
        <v>1188211.27</v>
      </c>
    </row>
    <row r="691" spans="1:23" x14ac:dyDescent="0.25">
      <c r="A691">
        <v>686</v>
      </c>
      <c r="B691" t="s">
        <v>683</v>
      </c>
      <c r="D691" t="s">
        <v>16</v>
      </c>
      <c r="F691" s="520">
        <v>0</v>
      </c>
      <c r="G691" s="520">
        <v>0</v>
      </c>
      <c r="H691" s="520">
        <v>0</v>
      </c>
      <c r="I691" s="517"/>
      <c r="J691" s="520">
        <v>0</v>
      </c>
      <c r="K691" s="520">
        <v>0</v>
      </c>
      <c r="L691" s="520">
        <v>0</v>
      </c>
      <c r="M691" s="517"/>
      <c r="N691" s="542">
        <v>0</v>
      </c>
      <c r="O691" s="543">
        <v>0</v>
      </c>
      <c r="P691" s="543">
        <v>0</v>
      </c>
      <c r="Q691" s="517"/>
      <c r="R691" s="520">
        <v>0</v>
      </c>
      <c r="S691" s="520">
        <v>0</v>
      </c>
      <c r="T691" s="520">
        <v>0</v>
      </c>
      <c r="U691" s="517"/>
      <c r="V691" s="542">
        <v>0</v>
      </c>
      <c r="W691" s="543">
        <v>0</v>
      </c>
    </row>
    <row r="692" spans="1:23" x14ac:dyDescent="0.25">
      <c r="A692">
        <v>687</v>
      </c>
      <c r="B692" t="s">
        <v>684</v>
      </c>
      <c r="D692" t="s">
        <v>16</v>
      </c>
      <c r="F692" s="520">
        <v>0</v>
      </c>
      <c r="G692" s="520">
        <v>0</v>
      </c>
      <c r="H692" s="520">
        <v>0</v>
      </c>
      <c r="I692" s="517"/>
      <c r="J692" s="520">
        <v>0</v>
      </c>
      <c r="K692" s="520">
        <v>0</v>
      </c>
      <c r="L692" s="520">
        <v>0</v>
      </c>
      <c r="M692" s="517"/>
      <c r="N692" s="542">
        <v>0</v>
      </c>
      <c r="O692" s="543">
        <v>0</v>
      </c>
      <c r="P692" s="543">
        <v>0</v>
      </c>
      <c r="Q692" s="517"/>
      <c r="R692" s="520">
        <v>0</v>
      </c>
      <c r="S692" s="520">
        <v>0</v>
      </c>
      <c r="T692" s="520">
        <v>0</v>
      </c>
      <c r="U692" s="517"/>
      <c r="V692" s="542">
        <v>0</v>
      </c>
      <c r="W692" s="543">
        <v>0</v>
      </c>
    </row>
    <row r="693" spans="1:23" x14ac:dyDescent="0.25">
      <c r="A693">
        <v>688</v>
      </c>
      <c r="B693" t="s">
        <v>685</v>
      </c>
      <c r="D693" t="s">
        <v>16</v>
      </c>
      <c r="F693" s="520">
        <v>17</v>
      </c>
      <c r="G693" s="520">
        <v>144763.31</v>
      </c>
      <c r="H693" s="520">
        <v>0</v>
      </c>
      <c r="I693" s="517"/>
      <c r="J693" s="520">
        <v>0</v>
      </c>
      <c r="K693" s="520">
        <v>0</v>
      </c>
      <c r="L693" s="520">
        <v>0</v>
      </c>
      <c r="M693" s="517"/>
      <c r="N693" s="542">
        <v>17</v>
      </c>
      <c r="O693" s="543">
        <v>144763.31</v>
      </c>
      <c r="P693" s="543">
        <v>0</v>
      </c>
      <c r="Q693" s="517"/>
      <c r="R693" s="520">
        <v>0</v>
      </c>
      <c r="S693" s="520">
        <v>0</v>
      </c>
      <c r="T693" s="520">
        <v>0</v>
      </c>
      <c r="U693" s="517"/>
      <c r="V693" s="542">
        <v>17</v>
      </c>
      <c r="W693" s="543">
        <v>144763.31</v>
      </c>
    </row>
    <row r="694" spans="1:23" x14ac:dyDescent="0.25">
      <c r="A694">
        <v>689</v>
      </c>
      <c r="B694" t="s">
        <v>686</v>
      </c>
      <c r="D694" t="s">
        <v>16</v>
      </c>
      <c r="F694" s="520">
        <v>0</v>
      </c>
      <c r="G694" s="520">
        <v>0</v>
      </c>
      <c r="H694" s="520">
        <v>0</v>
      </c>
      <c r="I694" s="517"/>
      <c r="J694" s="520">
        <v>0</v>
      </c>
      <c r="K694" s="520">
        <v>0</v>
      </c>
      <c r="L694" s="520">
        <v>0</v>
      </c>
      <c r="M694" s="517"/>
      <c r="N694" s="542">
        <v>0</v>
      </c>
      <c r="O694" s="543">
        <v>0</v>
      </c>
      <c r="P694" s="543">
        <v>0</v>
      </c>
      <c r="Q694" s="517"/>
      <c r="R694" s="520">
        <v>0</v>
      </c>
      <c r="S694" s="520">
        <v>0</v>
      </c>
      <c r="T694" s="520">
        <v>0</v>
      </c>
      <c r="U694" s="517"/>
      <c r="V694" s="542">
        <v>0</v>
      </c>
      <c r="W694" s="543">
        <v>0</v>
      </c>
    </row>
    <row r="695" spans="1:23" x14ac:dyDescent="0.25">
      <c r="A695">
        <v>690</v>
      </c>
      <c r="B695" t="s">
        <v>687</v>
      </c>
      <c r="D695" t="s">
        <v>16</v>
      </c>
      <c r="F695" s="520">
        <v>0</v>
      </c>
      <c r="G695" s="520">
        <v>0</v>
      </c>
      <c r="H695" s="520">
        <v>0</v>
      </c>
      <c r="I695" s="517"/>
      <c r="J695" s="520">
        <v>0</v>
      </c>
      <c r="K695" s="520">
        <v>0</v>
      </c>
      <c r="L695" s="520">
        <v>0</v>
      </c>
      <c r="M695" s="517"/>
      <c r="N695" s="542">
        <v>0</v>
      </c>
      <c r="O695" s="543">
        <v>0</v>
      </c>
      <c r="P695" s="543">
        <v>0</v>
      </c>
      <c r="Q695" s="517"/>
      <c r="R695" s="520">
        <v>0</v>
      </c>
      <c r="S695" s="520">
        <v>0</v>
      </c>
      <c r="T695" s="520">
        <v>0</v>
      </c>
      <c r="U695" s="517"/>
      <c r="V695" s="542">
        <v>0</v>
      </c>
      <c r="W695" s="543">
        <v>0</v>
      </c>
    </row>
    <row r="696" spans="1:23" x14ac:dyDescent="0.25">
      <c r="A696">
        <v>691</v>
      </c>
      <c r="B696" t="s">
        <v>688</v>
      </c>
      <c r="D696" t="s">
        <v>16</v>
      </c>
      <c r="F696" s="520">
        <v>685</v>
      </c>
      <c r="G696" s="520">
        <v>11030219.400000004</v>
      </c>
      <c r="H696" s="520">
        <v>27400</v>
      </c>
      <c r="I696" s="517"/>
      <c r="J696" s="520">
        <v>0</v>
      </c>
      <c r="K696" s="520">
        <v>0</v>
      </c>
      <c r="L696" s="520">
        <v>0</v>
      </c>
      <c r="M696" s="517"/>
      <c r="N696" s="542">
        <v>685</v>
      </c>
      <c r="O696" s="543">
        <v>11030219.400000004</v>
      </c>
      <c r="P696" s="543">
        <v>27400</v>
      </c>
      <c r="Q696" s="517"/>
      <c r="R696" s="520">
        <v>0</v>
      </c>
      <c r="S696" s="520">
        <v>0</v>
      </c>
      <c r="T696" s="520">
        <v>0</v>
      </c>
      <c r="U696" s="517"/>
      <c r="V696" s="542">
        <v>685</v>
      </c>
      <c r="W696" s="543">
        <v>11030219.400000004</v>
      </c>
    </row>
    <row r="697" spans="1:23" x14ac:dyDescent="0.25">
      <c r="A697">
        <v>692</v>
      </c>
      <c r="B697" t="s">
        <v>689</v>
      </c>
      <c r="D697" t="s">
        <v>16</v>
      </c>
      <c r="F697" s="520">
        <v>2</v>
      </c>
      <c r="G697" s="520">
        <v>28660</v>
      </c>
      <c r="H697" s="520">
        <v>200</v>
      </c>
      <c r="I697" s="517"/>
      <c r="J697" s="520">
        <v>0</v>
      </c>
      <c r="K697" s="520">
        <v>0</v>
      </c>
      <c r="L697" s="520">
        <v>0</v>
      </c>
      <c r="M697" s="517"/>
      <c r="N697" s="542">
        <v>2</v>
      </c>
      <c r="O697" s="543">
        <v>28660</v>
      </c>
      <c r="P697" s="543">
        <v>200</v>
      </c>
      <c r="Q697" s="517"/>
      <c r="R697" s="520">
        <v>0</v>
      </c>
      <c r="S697" s="520">
        <v>0</v>
      </c>
      <c r="T697" s="520">
        <v>0</v>
      </c>
      <c r="U697" s="517"/>
      <c r="V697" s="542">
        <v>2</v>
      </c>
      <c r="W697" s="543">
        <v>28660</v>
      </c>
    </row>
    <row r="698" spans="1:23" x14ac:dyDescent="0.25">
      <c r="A698">
        <v>693</v>
      </c>
      <c r="B698" t="s">
        <v>690</v>
      </c>
      <c r="D698" t="s">
        <v>40</v>
      </c>
      <c r="F698" s="520">
        <v>1</v>
      </c>
      <c r="G698" s="520">
        <v>1666332.4</v>
      </c>
      <c r="H698" s="520">
        <v>0</v>
      </c>
      <c r="I698" s="517"/>
      <c r="J698" s="520">
        <v>0</v>
      </c>
      <c r="K698" s="520">
        <v>0</v>
      </c>
      <c r="L698" s="520">
        <v>0</v>
      </c>
      <c r="M698" s="517"/>
      <c r="N698" s="542">
        <v>1</v>
      </c>
      <c r="O698" s="543">
        <v>1666332.4</v>
      </c>
      <c r="P698" s="543">
        <v>0</v>
      </c>
      <c r="Q698" s="517"/>
      <c r="R698" s="520">
        <v>0</v>
      </c>
      <c r="S698" s="520">
        <v>0</v>
      </c>
      <c r="T698" s="520">
        <v>0</v>
      </c>
      <c r="U698" s="517"/>
      <c r="V698" s="542">
        <v>1</v>
      </c>
      <c r="W698" s="543">
        <v>1666332.4</v>
      </c>
    </row>
    <row r="699" spans="1:23" x14ac:dyDescent="0.25">
      <c r="A699">
        <v>694</v>
      </c>
      <c r="B699" t="s">
        <v>3309</v>
      </c>
      <c r="D699" t="s">
        <v>16</v>
      </c>
      <c r="F699" s="520">
        <v>0</v>
      </c>
      <c r="G699" s="520">
        <v>0</v>
      </c>
      <c r="H699" s="520">
        <v>0</v>
      </c>
      <c r="I699" s="517"/>
      <c r="J699" s="520">
        <v>0</v>
      </c>
      <c r="K699" s="520">
        <v>0</v>
      </c>
      <c r="L699" s="520">
        <v>0</v>
      </c>
      <c r="M699" s="517"/>
      <c r="N699" s="542">
        <v>0</v>
      </c>
      <c r="O699" s="543">
        <v>0</v>
      </c>
      <c r="P699" s="543">
        <v>0</v>
      </c>
      <c r="Q699" s="517"/>
      <c r="R699" s="520">
        <v>0</v>
      </c>
      <c r="S699" s="520">
        <v>0</v>
      </c>
      <c r="T699" s="520">
        <v>0</v>
      </c>
      <c r="U699" s="517"/>
      <c r="V699" s="542">
        <v>0</v>
      </c>
      <c r="W699" s="543">
        <v>0</v>
      </c>
    </row>
    <row r="700" spans="1:23" x14ac:dyDescent="0.25">
      <c r="B700" t="s">
        <v>691</v>
      </c>
      <c r="E700"/>
      <c r="F700">
        <v>34698</v>
      </c>
      <c r="G700">
        <v>501364218.92000014</v>
      </c>
      <c r="H700">
        <v>590899</v>
      </c>
      <c r="I700"/>
      <c r="J700">
        <v>-9</v>
      </c>
      <c r="K700">
        <v>-467003.87</v>
      </c>
      <c r="L700">
        <v>-990</v>
      </c>
      <c r="M700"/>
      <c r="N700">
        <v>34689</v>
      </c>
      <c r="O700">
        <v>500897215.05000013</v>
      </c>
      <c r="P700">
        <v>589909</v>
      </c>
      <c r="Q700"/>
      <c r="R700">
        <v>0</v>
      </c>
      <c r="S700">
        <v>0</v>
      </c>
      <c r="T700">
        <v>0</v>
      </c>
      <c r="U700"/>
      <c r="V700"/>
      <c r="W700"/>
    </row>
    <row r="701" spans="1:23" x14ac:dyDescent="0.25"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</row>
    <row r="702" spans="1:23" x14ac:dyDescent="0.25">
      <c r="B702" t="s">
        <v>3310</v>
      </c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</row>
    <row r="703" spans="1:23" x14ac:dyDescent="0.25">
      <c r="B703" t="s">
        <v>3311</v>
      </c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</row>
    <row r="704" spans="1:23" x14ac:dyDescent="0.25">
      <c r="B704" t="s">
        <v>3312</v>
      </c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</row>
    <row r="705" spans="1:23" x14ac:dyDescent="0.25">
      <c r="B705" t="s">
        <v>3313</v>
      </c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</row>
    <row r="706" spans="1:23" x14ac:dyDescent="0.25">
      <c r="A706" s="515"/>
      <c r="C706" s="308"/>
      <c r="D706" s="308"/>
      <c r="F706" s="516"/>
      <c r="G706" s="516"/>
      <c r="H706" s="516"/>
      <c r="I706" s="517"/>
      <c r="J706" s="516"/>
      <c r="K706" s="516"/>
      <c r="L706" s="516"/>
      <c r="M706" s="517"/>
      <c r="N706" s="342"/>
      <c r="O706" s="518"/>
      <c r="P706" s="518"/>
      <c r="Q706" s="519"/>
      <c r="R706" s="516"/>
      <c r="S706" s="516"/>
      <c r="T706" s="516"/>
      <c r="U706" s="517"/>
      <c r="V706" s="342"/>
      <c r="W706" s="518"/>
    </row>
    <row r="707" spans="1:23" x14ac:dyDescent="0.25">
      <c r="A707" s="515"/>
      <c r="C707" s="308"/>
      <c r="D707" s="308"/>
      <c r="F707" s="516"/>
      <c r="G707" s="516"/>
      <c r="H707" s="516"/>
      <c r="I707" s="517"/>
      <c r="J707" s="516"/>
      <c r="K707" s="516"/>
      <c r="L707" s="516"/>
      <c r="M707" s="517"/>
      <c r="N707" s="342"/>
      <c r="O707" s="518"/>
      <c r="P707" s="518"/>
      <c r="Q707" s="519"/>
      <c r="R707" s="516"/>
      <c r="S707" s="516"/>
      <c r="T707" s="516"/>
      <c r="U707" s="517"/>
      <c r="V707" s="342"/>
      <c r="W707" s="518"/>
    </row>
    <row r="708" spans="1:23" x14ac:dyDescent="0.25">
      <c r="A708" s="515"/>
      <c r="C708" s="308"/>
      <c r="D708" s="308"/>
      <c r="F708" s="516"/>
      <c r="G708" s="516"/>
      <c r="H708" s="516"/>
      <c r="I708" s="517"/>
      <c r="J708" s="516"/>
      <c r="K708" s="516"/>
      <c r="L708" s="516"/>
      <c r="M708" s="517"/>
      <c r="N708" s="342"/>
      <c r="O708" s="518"/>
      <c r="P708" s="518"/>
      <c r="Q708" s="519"/>
      <c r="R708" s="516"/>
      <c r="S708" s="516"/>
      <c r="T708" s="516"/>
      <c r="U708" s="517"/>
      <c r="V708" s="342"/>
      <c r="W708" s="518"/>
    </row>
    <row r="709" spans="1:23" x14ac:dyDescent="0.25">
      <c r="A709" s="515"/>
      <c r="C709" s="308"/>
      <c r="D709" s="308"/>
      <c r="F709" s="516"/>
      <c r="G709" s="516"/>
      <c r="H709" s="516"/>
      <c r="I709" s="517"/>
      <c r="J709" s="516"/>
      <c r="K709" s="516"/>
      <c r="L709" s="516"/>
      <c r="M709" s="517"/>
      <c r="N709" s="342"/>
      <c r="O709" s="518"/>
      <c r="P709" s="518"/>
      <c r="Q709" s="519"/>
      <c r="R709" s="516"/>
      <c r="S709" s="516"/>
      <c r="T709" s="516"/>
      <c r="U709" s="517"/>
      <c r="V709" s="342"/>
      <c r="W709" s="518"/>
    </row>
    <row r="710" spans="1:23" x14ac:dyDescent="0.25">
      <c r="A710" s="515"/>
      <c r="C710" s="308"/>
      <c r="D710" s="308"/>
      <c r="F710" s="516"/>
      <c r="G710" s="516"/>
      <c r="H710" s="516"/>
      <c r="I710" s="517"/>
      <c r="J710" s="516"/>
      <c r="K710" s="516"/>
      <c r="L710" s="516"/>
      <c r="M710" s="517"/>
      <c r="N710" s="342"/>
      <c r="O710" s="518"/>
      <c r="P710" s="518"/>
      <c r="Q710" s="519"/>
      <c r="R710" s="516"/>
      <c r="S710" s="516"/>
      <c r="T710" s="516"/>
      <c r="U710" s="517"/>
      <c r="V710" s="342"/>
      <c r="W710" s="518"/>
    </row>
    <row r="711" spans="1:23" x14ac:dyDescent="0.25">
      <c r="A711" s="515"/>
      <c r="C711" s="308"/>
      <c r="D711" s="308"/>
      <c r="F711" s="516"/>
      <c r="G711" s="516"/>
      <c r="H711" s="516"/>
      <c r="I711" s="517"/>
      <c r="J711" s="516"/>
      <c r="K711" s="516"/>
      <c r="L711" s="516"/>
      <c r="M711" s="517"/>
      <c r="N711" s="342"/>
      <c r="O711" s="518"/>
      <c r="P711" s="518"/>
      <c r="Q711" s="519"/>
      <c r="R711" s="516"/>
      <c r="S711" s="516"/>
      <c r="T711" s="516"/>
      <c r="U711" s="517"/>
      <c r="V711" s="342"/>
      <c r="W711" s="518"/>
    </row>
    <row r="712" spans="1:23" x14ac:dyDescent="0.25">
      <c r="A712" s="515"/>
      <c r="C712" s="308"/>
      <c r="D712" s="308"/>
      <c r="F712" s="516"/>
      <c r="G712" s="516"/>
      <c r="H712" s="516"/>
      <c r="I712" s="517"/>
      <c r="J712" s="516"/>
      <c r="K712" s="516"/>
      <c r="L712" s="516"/>
      <c r="M712" s="517"/>
      <c r="N712" s="342"/>
      <c r="O712" s="518"/>
      <c r="P712" s="518"/>
      <c r="Q712" s="519"/>
      <c r="R712" s="516"/>
      <c r="S712" s="516"/>
      <c r="T712" s="516"/>
      <c r="U712" s="517"/>
      <c r="V712" s="342"/>
      <c r="W712" s="518"/>
    </row>
    <row r="713" spans="1:23" x14ac:dyDescent="0.25">
      <c r="A713" s="515"/>
      <c r="C713" s="308"/>
      <c r="D713" s="308"/>
      <c r="F713" s="516"/>
      <c r="G713" s="516"/>
      <c r="H713" s="516"/>
      <c r="I713" s="517"/>
      <c r="J713" s="516"/>
      <c r="K713" s="516"/>
      <c r="L713" s="516"/>
      <c r="M713" s="517"/>
      <c r="N713" s="342"/>
      <c r="O713" s="518"/>
      <c r="P713" s="518"/>
      <c r="Q713" s="519"/>
      <c r="R713" s="516"/>
      <c r="S713" s="516"/>
      <c r="T713" s="516"/>
      <c r="U713" s="517"/>
      <c r="V713" s="342"/>
      <c r="W713" s="518"/>
    </row>
    <row r="714" spans="1:23" x14ac:dyDescent="0.25">
      <c r="A714" s="515"/>
      <c r="C714" s="308"/>
      <c r="D714" s="308"/>
      <c r="F714" s="516"/>
      <c r="G714" s="516"/>
      <c r="H714" s="516"/>
      <c r="I714" s="517"/>
      <c r="J714" s="516"/>
      <c r="K714" s="516"/>
      <c r="L714" s="516"/>
      <c r="M714" s="517"/>
      <c r="N714" s="342"/>
      <c r="O714" s="518"/>
      <c r="P714" s="518"/>
      <c r="Q714" s="519"/>
      <c r="R714" s="516"/>
      <c r="S714" s="516"/>
      <c r="T714" s="516"/>
      <c r="U714" s="517"/>
      <c r="V714" s="342"/>
      <c r="W714" s="518"/>
    </row>
    <row r="715" spans="1:23" x14ac:dyDescent="0.25">
      <c r="A715" s="515"/>
      <c r="C715" s="308"/>
      <c r="D715" s="308"/>
      <c r="F715" s="516"/>
      <c r="G715" s="516"/>
      <c r="H715" s="516"/>
      <c r="I715" s="517"/>
      <c r="J715" s="516"/>
      <c r="K715" s="516"/>
      <c r="L715" s="516"/>
      <c r="M715" s="517"/>
      <c r="N715" s="342"/>
      <c r="O715" s="518"/>
      <c r="P715" s="518"/>
      <c r="Q715" s="519"/>
      <c r="R715" s="516"/>
      <c r="S715" s="516"/>
      <c r="T715" s="516"/>
      <c r="U715" s="517"/>
      <c r="V715" s="342"/>
      <c r="W715" s="518"/>
    </row>
    <row r="716" spans="1:23" x14ac:dyDescent="0.25">
      <c r="A716" s="515"/>
      <c r="C716" s="308"/>
      <c r="D716" s="308"/>
      <c r="F716" s="516"/>
      <c r="G716" s="516"/>
      <c r="H716" s="516"/>
      <c r="I716" s="517"/>
      <c r="J716" s="516"/>
      <c r="K716" s="516"/>
      <c r="L716" s="516"/>
      <c r="M716" s="517"/>
      <c r="N716" s="342"/>
      <c r="O716" s="518"/>
      <c r="P716" s="518"/>
      <c r="Q716" s="519"/>
      <c r="R716" s="516"/>
      <c r="S716" s="516"/>
      <c r="T716" s="516"/>
      <c r="U716" s="517"/>
      <c r="V716" s="342"/>
      <c r="W716" s="518"/>
    </row>
    <row r="717" spans="1:23" x14ac:dyDescent="0.25">
      <c r="A717" s="515"/>
      <c r="C717" s="308"/>
      <c r="D717" s="308"/>
      <c r="F717" s="516"/>
      <c r="G717" s="516"/>
      <c r="H717" s="516"/>
      <c r="I717" s="517"/>
      <c r="J717" s="516"/>
      <c r="K717" s="516"/>
      <c r="L717" s="516"/>
      <c r="M717" s="517"/>
      <c r="N717" s="342"/>
      <c r="O717" s="518"/>
      <c r="P717" s="518"/>
      <c r="Q717" s="519"/>
      <c r="R717" s="516"/>
      <c r="S717" s="516"/>
      <c r="T717" s="516"/>
      <c r="U717" s="517"/>
      <c r="V717" s="342"/>
      <c r="W717" s="518"/>
    </row>
    <row r="718" spans="1:23" x14ac:dyDescent="0.25">
      <c r="A718" s="515"/>
      <c r="C718" s="308"/>
      <c r="D718" s="308"/>
      <c r="F718" s="516"/>
      <c r="G718" s="516"/>
      <c r="H718" s="516"/>
      <c r="I718" s="517"/>
      <c r="J718" s="516"/>
      <c r="K718" s="516"/>
      <c r="L718" s="516"/>
      <c r="M718" s="517"/>
      <c r="N718" s="342"/>
      <c r="O718" s="518"/>
      <c r="P718" s="518"/>
      <c r="Q718" s="519"/>
      <c r="R718" s="516"/>
      <c r="S718" s="516"/>
      <c r="T718" s="516"/>
      <c r="U718" s="517"/>
      <c r="V718" s="342"/>
      <c r="W718" s="518"/>
    </row>
    <row r="719" spans="1:23" x14ac:dyDescent="0.25">
      <c r="A719" s="515"/>
      <c r="C719" s="308"/>
      <c r="D719" s="308"/>
      <c r="F719" s="516"/>
      <c r="G719" s="516"/>
      <c r="H719" s="516"/>
      <c r="I719" s="517"/>
      <c r="J719" s="516"/>
      <c r="K719" s="516"/>
      <c r="L719" s="516"/>
      <c r="M719" s="517"/>
      <c r="N719" s="342"/>
      <c r="O719" s="518"/>
      <c r="P719" s="518"/>
      <c r="Q719" s="519"/>
      <c r="R719" s="516"/>
      <c r="S719" s="516"/>
      <c r="T719" s="516"/>
      <c r="U719" s="517"/>
      <c r="V719" s="342"/>
      <c r="W719" s="518"/>
    </row>
    <row r="720" spans="1:23" x14ac:dyDescent="0.25">
      <c r="A720" s="515"/>
      <c r="C720" s="308"/>
      <c r="D720" s="308"/>
      <c r="F720" s="516"/>
      <c r="G720" s="516"/>
      <c r="H720" s="516"/>
      <c r="I720" s="517"/>
      <c r="J720" s="516"/>
      <c r="K720" s="516"/>
      <c r="L720" s="516"/>
      <c r="M720" s="517"/>
      <c r="N720" s="342"/>
      <c r="O720" s="518"/>
      <c r="P720" s="518"/>
      <c r="Q720" s="519"/>
      <c r="R720" s="516"/>
      <c r="S720" s="516"/>
      <c r="T720" s="516"/>
      <c r="U720" s="517"/>
      <c r="V720" s="342"/>
      <c r="W720" s="518"/>
    </row>
    <row r="721" spans="1:23" x14ac:dyDescent="0.25">
      <c r="A721" s="515"/>
      <c r="C721" s="308"/>
      <c r="D721" s="308"/>
      <c r="F721" s="516"/>
      <c r="G721" s="516"/>
      <c r="H721" s="516"/>
      <c r="I721" s="517"/>
      <c r="J721" s="516"/>
      <c r="K721" s="516"/>
      <c r="L721" s="516"/>
      <c r="M721" s="517"/>
      <c r="N721" s="342"/>
      <c r="O721" s="518"/>
      <c r="P721" s="518"/>
      <c r="Q721" s="519"/>
      <c r="R721" s="516"/>
      <c r="S721" s="516"/>
      <c r="T721" s="516"/>
      <c r="U721" s="517"/>
      <c r="V721" s="342"/>
      <c r="W721" s="518"/>
    </row>
    <row r="722" spans="1:23" x14ac:dyDescent="0.25">
      <c r="A722" s="515"/>
      <c r="C722" s="308"/>
      <c r="D722" s="308"/>
      <c r="F722" s="516"/>
      <c r="G722" s="516"/>
      <c r="H722" s="516"/>
      <c r="I722" s="517"/>
      <c r="J722" s="516"/>
      <c r="K722" s="516"/>
      <c r="L722" s="516"/>
      <c r="M722" s="517"/>
      <c r="N722" s="342"/>
      <c r="O722" s="518"/>
      <c r="P722" s="518"/>
      <c r="Q722" s="519"/>
      <c r="R722" s="516"/>
      <c r="S722" s="516"/>
      <c r="T722" s="516"/>
      <c r="U722" s="517"/>
      <c r="V722" s="342"/>
      <c r="W722" s="518"/>
    </row>
    <row r="723" spans="1:23" x14ac:dyDescent="0.25">
      <c r="A723" s="515"/>
      <c r="C723" s="308"/>
      <c r="D723" s="308"/>
      <c r="F723" s="516"/>
      <c r="G723" s="516"/>
      <c r="H723" s="516"/>
      <c r="I723" s="517"/>
      <c r="J723" s="516"/>
      <c r="K723" s="516"/>
      <c r="L723" s="516"/>
      <c r="M723" s="517"/>
      <c r="N723" s="342"/>
      <c r="O723" s="518"/>
      <c r="P723" s="518"/>
      <c r="Q723" s="519"/>
      <c r="R723" s="516"/>
      <c r="S723" s="516"/>
      <c r="T723" s="516"/>
      <c r="U723" s="517"/>
      <c r="V723" s="342"/>
      <c r="W723" s="518"/>
    </row>
    <row r="724" spans="1:23" x14ac:dyDescent="0.25">
      <c r="A724" s="515"/>
      <c r="C724" s="308"/>
      <c r="D724" s="308"/>
      <c r="F724" s="516"/>
      <c r="G724" s="516"/>
      <c r="H724" s="516"/>
      <c r="I724" s="517"/>
      <c r="J724" s="516"/>
      <c r="K724" s="516"/>
      <c r="L724" s="516"/>
      <c r="M724" s="517"/>
      <c r="N724" s="342"/>
      <c r="O724" s="518"/>
      <c r="P724" s="518"/>
      <c r="Q724" s="519"/>
      <c r="R724" s="516"/>
      <c r="S724" s="516"/>
      <c r="T724" s="516"/>
      <c r="U724" s="517"/>
      <c r="V724" s="342"/>
      <c r="W724" s="518"/>
    </row>
    <row r="725" spans="1:23" x14ac:dyDescent="0.25">
      <c r="A725" s="515"/>
      <c r="C725" s="308"/>
      <c r="D725" s="308"/>
      <c r="F725" s="516"/>
      <c r="G725" s="516"/>
      <c r="H725" s="516"/>
      <c r="I725" s="517"/>
      <c r="J725" s="516"/>
      <c r="K725" s="516"/>
      <c r="L725" s="516"/>
      <c r="M725" s="517"/>
      <c r="N725" s="342"/>
      <c r="O725" s="518"/>
      <c r="P725" s="518"/>
      <c r="Q725" s="519"/>
      <c r="R725" s="516"/>
      <c r="S725" s="516"/>
      <c r="T725" s="516"/>
      <c r="U725" s="517"/>
      <c r="V725" s="342"/>
      <c r="W725" s="518"/>
    </row>
    <row r="726" spans="1:23" x14ac:dyDescent="0.25">
      <c r="A726" s="515"/>
      <c r="C726" s="308"/>
      <c r="D726" s="308"/>
      <c r="F726" s="516"/>
      <c r="G726" s="516"/>
      <c r="H726" s="516"/>
      <c r="I726" s="517"/>
      <c r="J726" s="516"/>
      <c r="K726" s="516"/>
      <c r="L726" s="516"/>
      <c r="M726" s="517"/>
      <c r="N726" s="342"/>
      <c r="O726" s="518"/>
      <c r="P726" s="518"/>
      <c r="Q726" s="519"/>
      <c r="R726" s="516"/>
      <c r="S726" s="516"/>
      <c r="T726" s="516"/>
      <c r="U726" s="517"/>
      <c r="V726" s="342"/>
      <c r="W726" s="518"/>
    </row>
    <row r="727" spans="1:23" x14ac:dyDescent="0.25">
      <c r="A727" s="515"/>
      <c r="C727" s="308"/>
      <c r="D727" s="308"/>
      <c r="F727" s="516"/>
      <c r="G727" s="516"/>
      <c r="H727" s="516"/>
      <c r="I727" s="517"/>
      <c r="J727" s="516"/>
      <c r="K727" s="516"/>
      <c r="L727" s="516"/>
      <c r="M727" s="517"/>
      <c r="N727" s="342"/>
      <c r="O727" s="518"/>
      <c r="P727" s="518"/>
      <c r="Q727" s="519"/>
      <c r="R727" s="516"/>
      <c r="S727" s="516"/>
      <c r="T727" s="516"/>
      <c r="U727" s="517"/>
      <c r="V727" s="342"/>
      <c r="W727" s="518"/>
    </row>
    <row r="728" spans="1:23" x14ac:dyDescent="0.25">
      <c r="A728" s="515"/>
      <c r="C728" s="308"/>
      <c r="D728" s="308"/>
      <c r="F728" s="516"/>
      <c r="G728" s="516"/>
      <c r="H728" s="516"/>
      <c r="I728" s="517"/>
      <c r="J728" s="516"/>
      <c r="K728" s="516"/>
      <c r="L728" s="516"/>
      <c r="M728" s="517"/>
      <c r="N728" s="342"/>
      <c r="O728" s="518"/>
      <c r="P728" s="518"/>
      <c r="Q728" s="519"/>
      <c r="R728" s="516"/>
      <c r="S728" s="516"/>
      <c r="T728" s="516"/>
      <c r="U728" s="517"/>
      <c r="V728" s="342"/>
      <c r="W728" s="518"/>
    </row>
    <row r="729" spans="1:23" x14ac:dyDescent="0.25">
      <c r="A729" s="515"/>
      <c r="C729" s="308"/>
      <c r="D729" s="308"/>
      <c r="F729" s="516"/>
      <c r="G729" s="516"/>
      <c r="H729" s="516"/>
      <c r="I729" s="517"/>
      <c r="J729" s="516"/>
      <c r="K729" s="516"/>
      <c r="L729" s="516"/>
      <c r="M729" s="517"/>
      <c r="N729" s="342"/>
      <c r="O729" s="518"/>
      <c r="P729" s="518"/>
      <c r="Q729" s="519"/>
      <c r="R729" s="516"/>
      <c r="S729" s="516"/>
      <c r="T729" s="516"/>
      <c r="U729" s="517"/>
      <c r="V729" s="342"/>
      <c r="W729" s="518"/>
    </row>
    <row r="730" spans="1:23" x14ac:dyDescent="0.25">
      <c r="A730" s="515"/>
      <c r="C730" s="308"/>
      <c r="D730" s="308"/>
      <c r="F730" s="516"/>
      <c r="G730" s="516"/>
      <c r="H730" s="516"/>
      <c r="I730" s="517"/>
      <c r="J730" s="516"/>
      <c r="K730" s="516"/>
      <c r="L730" s="516"/>
      <c r="M730" s="517"/>
      <c r="N730" s="342"/>
      <c r="O730" s="518"/>
      <c r="P730" s="518"/>
      <c r="Q730" s="519"/>
      <c r="R730" s="516"/>
      <c r="S730" s="516"/>
      <c r="T730" s="516"/>
      <c r="U730" s="517"/>
      <c r="V730" s="342"/>
      <c r="W730" s="518"/>
    </row>
    <row r="731" spans="1:23" x14ac:dyDescent="0.25">
      <c r="A731" s="515"/>
      <c r="C731" s="308"/>
      <c r="D731" s="308"/>
      <c r="F731" s="516"/>
      <c r="G731" s="516"/>
      <c r="H731" s="516"/>
      <c r="I731" s="517"/>
      <c r="J731" s="516"/>
      <c r="K731" s="516"/>
      <c r="L731" s="516"/>
      <c r="M731" s="517"/>
      <c r="N731" s="342"/>
      <c r="O731" s="518"/>
      <c r="P731" s="518"/>
      <c r="Q731" s="519"/>
      <c r="R731" s="516"/>
      <c r="S731" s="516"/>
      <c r="T731" s="516"/>
      <c r="U731" s="517"/>
      <c r="V731" s="342"/>
      <c r="W731" s="518"/>
    </row>
    <row r="732" spans="1:23" x14ac:dyDescent="0.25">
      <c r="A732" s="515"/>
      <c r="C732" s="308"/>
      <c r="D732" s="308"/>
      <c r="F732" s="516"/>
      <c r="G732" s="516"/>
      <c r="H732" s="516"/>
      <c r="I732" s="517"/>
      <c r="J732" s="516"/>
      <c r="K732" s="516"/>
      <c r="L732" s="516"/>
      <c r="M732" s="517"/>
      <c r="N732" s="342"/>
      <c r="O732" s="518"/>
      <c r="P732" s="518"/>
      <c r="Q732" s="519"/>
      <c r="R732" s="516"/>
      <c r="S732" s="516"/>
      <c r="T732" s="516"/>
      <c r="U732" s="517"/>
      <c r="V732" s="342"/>
      <c r="W732" s="518"/>
    </row>
    <row r="733" spans="1:23" x14ac:dyDescent="0.25">
      <c r="A733" s="515"/>
      <c r="C733" s="308"/>
      <c r="D733" s="308"/>
      <c r="F733" s="516"/>
      <c r="G733" s="516"/>
      <c r="H733" s="516"/>
      <c r="I733" s="517"/>
      <c r="J733" s="516"/>
      <c r="K733" s="516"/>
      <c r="L733" s="516"/>
      <c r="M733" s="517"/>
      <c r="N733" s="342"/>
      <c r="O733" s="518"/>
      <c r="P733" s="518"/>
      <c r="Q733" s="519"/>
      <c r="R733" s="516"/>
      <c r="S733" s="516"/>
      <c r="T733" s="516"/>
      <c r="U733" s="517"/>
      <c r="V733" s="342"/>
      <c r="W733" s="518"/>
    </row>
    <row r="734" spans="1:23" x14ac:dyDescent="0.25">
      <c r="A734" s="515"/>
      <c r="B734" s="309"/>
      <c r="C734" s="308"/>
      <c r="D734" s="308"/>
      <c r="F734" s="516"/>
      <c r="G734" s="516"/>
      <c r="H734" s="516"/>
      <c r="I734" s="517"/>
      <c r="J734" s="516"/>
      <c r="K734" s="516"/>
      <c r="L734" s="516"/>
      <c r="M734" s="517"/>
      <c r="N734" s="342"/>
      <c r="O734" s="518"/>
      <c r="P734" s="518"/>
      <c r="Q734" s="519"/>
      <c r="R734" s="516"/>
      <c r="S734" s="516"/>
      <c r="T734" s="516"/>
      <c r="U734" s="517"/>
      <c r="V734" s="342"/>
      <c r="W734" s="518"/>
    </row>
    <row r="735" spans="1:23" x14ac:dyDescent="0.25">
      <c r="A735" s="515"/>
      <c r="B735" s="309"/>
      <c r="C735" s="308"/>
      <c r="D735" s="308"/>
      <c r="F735" s="516"/>
      <c r="G735" s="516"/>
      <c r="H735" s="516"/>
      <c r="I735" s="517"/>
      <c r="J735" s="516"/>
      <c r="K735" s="516"/>
      <c r="L735" s="516"/>
      <c r="M735" s="517"/>
      <c r="N735" s="342"/>
      <c r="O735" s="518"/>
      <c r="P735" s="518"/>
      <c r="Q735" s="519"/>
      <c r="R735" s="516"/>
      <c r="S735" s="516"/>
      <c r="T735" s="516"/>
      <c r="U735" s="517"/>
      <c r="V735" s="342"/>
      <c r="W735" s="518"/>
    </row>
    <row r="736" spans="1:23" x14ac:dyDescent="0.25">
      <c r="A736" s="515"/>
      <c r="B736" s="309"/>
      <c r="C736" s="308"/>
      <c r="D736" s="308"/>
      <c r="F736" s="516"/>
      <c r="G736" s="516"/>
      <c r="H736" s="516"/>
      <c r="I736" s="517"/>
      <c r="J736" s="516"/>
      <c r="K736" s="516"/>
      <c r="L736" s="516"/>
      <c r="M736" s="517"/>
      <c r="N736" s="342"/>
      <c r="O736" s="518"/>
      <c r="P736" s="518"/>
      <c r="Q736" s="519"/>
      <c r="R736" s="516"/>
      <c r="S736" s="516"/>
      <c r="T736" s="516"/>
      <c r="U736" s="517"/>
      <c r="V736" s="342"/>
      <c r="W736" s="518"/>
    </row>
    <row r="737" spans="1:23" x14ac:dyDescent="0.25">
      <c r="A737" s="515"/>
      <c r="B737" s="309"/>
      <c r="C737" s="308"/>
      <c r="D737" s="308"/>
      <c r="F737" s="516"/>
      <c r="G737" s="516"/>
      <c r="H737" s="516"/>
      <c r="I737" s="517"/>
      <c r="J737" s="516"/>
      <c r="K737" s="516"/>
      <c r="L737" s="516"/>
      <c r="M737" s="517"/>
      <c r="N737" s="342"/>
      <c r="O737" s="518"/>
      <c r="P737" s="518"/>
      <c r="Q737" s="519"/>
      <c r="R737" s="516"/>
      <c r="S737" s="516"/>
      <c r="T737" s="516"/>
      <c r="U737" s="517"/>
      <c r="V737" s="342"/>
      <c r="W737" s="518"/>
    </row>
    <row r="738" spans="1:23" x14ac:dyDescent="0.25">
      <c r="A738" s="515"/>
      <c r="B738" s="309"/>
      <c r="C738" s="308"/>
      <c r="D738" s="308"/>
      <c r="F738" s="516"/>
      <c r="G738" s="516"/>
      <c r="H738" s="516"/>
      <c r="I738" s="517"/>
      <c r="J738" s="516"/>
      <c r="K738" s="516"/>
      <c r="L738" s="516"/>
      <c r="M738" s="517"/>
      <c r="N738" s="342"/>
      <c r="O738" s="518"/>
      <c r="P738" s="518"/>
      <c r="Q738" s="519"/>
      <c r="R738" s="516"/>
      <c r="S738" s="516"/>
      <c r="T738" s="516"/>
      <c r="U738" s="517"/>
      <c r="V738" s="342"/>
      <c r="W738" s="518"/>
    </row>
    <row r="739" spans="1:23" x14ac:dyDescent="0.25">
      <c r="A739" s="515"/>
      <c r="B739" s="309"/>
      <c r="C739" s="308"/>
      <c r="D739" s="308"/>
      <c r="F739" s="516"/>
      <c r="G739" s="516"/>
      <c r="H739" s="516"/>
      <c r="I739" s="517"/>
      <c r="J739" s="516"/>
      <c r="K739" s="516"/>
      <c r="L739" s="516"/>
      <c r="M739" s="517"/>
      <c r="N739" s="342"/>
      <c r="O739" s="518"/>
      <c r="P739" s="518"/>
      <c r="Q739" s="519"/>
      <c r="R739" s="516"/>
      <c r="S739" s="516"/>
      <c r="T739" s="516"/>
      <c r="U739" s="517"/>
      <c r="V739" s="342"/>
      <c r="W739" s="518"/>
    </row>
    <row r="740" spans="1:23" x14ac:dyDescent="0.25">
      <c r="A740" s="515"/>
      <c r="B740" s="144"/>
      <c r="C740" s="308"/>
      <c r="D740" s="308"/>
      <c r="F740" s="516"/>
      <c r="G740" s="516"/>
      <c r="H740" s="516"/>
      <c r="I740" s="517"/>
      <c r="J740" s="516"/>
      <c r="K740" s="516"/>
      <c r="L740" s="516"/>
      <c r="M740" s="517"/>
      <c r="N740" s="342"/>
      <c r="O740" s="518"/>
      <c r="P740" s="518"/>
      <c r="Q740" s="519"/>
      <c r="R740" s="516"/>
      <c r="S740" s="516"/>
      <c r="T740" s="516"/>
      <c r="U740" s="517"/>
      <c r="V740" s="342"/>
      <c r="W740" s="518"/>
    </row>
    <row r="741" spans="1:23" x14ac:dyDescent="0.25">
      <c r="A741" s="515"/>
      <c r="B741" s="144"/>
      <c r="C741" s="308"/>
      <c r="D741" s="308"/>
      <c r="F741" s="516"/>
      <c r="G741" s="516"/>
      <c r="H741" s="516"/>
      <c r="I741" s="517"/>
      <c r="J741" s="516"/>
      <c r="K741" s="516"/>
      <c r="L741" s="516"/>
      <c r="M741" s="517"/>
      <c r="N741" s="342"/>
      <c r="O741" s="518"/>
      <c r="P741" s="518"/>
      <c r="Q741" s="519"/>
      <c r="R741" s="516"/>
      <c r="S741" s="516"/>
      <c r="T741" s="516"/>
      <c r="U741" s="517"/>
      <c r="V741" s="342"/>
      <c r="W741" s="518"/>
    </row>
    <row r="742" spans="1:23" x14ac:dyDescent="0.25">
      <c r="A742" s="515"/>
      <c r="B742" s="144"/>
      <c r="C742" s="308"/>
      <c r="D742" s="308"/>
      <c r="F742" s="516"/>
      <c r="G742" s="516"/>
      <c r="H742" s="516"/>
      <c r="I742" s="517"/>
      <c r="J742" s="516"/>
      <c r="K742" s="516"/>
      <c r="L742" s="516"/>
      <c r="M742" s="517"/>
      <c r="N742" s="342"/>
      <c r="O742" s="518"/>
      <c r="P742" s="518"/>
      <c r="Q742" s="519"/>
      <c r="R742" s="516"/>
      <c r="S742" s="516"/>
      <c r="T742" s="516"/>
      <c r="U742" s="517"/>
      <c r="V742" s="342"/>
      <c r="W742" s="518"/>
    </row>
    <row r="743" spans="1:23" x14ac:dyDescent="0.25">
      <c r="A743" s="515"/>
      <c r="B743" s="144"/>
      <c r="C743" s="308"/>
      <c r="D743" s="308"/>
      <c r="F743" s="516"/>
      <c r="G743" s="516"/>
      <c r="H743" s="516"/>
      <c r="I743" s="517"/>
      <c r="J743" s="516"/>
      <c r="K743" s="516"/>
      <c r="L743" s="516"/>
      <c r="M743" s="517"/>
      <c r="N743" s="342"/>
      <c r="O743" s="518"/>
      <c r="P743" s="518"/>
      <c r="Q743" s="519"/>
      <c r="R743" s="516"/>
      <c r="S743" s="516"/>
      <c r="T743" s="516"/>
      <c r="U743" s="517"/>
      <c r="V743" s="342"/>
      <c r="W743" s="518"/>
    </row>
    <row r="744" spans="1:23" x14ac:dyDescent="0.25">
      <c r="A744" s="515"/>
      <c r="B744" s="144"/>
      <c r="C744" s="308"/>
      <c r="D744" s="308"/>
      <c r="F744" s="516"/>
      <c r="G744" s="516"/>
      <c r="H744" s="516"/>
      <c r="I744" s="517"/>
      <c r="J744" s="516"/>
      <c r="K744" s="516"/>
      <c r="L744" s="516"/>
      <c r="M744" s="517"/>
      <c r="N744" s="342"/>
      <c r="O744" s="518"/>
      <c r="P744" s="518"/>
      <c r="Q744" s="519"/>
      <c r="R744" s="516"/>
      <c r="S744" s="516"/>
      <c r="T744" s="516"/>
      <c r="U744" s="517"/>
      <c r="V744" s="342"/>
      <c r="W744" s="518"/>
    </row>
    <row r="745" spans="1:23" x14ac:dyDescent="0.25">
      <c r="A745" s="515"/>
      <c r="B745" s="144"/>
      <c r="C745" s="308"/>
      <c r="D745" s="308"/>
      <c r="F745" s="516"/>
      <c r="G745" s="516"/>
      <c r="H745" s="516"/>
      <c r="I745" s="517"/>
      <c r="J745" s="516"/>
      <c r="K745" s="516"/>
      <c r="L745" s="516"/>
      <c r="M745" s="517"/>
      <c r="N745" s="342"/>
      <c r="O745" s="518"/>
      <c r="P745" s="518"/>
      <c r="Q745" s="519"/>
      <c r="R745" s="516"/>
      <c r="S745" s="516"/>
      <c r="T745" s="516"/>
      <c r="U745" s="517"/>
      <c r="V745" s="342"/>
      <c r="W745" s="518"/>
    </row>
    <row r="746" spans="1:23" x14ac:dyDescent="0.25">
      <c r="A746" s="515"/>
      <c r="B746" s="144"/>
      <c r="C746" s="308"/>
      <c r="D746" s="308"/>
      <c r="F746" s="516"/>
      <c r="G746" s="516"/>
      <c r="H746" s="516"/>
      <c r="I746" s="517"/>
      <c r="J746" s="516"/>
      <c r="K746" s="516"/>
      <c r="L746" s="516"/>
      <c r="M746" s="517"/>
      <c r="N746" s="342"/>
      <c r="O746" s="518"/>
      <c r="P746" s="518"/>
      <c r="Q746" s="519"/>
      <c r="R746" s="516"/>
      <c r="S746" s="516"/>
      <c r="T746" s="516"/>
      <c r="U746" s="517"/>
      <c r="V746" s="342"/>
      <c r="W746" s="518"/>
    </row>
    <row r="747" spans="1:23" x14ac:dyDescent="0.25">
      <c r="A747" s="515"/>
      <c r="B747" s="144"/>
      <c r="C747" s="308"/>
      <c r="D747" s="308"/>
      <c r="F747" s="516"/>
      <c r="G747" s="516"/>
      <c r="H747" s="516"/>
      <c r="I747" s="517"/>
      <c r="J747" s="516"/>
      <c r="K747" s="516"/>
      <c r="L747" s="516"/>
      <c r="M747" s="517"/>
      <c r="N747" s="342"/>
      <c r="O747" s="518"/>
      <c r="P747" s="518"/>
      <c r="Q747" s="519"/>
      <c r="R747" s="516"/>
      <c r="S747" s="516"/>
      <c r="T747" s="516"/>
      <c r="U747" s="517"/>
      <c r="V747" s="342"/>
      <c r="W747" s="518"/>
    </row>
    <row r="748" spans="1:23" x14ac:dyDescent="0.25">
      <c r="A748" s="515"/>
      <c r="B748" s="144"/>
      <c r="C748" s="308"/>
      <c r="D748" s="308"/>
      <c r="F748" s="516"/>
      <c r="G748" s="516"/>
      <c r="H748" s="516"/>
      <c r="I748" s="517"/>
      <c r="J748" s="516"/>
      <c r="K748" s="516"/>
      <c r="L748" s="516"/>
      <c r="M748" s="517"/>
      <c r="N748" s="342"/>
      <c r="O748" s="518"/>
      <c r="P748" s="518"/>
      <c r="Q748" s="519"/>
      <c r="R748" s="516"/>
      <c r="S748" s="516"/>
      <c r="T748" s="516"/>
      <c r="U748" s="517"/>
      <c r="V748" s="342"/>
      <c r="W748" s="518"/>
    </row>
    <row r="749" spans="1:23" x14ac:dyDescent="0.25">
      <c r="A749" s="515"/>
      <c r="B749" s="144"/>
      <c r="C749" s="308"/>
      <c r="D749" s="308"/>
      <c r="F749" s="516"/>
      <c r="G749" s="516"/>
      <c r="H749" s="516"/>
      <c r="I749" s="517"/>
      <c r="J749" s="516"/>
      <c r="K749" s="516"/>
      <c r="L749" s="516"/>
      <c r="M749" s="517"/>
      <c r="N749" s="342"/>
      <c r="O749" s="518"/>
      <c r="P749" s="518"/>
      <c r="Q749" s="519"/>
      <c r="R749" s="516"/>
      <c r="S749" s="516"/>
      <c r="T749" s="516"/>
      <c r="U749" s="517"/>
      <c r="V749" s="342"/>
      <c r="W749" s="518"/>
    </row>
    <row r="750" spans="1:23" x14ac:dyDescent="0.25">
      <c r="A750" s="515"/>
      <c r="B750" s="144"/>
      <c r="C750" s="308"/>
      <c r="D750" s="308"/>
      <c r="F750" s="516"/>
      <c r="G750" s="516"/>
      <c r="H750" s="516"/>
      <c r="I750" s="517"/>
      <c r="J750" s="516"/>
      <c r="K750" s="516"/>
      <c r="L750" s="516"/>
      <c r="M750" s="517"/>
      <c r="N750" s="342"/>
      <c r="O750" s="518"/>
      <c r="P750" s="518"/>
      <c r="Q750" s="519"/>
      <c r="R750" s="516"/>
      <c r="S750" s="516"/>
      <c r="T750" s="516"/>
      <c r="U750" s="517"/>
      <c r="V750" s="342"/>
      <c r="W750" s="518"/>
    </row>
    <row r="751" spans="1:23" x14ac:dyDescent="0.25">
      <c r="A751" s="515"/>
      <c r="B751" s="144"/>
      <c r="C751" s="308"/>
      <c r="D751" s="308"/>
      <c r="F751" s="516"/>
      <c r="G751" s="516"/>
      <c r="H751" s="516"/>
      <c r="I751" s="517"/>
      <c r="J751" s="516"/>
      <c r="K751" s="516"/>
      <c r="L751" s="516"/>
      <c r="M751" s="517"/>
      <c r="N751" s="342"/>
      <c r="O751" s="518"/>
      <c r="P751" s="518"/>
      <c r="Q751" s="519"/>
      <c r="R751" s="516"/>
      <c r="S751" s="516"/>
      <c r="T751" s="516"/>
      <c r="U751" s="517"/>
      <c r="V751" s="342"/>
      <c r="W751" s="518"/>
    </row>
    <row r="752" spans="1:23" x14ac:dyDescent="0.25">
      <c r="A752" s="515"/>
      <c r="B752" s="144"/>
      <c r="C752" s="308"/>
      <c r="D752" s="308"/>
      <c r="F752" s="516"/>
      <c r="G752" s="516"/>
      <c r="H752" s="516"/>
      <c r="I752" s="517"/>
      <c r="J752" s="516"/>
      <c r="K752" s="516"/>
      <c r="L752" s="516"/>
      <c r="M752" s="517"/>
      <c r="N752" s="342"/>
      <c r="O752" s="518"/>
      <c r="P752" s="518"/>
      <c r="Q752" s="519"/>
      <c r="R752" s="516"/>
      <c r="S752" s="516"/>
      <c r="T752" s="516"/>
      <c r="U752" s="517"/>
      <c r="V752" s="342"/>
      <c r="W752" s="518"/>
    </row>
    <row r="753" spans="1:23" x14ac:dyDescent="0.25">
      <c r="A753" s="515"/>
      <c r="B753" s="144"/>
      <c r="C753" s="308"/>
      <c r="D753" s="308"/>
      <c r="F753" s="516"/>
      <c r="G753" s="516"/>
      <c r="H753" s="516"/>
      <c r="I753" s="517"/>
      <c r="J753" s="516"/>
      <c r="K753" s="516"/>
      <c r="L753" s="516"/>
      <c r="M753" s="517"/>
      <c r="N753" s="342"/>
      <c r="O753" s="518"/>
      <c r="P753" s="518"/>
      <c r="Q753" s="519"/>
      <c r="R753" s="516"/>
      <c r="S753" s="516"/>
      <c r="T753" s="516"/>
      <c r="U753" s="517"/>
      <c r="V753" s="342"/>
      <c r="W753" s="518"/>
    </row>
    <row r="754" spans="1:23" x14ac:dyDescent="0.25">
      <c r="A754" s="515"/>
      <c r="B754" s="144"/>
      <c r="C754" s="308"/>
      <c r="D754" s="308"/>
      <c r="F754" s="516"/>
      <c r="G754" s="516"/>
      <c r="H754" s="516"/>
      <c r="I754" s="517"/>
      <c r="J754" s="516"/>
      <c r="K754" s="516"/>
      <c r="L754" s="516"/>
      <c r="M754" s="517"/>
      <c r="N754" s="342"/>
      <c r="O754" s="518"/>
      <c r="P754" s="518"/>
      <c r="Q754" s="519"/>
      <c r="R754" s="516"/>
      <c r="S754" s="516"/>
      <c r="T754" s="516"/>
      <c r="U754" s="517"/>
      <c r="V754" s="342"/>
      <c r="W754" s="518"/>
    </row>
    <row r="755" spans="1:23" x14ac:dyDescent="0.25">
      <c r="A755" s="515"/>
      <c r="B755" s="144"/>
      <c r="C755" s="308"/>
      <c r="D755" s="308"/>
      <c r="F755" s="516"/>
      <c r="G755" s="516"/>
      <c r="H755" s="516"/>
      <c r="I755" s="517"/>
      <c r="J755" s="516"/>
      <c r="K755" s="516"/>
      <c r="L755" s="516"/>
      <c r="M755" s="517"/>
      <c r="N755" s="342"/>
      <c r="O755" s="518"/>
      <c r="P755" s="518"/>
      <c r="Q755" s="519"/>
      <c r="R755" s="516"/>
      <c r="S755" s="516"/>
      <c r="T755" s="516"/>
      <c r="U755" s="517"/>
      <c r="V755" s="342"/>
      <c r="W755" s="518"/>
    </row>
    <row r="756" spans="1:23" x14ac:dyDescent="0.25">
      <c r="A756" s="515"/>
      <c r="B756" s="144"/>
      <c r="C756" s="308"/>
      <c r="D756" s="308"/>
      <c r="F756" s="516"/>
      <c r="G756" s="516"/>
      <c r="H756" s="516"/>
      <c r="I756" s="517"/>
      <c r="J756" s="516"/>
      <c r="K756" s="516"/>
      <c r="L756" s="516"/>
      <c r="M756" s="517"/>
      <c r="N756" s="342"/>
      <c r="O756" s="518"/>
      <c r="P756" s="518"/>
      <c r="Q756" s="519"/>
      <c r="R756" s="516"/>
      <c r="S756" s="516"/>
      <c r="T756" s="516"/>
      <c r="U756" s="517"/>
      <c r="V756" s="342"/>
      <c r="W756" s="518"/>
    </row>
    <row r="757" spans="1:23" x14ac:dyDescent="0.25">
      <c r="A757" s="515"/>
      <c r="B757" s="144"/>
      <c r="C757" s="308"/>
      <c r="D757" s="308"/>
      <c r="F757" s="516"/>
      <c r="G757" s="516"/>
      <c r="H757" s="516"/>
      <c r="I757" s="517"/>
      <c r="J757" s="516"/>
      <c r="K757" s="516"/>
      <c r="L757" s="516"/>
      <c r="M757" s="517"/>
      <c r="N757" s="342"/>
      <c r="O757" s="518"/>
      <c r="P757" s="518"/>
      <c r="Q757" s="519"/>
      <c r="R757" s="516"/>
      <c r="S757" s="516"/>
      <c r="T757" s="516"/>
      <c r="U757" s="517"/>
      <c r="V757" s="342"/>
      <c r="W757" s="518"/>
    </row>
    <row r="758" spans="1:23" x14ac:dyDescent="0.25">
      <c r="A758" s="515"/>
      <c r="B758" s="144"/>
      <c r="C758" s="308"/>
      <c r="D758" s="308"/>
      <c r="F758" s="516"/>
      <c r="G758" s="516"/>
      <c r="H758" s="516"/>
      <c r="I758" s="517"/>
      <c r="J758" s="516"/>
      <c r="K758" s="516"/>
      <c r="L758" s="516"/>
      <c r="M758" s="517"/>
      <c r="N758" s="342"/>
      <c r="O758" s="518"/>
      <c r="P758" s="518"/>
      <c r="Q758" s="519"/>
      <c r="R758" s="516"/>
      <c r="S758" s="516"/>
      <c r="T758" s="516"/>
      <c r="U758" s="517"/>
      <c r="V758" s="342"/>
      <c r="W758" s="518"/>
    </row>
    <row r="759" spans="1:23" x14ac:dyDescent="0.25">
      <c r="A759" s="515"/>
      <c r="B759" s="144"/>
      <c r="C759" s="308"/>
      <c r="D759" s="308"/>
      <c r="F759" s="516"/>
      <c r="G759" s="516"/>
      <c r="H759" s="516"/>
      <c r="I759" s="517"/>
      <c r="J759" s="516"/>
      <c r="K759" s="516"/>
      <c r="L759" s="516"/>
      <c r="M759" s="517"/>
      <c r="N759" s="342"/>
      <c r="O759" s="518"/>
      <c r="P759" s="518"/>
      <c r="Q759" s="519"/>
      <c r="R759" s="516"/>
      <c r="S759" s="516"/>
      <c r="T759" s="516"/>
      <c r="U759" s="517"/>
      <c r="V759" s="342"/>
      <c r="W759" s="518"/>
    </row>
    <row r="760" spans="1:23" x14ac:dyDescent="0.25">
      <c r="A760" s="515"/>
      <c r="B760" s="144"/>
      <c r="C760" s="308"/>
      <c r="D760" s="308"/>
      <c r="F760" s="516"/>
      <c r="G760" s="516"/>
      <c r="H760" s="516"/>
      <c r="I760" s="517"/>
      <c r="J760" s="516"/>
      <c r="K760" s="516"/>
      <c r="L760" s="516"/>
      <c r="M760" s="517"/>
      <c r="N760" s="342"/>
      <c r="O760" s="518"/>
      <c r="P760" s="518"/>
      <c r="Q760" s="519"/>
      <c r="R760" s="516"/>
      <c r="S760" s="516"/>
      <c r="T760" s="516"/>
      <c r="U760" s="517"/>
      <c r="V760" s="342"/>
      <c r="W760" s="518"/>
    </row>
    <row r="761" spans="1:23" x14ac:dyDescent="0.25">
      <c r="A761" s="515"/>
      <c r="B761" s="144"/>
      <c r="C761" s="308"/>
      <c r="D761" s="308"/>
      <c r="F761" s="516"/>
      <c r="G761" s="516"/>
      <c r="H761" s="516"/>
      <c r="I761" s="517"/>
      <c r="J761" s="516"/>
      <c r="K761" s="516"/>
      <c r="L761" s="516"/>
      <c r="M761" s="517"/>
      <c r="N761" s="342"/>
      <c r="O761" s="518"/>
      <c r="P761" s="518"/>
      <c r="Q761" s="519"/>
      <c r="R761" s="516"/>
      <c r="S761" s="516"/>
      <c r="T761" s="516"/>
      <c r="U761" s="517"/>
      <c r="V761" s="342"/>
      <c r="W761" s="518"/>
    </row>
    <row r="762" spans="1:23" x14ac:dyDescent="0.25">
      <c r="A762" s="515"/>
      <c r="B762" s="144"/>
      <c r="C762" s="308"/>
      <c r="D762" s="308"/>
      <c r="F762" s="516"/>
      <c r="G762" s="516"/>
      <c r="H762" s="516"/>
      <c r="I762" s="517"/>
      <c r="J762" s="516"/>
      <c r="K762" s="516"/>
      <c r="L762" s="516"/>
      <c r="M762" s="517"/>
      <c r="N762" s="342"/>
      <c r="O762" s="518"/>
      <c r="P762" s="518"/>
      <c r="Q762" s="519"/>
      <c r="R762" s="516"/>
      <c r="S762" s="516"/>
      <c r="T762" s="516"/>
      <c r="U762" s="517"/>
      <c r="V762" s="342"/>
      <c r="W762" s="518"/>
    </row>
    <row r="763" spans="1:23" x14ac:dyDescent="0.25">
      <c r="A763" s="515"/>
      <c r="B763" s="144"/>
      <c r="C763" s="308"/>
      <c r="D763" s="308"/>
      <c r="F763" s="516"/>
      <c r="G763" s="516"/>
      <c r="H763" s="516"/>
      <c r="I763" s="517"/>
      <c r="J763" s="516"/>
      <c r="K763" s="516"/>
      <c r="L763" s="516"/>
      <c r="M763" s="517"/>
      <c r="N763" s="342"/>
      <c r="O763" s="518"/>
      <c r="P763" s="518"/>
      <c r="Q763" s="519"/>
      <c r="R763" s="516"/>
      <c r="S763" s="516"/>
      <c r="T763" s="516"/>
      <c r="U763" s="517"/>
      <c r="V763" s="342"/>
      <c r="W763" s="518"/>
    </row>
    <row r="764" spans="1:23" x14ac:dyDescent="0.25">
      <c r="A764" s="515"/>
      <c r="B764" s="144"/>
      <c r="C764" s="308"/>
      <c r="D764" s="308"/>
      <c r="F764" s="516"/>
      <c r="G764" s="516"/>
      <c r="H764" s="516"/>
      <c r="I764" s="517"/>
      <c r="J764" s="516"/>
      <c r="K764" s="516"/>
      <c r="L764" s="516"/>
      <c r="M764" s="517"/>
      <c r="N764" s="342"/>
      <c r="O764" s="518"/>
      <c r="P764" s="518"/>
      <c r="Q764" s="519"/>
      <c r="R764" s="516"/>
      <c r="S764" s="516"/>
      <c r="T764" s="516"/>
      <c r="U764" s="517"/>
      <c r="V764" s="342"/>
      <c r="W764" s="518"/>
    </row>
    <row r="765" spans="1:23" x14ac:dyDescent="0.25">
      <c r="A765" s="515"/>
      <c r="B765" s="144"/>
      <c r="C765" s="308"/>
      <c r="D765" s="308"/>
      <c r="F765" s="516"/>
      <c r="G765" s="516"/>
      <c r="H765" s="516"/>
      <c r="I765" s="517"/>
      <c r="J765" s="516"/>
      <c r="K765" s="516"/>
      <c r="L765" s="516"/>
      <c r="M765" s="517"/>
      <c r="N765" s="342"/>
      <c r="O765" s="518"/>
      <c r="P765" s="518"/>
      <c r="Q765" s="519"/>
      <c r="R765" s="516"/>
      <c r="S765" s="516"/>
      <c r="T765" s="516"/>
      <c r="U765" s="517"/>
      <c r="V765" s="342"/>
      <c r="W765" s="518"/>
    </row>
    <row r="766" spans="1:23" x14ac:dyDescent="0.25">
      <c r="A766" s="515"/>
      <c r="B766" s="144"/>
      <c r="C766" s="308"/>
      <c r="D766" s="308"/>
      <c r="F766" s="516"/>
      <c r="G766" s="516"/>
      <c r="H766" s="516"/>
      <c r="I766" s="517"/>
      <c r="J766" s="516"/>
      <c r="K766" s="516"/>
      <c r="L766" s="516"/>
      <c r="M766" s="517"/>
      <c r="N766" s="342"/>
      <c r="O766" s="518"/>
      <c r="P766" s="518"/>
      <c r="Q766" s="525"/>
      <c r="R766" s="516"/>
      <c r="S766" s="516"/>
      <c r="T766" s="516"/>
      <c r="U766" s="517"/>
      <c r="V766" s="342"/>
      <c r="W766" s="518"/>
    </row>
    <row r="767" spans="1:23" x14ac:dyDescent="0.25">
      <c r="A767" s="515"/>
      <c r="B767" s="144"/>
      <c r="C767" s="308"/>
      <c r="D767" s="308"/>
      <c r="F767" s="516"/>
      <c r="G767" s="516"/>
      <c r="H767" s="516"/>
      <c r="I767" s="517"/>
      <c r="J767" s="516"/>
      <c r="K767" s="516"/>
      <c r="L767" s="516"/>
      <c r="M767" s="517"/>
      <c r="N767" s="342"/>
      <c r="O767" s="518"/>
      <c r="P767" s="518"/>
      <c r="Q767" s="519"/>
      <c r="R767" s="516"/>
      <c r="S767" s="516"/>
      <c r="T767" s="516"/>
      <c r="U767" s="517"/>
      <c r="V767" s="342"/>
      <c r="W767" s="518"/>
    </row>
    <row r="768" spans="1:23" x14ac:dyDescent="0.25">
      <c r="A768" s="515"/>
      <c r="B768" s="144"/>
      <c r="C768" s="308"/>
      <c r="D768" s="308"/>
      <c r="F768" s="516"/>
      <c r="G768" s="516"/>
      <c r="H768" s="516"/>
      <c r="I768" s="517"/>
      <c r="J768" s="516"/>
      <c r="K768" s="516"/>
      <c r="L768" s="516"/>
      <c r="M768" s="517"/>
      <c r="N768" s="342"/>
      <c r="O768" s="518"/>
      <c r="P768" s="518"/>
      <c r="Q768" s="517"/>
      <c r="R768" s="516"/>
      <c r="S768" s="516"/>
      <c r="T768" s="516"/>
      <c r="U768" s="517"/>
      <c r="V768" s="342"/>
      <c r="W768" s="518"/>
    </row>
    <row r="769" spans="1:23" x14ac:dyDescent="0.25">
      <c r="A769" s="515"/>
      <c r="B769" s="144"/>
      <c r="C769" s="308"/>
      <c r="D769" s="308"/>
      <c r="F769" s="516"/>
      <c r="G769" s="516"/>
      <c r="H769" s="516"/>
      <c r="I769" s="517"/>
      <c r="J769" s="516"/>
      <c r="K769" s="516"/>
      <c r="L769" s="516"/>
      <c r="M769" s="517"/>
      <c r="N769" s="342"/>
      <c r="O769" s="345"/>
      <c r="P769" s="345"/>
      <c r="Q769" s="517"/>
      <c r="R769" s="516"/>
      <c r="S769" s="516"/>
      <c r="T769" s="516"/>
      <c r="U769" s="517"/>
      <c r="V769" s="342"/>
      <c r="W769" s="518"/>
    </row>
    <row r="770" spans="1:23" x14ac:dyDescent="0.25">
      <c r="A770" s="515"/>
      <c r="B770" s="144"/>
      <c r="C770" s="308"/>
      <c r="D770" s="308"/>
      <c r="F770" s="516"/>
      <c r="G770" s="516"/>
      <c r="H770" s="516"/>
      <c r="I770" s="526"/>
      <c r="J770" s="516"/>
      <c r="K770" s="516"/>
      <c r="L770" s="516"/>
      <c r="M770" s="526"/>
      <c r="N770" s="527"/>
      <c r="O770" s="528"/>
      <c r="P770" s="528"/>
      <c r="Q770" s="526"/>
      <c r="R770" s="516"/>
      <c r="S770" s="516"/>
      <c r="T770" s="516"/>
      <c r="U770" s="517"/>
      <c r="V770" s="527"/>
      <c r="W770" s="528"/>
    </row>
    <row r="771" spans="1:23" x14ac:dyDescent="0.25">
      <c r="A771" s="308"/>
      <c r="F771" s="529"/>
      <c r="G771" s="530"/>
      <c r="H771" s="530"/>
      <c r="I771" s="529"/>
      <c r="J771" s="529"/>
      <c r="K771" s="530"/>
      <c r="L771" s="530"/>
      <c r="M771" s="529"/>
      <c r="N771" s="529"/>
      <c r="O771" s="530"/>
      <c r="P771" s="530"/>
      <c r="Q771" s="529"/>
      <c r="R771" s="529"/>
      <c r="S771" s="530"/>
      <c r="T771" s="530"/>
      <c r="U771" s="529"/>
      <c r="V771" s="529"/>
      <c r="W771" s="531"/>
    </row>
    <row r="772" spans="1:23" x14ac:dyDescent="0.25">
      <c r="A772" s="308"/>
      <c r="F772" s="346"/>
      <c r="G772" s="347"/>
      <c r="H772" s="347"/>
      <c r="I772" s="348"/>
      <c r="J772" s="346"/>
      <c r="K772" s="347"/>
      <c r="L772" s="347"/>
      <c r="M772" s="348"/>
      <c r="N772" s="346"/>
      <c r="O772" s="347"/>
      <c r="P772" s="347"/>
      <c r="Q772" s="355"/>
      <c r="R772" s="346"/>
      <c r="S772" s="347"/>
      <c r="T772" s="347"/>
      <c r="U772" s="271"/>
      <c r="V772" s="342"/>
      <c r="W772" s="345"/>
    </row>
    <row r="773" spans="1:23" x14ac:dyDescent="0.25">
      <c r="A773" s="308"/>
      <c r="F773" s="346"/>
      <c r="G773" s="347"/>
      <c r="H773" s="347"/>
      <c r="I773" s="348"/>
      <c r="J773" s="346"/>
      <c r="K773" s="347"/>
      <c r="L773" s="347"/>
      <c r="M773" s="348"/>
      <c r="N773" s="346"/>
      <c r="O773" s="347"/>
      <c r="P773" s="347"/>
      <c r="Q773" s="355"/>
      <c r="R773" s="346"/>
      <c r="S773" s="347"/>
      <c r="T773" s="347"/>
      <c r="U773" s="271"/>
      <c r="V773" s="342"/>
      <c r="W773" s="345"/>
    </row>
    <row r="774" spans="1:23" x14ac:dyDescent="0.25">
      <c r="A774" s="308"/>
      <c r="F774" s="346"/>
      <c r="G774" s="347"/>
      <c r="H774" s="347"/>
      <c r="I774" s="348"/>
      <c r="J774" s="346"/>
      <c r="K774" s="347"/>
      <c r="L774" s="347"/>
      <c r="M774" s="348"/>
      <c r="N774" s="346"/>
      <c r="O774" s="347"/>
      <c r="P774" s="347"/>
      <c r="Q774" s="355"/>
      <c r="R774" s="346"/>
      <c r="S774" s="347"/>
      <c r="T774" s="347"/>
      <c r="U774" s="271"/>
      <c r="V774" s="342"/>
      <c r="W774" s="345"/>
    </row>
    <row r="775" spans="1:23" x14ac:dyDescent="0.25">
      <c r="A775" s="308"/>
      <c r="F775" s="346"/>
      <c r="G775" s="347"/>
      <c r="H775" s="347"/>
      <c r="I775" s="348"/>
      <c r="J775" s="346"/>
      <c r="K775" s="347"/>
      <c r="L775" s="347"/>
      <c r="M775" s="348"/>
      <c r="N775" s="346"/>
      <c r="O775" s="347"/>
      <c r="P775" s="347"/>
      <c r="Q775" s="355"/>
      <c r="R775" s="346"/>
      <c r="S775" s="347"/>
      <c r="T775" s="347"/>
      <c r="U775" s="271"/>
      <c r="V775" s="342"/>
      <c r="W775" s="345"/>
    </row>
    <row r="776" spans="1:23" x14ac:dyDescent="0.25">
      <c r="A776" s="308"/>
      <c r="F776" s="346"/>
      <c r="G776" s="347"/>
      <c r="H776" s="347"/>
      <c r="I776" s="348"/>
      <c r="J776" s="346"/>
      <c r="K776" s="347"/>
      <c r="L776" s="347"/>
      <c r="M776" s="348"/>
      <c r="N776" s="346"/>
      <c r="O776" s="347"/>
      <c r="P776" s="347"/>
      <c r="Q776" s="355"/>
      <c r="R776" s="346"/>
      <c r="S776" s="347"/>
      <c r="T776" s="347"/>
      <c r="U776" s="271"/>
      <c r="V776" s="342"/>
      <c r="W776" s="345"/>
    </row>
    <row r="777" spans="1:23" x14ac:dyDescent="0.25">
      <c r="A777" s="308"/>
      <c r="F777" s="346"/>
      <c r="G777" s="347"/>
      <c r="H777" s="347"/>
      <c r="I777" s="348"/>
      <c r="J777" s="346"/>
      <c r="K777" s="347"/>
      <c r="L777" s="347"/>
      <c r="M777" s="348"/>
      <c r="N777" s="346"/>
      <c r="O777" s="347"/>
      <c r="P777" s="347"/>
      <c r="Q777" s="355"/>
      <c r="R777" s="346"/>
      <c r="S777" s="347"/>
      <c r="T777" s="347"/>
      <c r="U777" s="271"/>
      <c r="V777" s="342"/>
      <c r="W777" s="345"/>
    </row>
    <row r="778" spans="1:23" x14ac:dyDescent="0.25">
      <c r="A778" s="308"/>
      <c r="F778" s="346"/>
      <c r="G778" s="347"/>
      <c r="H778" s="347"/>
      <c r="I778" s="348"/>
      <c r="J778" s="346"/>
      <c r="K778" s="347"/>
      <c r="L778" s="347"/>
      <c r="M778" s="348"/>
      <c r="N778" s="346"/>
      <c r="O778" s="347"/>
      <c r="P778" s="347"/>
      <c r="Q778" s="355"/>
      <c r="R778" s="346"/>
      <c r="S778" s="347"/>
      <c r="T778" s="347"/>
      <c r="U778" s="271"/>
      <c r="V778" s="342"/>
      <c r="W778" s="345"/>
    </row>
    <row r="779" spans="1:23" x14ac:dyDescent="0.25">
      <c r="A779" s="308"/>
      <c r="F779" s="346"/>
      <c r="G779" s="347"/>
      <c r="H779" s="347"/>
      <c r="I779" s="348"/>
      <c r="J779" s="346"/>
      <c r="K779" s="347"/>
      <c r="L779" s="347"/>
      <c r="M779" s="348"/>
      <c r="N779" s="346"/>
      <c r="O779" s="347"/>
      <c r="P779" s="347"/>
      <c r="Q779" s="355"/>
      <c r="R779" s="346"/>
      <c r="S779" s="347"/>
      <c r="T779" s="347"/>
      <c r="U779" s="271"/>
      <c r="V779" s="342"/>
      <c r="W779" s="345"/>
    </row>
    <row r="780" spans="1:23" x14ac:dyDescent="0.25">
      <c r="A780" s="308"/>
      <c r="F780" s="346"/>
      <c r="G780" s="347"/>
      <c r="H780" s="347"/>
      <c r="I780" s="348"/>
      <c r="J780" s="346"/>
      <c r="K780" s="347"/>
      <c r="L780" s="347"/>
      <c r="M780" s="348"/>
      <c r="N780" s="346"/>
      <c r="O780" s="347"/>
      <c r="P780" s="347"/>
      <c r="Q780" s="355"/>
      <c r="R780" s="346"/>
      <c r="S780" s="347"/>
      <c r="T780" s="347"/>
      <c r="U780" s="271"/>
      <c r="V780" s="342"/>
      <c r="W780" s="345"/>
    </row>
    <row r="781" spans="1:23" x14ac:dyDescent="0.25">
      <c r="B781" s="68"/>
      <c r="F781" s="349"/>
      <c r="G781" s="350"/>
      <c r="H781" s="350"/>
      <c r="I781" s="351"/>
      <c r="J781" s="349"/>
      <c r="K781" s="350"/>
      <c r="L781" s="350"/>
      <c r="M781" s="351"/>
      <c r="N781" s="349"/>
      <c r="O781" s="350"/>
      <c r="P781" s="350"/>
      <c r="Q781" s="356"/>
      <c r="R781" s="349"/>
      <c r="S781" s="350"/>
      <c r="T781" s="350"/>
      <c r="U781" s="351"/>
      <c r="V781" s="349"/>
      <c r="W781" s="350"/>
    </row>
    <row r="782" spans="1:23" x14ac:dyDescent="0.25">
      <c r="F782" s="270"/>
      <c r="I782" s="271"/>
      <c r="J782" s="270"/>
      <c r="M782" s="271"/>
      <c r="N782" s="270"/>
      <c r="R782" s="270"/>
      <c r="U782" s="271"/>
      <c r="V782" s="270"/>
    </row>
    <row r="783" spans="1:23" x14ac:dyDescent="0.25">
      <c r="F783" s="270"/>
      <c r="I783" s="271"/>
      <c r="J783" s="270"/>
      <c r="M783" s="271"/>
      <c r="N783" s="270"/>
      <c r="R783" s="270"/>
      <c r="U783" s="271"/>
      <c r="V783" s="270"/>
    </row>
    <row r="784" spans="1:23" x14ac:dyDescent="0.25">
      <c r="F784" s="270"/>
      <c r="I784" s="271"/>
      <c r="J784" s="270"/>
      <c r="M784" s="271"/>
      <c r="N784" s="270"/>
      <c r="R784" s="270"/>
      <c r="U784" s="271"/>
      <c r="V784" s="270"/>
    </row>
    <row r="785" spans="6:22" x14ac:dyDescent="0.25">
      <c r="F785" s="270"/>
      <c r="I785" s="271"/>
      <c r="J785" s="270"/>
      <c r="M785" s="271"/>
      <c r="N785" s="270"/>
      <c r="R785" s="270"/>
      <c r="U785" s="271"/>
      <c r="V785" s="270"/>
    </row>
    <row r="786" spans="6:22" x14ac:dyDescent="0.25">
      <c r="F786" s="270"/>
      <c r="I786" s="271"/>
      <c r="J786" s="270"/>
      <c r="M786" s="271"/>
      <c r="N786" s="270"/>
      <c r="R786" s="270"/>
      <c r="U786" s="271"/>
      <c r="V786" s="270"/>
    </row>
    <row r="787" spans="6:22" x14ac:dyDescent="0.25">
      <c r="F787" s="270"/>
      <c r="I787" s="271"/>
      <c r="J787" s="270"/>
      <c r="M787" s="271"/>
      <c r="N787" s="270"/>
      <c r="R787" s="270"/>
      <c r="U787" s="271"/>
      <c r="V787" s="270"/>
    </row>
    <row r="788" spans="6:22" x14ac:dyDescent="0.25">
      <c r="F788" s="270"/>
      <c r="I788" s="271"/>
      <c r="J788" s="270"/>
      <c r="M788" s="271"/>
      <c r="N788" s="270"/>
      <c r="R788" s="270"/>
      <c r="U788" s="271"/>
      <c r="V788" s="270"/>
    </row>
    <row r="789" spans="6:22" x14ac:dyDescent="0.25">
      <c r="F789" s="270"/>
      <c r="I789" s="271"/>
      <c r="J789" s="270"/>
      <c r="M789" s="271"/>
      <c r="N789" s="270"/>
      <c r="R789" s="270"/>
      <c r="U789" s="271"/>
      <c r="V789" s="270"/>
    </row>
    <row r="790" spans="6:22" x14ac:dyDescent="0.25">
      <c r="F790" s="270"/>
      <c r="I790" s="271"/>
      <c r="J790" s="270"/>
      <c r="M790" s="271"/>
      <c r="N790" s="270"/>
      <c r="R790" s="270"/>
      <c r="U790" s="271"/>
      <c r="V790" s="270"/>
    </row>
    <row r="791" spans="6:22" x14ac:dyDescent="0.25">
      <c r="F791" s="270"/>
      <c r="I791" s="271"/>
      <c r="J791" s="270"/>
      <c r="M791" s="271"/>
      <c r="N791" s="270"/>
      <c r="R791" s="270"/>
      <c r="U791" s="271"/>
      <c r="V791" s="270"/>
    </row>
    <row r="792" spans="6:22" x14ac:dyDescent="0.25">
      <c r="F792" s="261"/>
      <c r="I792" s="257"/>
      <c r="J792" s="261"/>
      <c r="M792" s="257"/>
      <c r="N792" s="261"/>
      <c r="R792" s="261"/>
      <c r="U792" s="257"/>
      <c r="V792" s="261"/>
    </row>
  </sheetData>
  <mergeCells count="5">
    <mergeCell ref="F4:H4"/>
    <mergeCell ref="J4:L4"/>
    <mergeCell ref="N4:P4"/>
    <mergeCell ref="R4:T4"/>
    <mergeCell ref="V4:W4"/>
  </mergeCells>
  <conditionalFormatting sqref="D6:E699">
    <cfRule type="containsText" dxfId="205" priority="1" operator="containsText" text="false">
      <formula>NOT(ISERROR(SEARCH("false",D6)))</formula>
    </cfRule>
  </conditionalFormatting>
  <conditionalFormatting sqref="D706:E780">
    <cfRule type="containsText" dxfId="204" priority="3" operator="containsText" text="false">
      <formula>NOT(ISERROR(SEARCH("false",D706)))</formula>
    </cfRule>
  </conditionalFormatting>
  <conditionalFormatting sqref="I772:I791 M772:M791 U772:U791">
    <cfRule type="containsText" dxfId="203" priority="4" operator="containsText" text="false">
      <formula>NOT(ISERROR(SEARCH("false",I772)))</formula>
    </cfRule>
  </conditionalFormatting>
  <conditionalFormatting sqref="J6:L699 J706:L770">
    <cfRule type="containsText" dxfId="202" priority="2" operator="containsText" text="*-">
      <formula>NOT(ISERROR(SEARCH("*-",J6)))</formula>
    </cfRule>
  </conditionalFormatting>
  <conditionalFormatting sqref="J772:L780">
    <cfRule type="containsText" dxfId="201" priority="11" operator="containsText" text="*-">
      <formula>NOT(ISERROR(SEARCH("*-",J772)))</formula>
    </cfRule>
    <cfRule type="cellIs" priority="12" operator="greaterThan">
      <formula>FALSE</formula>
    </cfRule>
  </conditionalFormatting>
  <conditionalFormatting sqref="J772:L791">
    <cfRule type="cellIs" dxfId="200" priority="13" operator="lessThan">
      <formula>0</formula>
    </cfRule>
    <cfRule type="cellIs" dxfId="199" priority="14" operator="lessThan">
      <formula>0</formula>
    </cfRule>
  </conditionalFormatting>
  <conditionalFormatting sqref="L772:L780 P772:Q780 T772:T780">
    <cfRule type="containsText" dxfId="198" priority="9" operator="containsText" text="FALSE">
      <formula>NOT(ISERROR(SEARCH("FALSE",L772)))</formula>
    </cfRule>
    <cfRule type="containsErrors" priority="10">
      <formula>ISERROR(L772)</formula>
    </cfRule>
  </conditionalFormatting>
  <conditionalFormatting sqref="N772:T780">
    <cfRule type="cellIs" dxfId="197" priority="5" operator="lessThan">
      <formula>0</formula>
    </cfRule>
    <cfRule type="cellIs" dxfId="196" priority="6" operator="lessThan">
      <formula>0</formula>
    </cfRule>
    <cfRule type="containsText" dxfId="195" priority="7" operator="containsText" text="*-">
      <formula>NOT(ISERROR(SEARCH("*-",N772)))</formula>
    </cfRule>
    <cfRule type="cellIs" priority="8" operator="greaterThan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6E10-3C97-4378-95A4-3404E7C1784A}">
  <dimension ref="A1:Y700"/>
  <sheetViews>
    <sheetView zoomScale="85" zoomScaleNormal="85" workbookViewId="0">
      <selection activeCell="P28" sqref="P28"/>
    </sheetView>
  </sheetViews>
  <sheetFormatPr defaultRowHeight="15" x14ac:dyDescent="0.25"/>
  <cols>
    <col min="1" max="1" width="6.28515625" customWidth="1"/>
    <col min="2" max="2" width="34.140625" customWidth="1"/>
    <col min="3" max="3" width="13.140625" customWidth="1"/>
    <col min="5" max="5" width="0.7109375" style="7" customWidth="1"/>
    <col min="6" max="6" width="10.5703125" style="260" customWidth="1"/>
    <col min="7" max="7" width="16.85546875" style="12" customWidth="1"/>
    <col min="8" max="8" width="13.85546875" style="12" customWidth="1"/>
    <col min="9" max="9" width="0.7109375" style="7" customWidth="1"/>
    <col min="10" max="10" width="9.28515625" style="260" customWidth="1"/>
    <col min="11" max="11" width="12.42578125" style="12" customWidth="1"/>
    <col min="12" max="12" width="9.28515625" style="12" customWidth="1"/>
    <col min="13" max="13" width="0.7109375" style="7" customWidth="1"/>
    <col min="14" max="14" width="11.5703125" style="260" bestFit="1" customWidth="1"/>
    <col min="15" max="15" width="18.85546875" style="12" bestFit="1" customWidth="1"/>
    <col min="16" max="16" width="15" style="12" bestFit="1" customWidth="1"/>
    <col min="17" max="17" width="0.85546875" style="257" customWidth="1"/>
    <col min="18" max="18" width="11.5703125" style="260" customWidth="1"/>
    <col min="19" max="19" width="16.85546875" style="12" customWidth="1"/>
    <col min="20" max="20" width="11.5703125" style="12" customWidth="1"/>
    <col min="21" max="21" width="0.7109375" style="7" customWidth="1"/>
    <col min="22" max="22" width="10.5703125" style="260" customWidth="1"/>
    <col min="23" max="23" width="17.85546875" style="12" customWidth="1"/>
    <col min="24" max="24" width="0.7109375" style="7" customWidth="1"/>
    <col min="25" max="25" width="0.140625" style="7" customWidth="1"/>
  </cols>
  <sheetData>
    <row r="1" spans="1:24" x14ac:dyDescent="0.25">
      <c r="A1" s="1" t="s">
        <v>0</v>
      </c>
    </row>
    <row r="2" spans="1:24" x14ac:dyDescent="0.25">
      <c r="A2" s="2" t="s">
        <v>1</v>
      </c>
    </row>
    <row r="3" spans="1:24" x14ac:dyDescent="0.25">
      <c r="A3" s="3" t="s">
        <v>3224</v>
      </c>
    </row>
    <row r="4" spans="1:24" ht="15.75" x14ac:dyDescent="0.25">
      <c r="F4" s="544" t="s">
        <v>2</v>
      </c>
      <c r="G4" s="545"/>
      <c r="H4" s="545"/>
      <c r="J4" s="546" t="s">
        <v>3</v>
      </c>
      <c r="K4" s="546"/>
      <c r="L4" s="546"/>
      <c r="N4" s="547" t="s">
        <v>4</v>
      </c>
      <c r="O4" s="547"/>
      <c r="P4" s="547"/>
      <c r="Q4" s="354"/>
      <c r="R4" s="548" t="s">
        <v>5</v>
      </c>
      <c r="S4" s="548"/>
      <c r="T4" s="548"/>
      <c r="V4" s="548" t="s">
        <v>6</v>
      </c>
      <c r="W4" s="548"/>
    </row>
    <row r="5" spans="1:24" x14ac:dyDescent="0.25">
      <c r="A5" t="s">
        <v>7</v>
      </c>
      <c r="B5" s="343" t="s">
        <v>8</v>
      </c>
      <c r="C5" s="343" t="s">
        <v>2991</v>
      </c>
      <c r="D5" s="343" t="s">
        <v>9</v>
      </c>
      <c r="F5" s="538" t="s">
        <v>10</v>
      </c>
      <c r="G5" s="4" t="s">
        <v>11</v>
      </c>
      <c r="H5" s="4" t="s">
        <v>12</v>
      </c>
      <c r="J5" s="539" t="s">
        <v>10</v>
      </c>
      <c r="K5" s="539" t="s">
        <v>11</v>
      </c>
      <c r="L5" s="539" t="s">
        <v>12</v>
      </c>
      <c r="N5" s="539" t="s">
        <v>10</v>
      </c>
      <c r="O5" s="5" t="s">
        <v>11</v>
      </c>
      <c r="P5" s="5" t="s">
        <v>12</v>
      </c>
      <c r="Q5" s="344"/>
      <c r="R5" s="6" t="s">
        <v>10</v>
      </c>
      <c r="S5" s="6" t="s">
        <v>13</v>
      </c>
      <c r="T5" s="6" t="s">
        <v>12</v>
      </c>
      <c r="V5" s="6" t="s">
        <v>10</v>
      </c>
      <c r="W5" s="6" t="s">
        <v>13</v>
      </c>
    </row>
    <row r="6" spans="1:24" x14ac:dyDescent="0.25">
      <c r="A6">
        <v>1</v>
      </c>
      <c r="B6" t="s">
        <v>14</v>
      </c>
      <c r="C6" t="s">
        <v>15</v>
      </c>
      <c r="D6" t="s">
        <v>16</v>
      </c>
      <c r="F6" s="520">
        <v>5</v>
      </c>
      <c r="G6" s="521">
        <v>43567.17</v>
      </c>
      <c r="H6" s="521">
        <v>500</v>
      </c>
      <c r="I6" s="517"/>
      <c r="J6" s="520">
        <v>0</v>
      </c>
      <c r="K6" s="520">
        <v>0</v>
      </c>
      <c r="L6" s="520">
        <v>0</v>
      </c>
      <c r="M6" s="517"/>
      <c r="N6" s="542">
        <v>5</v>
      </c>
      <c r="O6" s="518">
        <v>43567.17</v>
      </c>
      <c r="P6" s="518">
        <v>500</v>
      </c>
      <c r="Q6" s="519"/>
      <c r="R6" s="516">
        <v>17</v>
      </c>
      <c r="S6" s="521">
        <v>221714.16</v>
      </c>
      <c r="T6" s="521">
        <v>0</v>
      </c>
      <c r="U6" s="517"/>
      <c r="V6" s="342">
        <f t="shared" ref="V6:V69" si="0">N6-R6</f>
        <v>-12</v>
      </c>
      <c r="W6" s="518">
        <f t="shared" ref="W6:W69" si="1">O6-S6-T6</f>
        <v>-178146.99</v>
      </c>
      <c r="X6" s="257"/>
    </row>
    <row r="7" spans="1:24" x14ac:dyDescent="0.25">
      <c r="A7">
        <v>2</v>
      </c>
      <c r="B7" t="s">
        <v>17</v>
      </c>
      <c r="C7" t="s">
        <v>18</v>
      </c>
      <c r="D7" t="s">
        <v>16</v>
      </c>
      <c r="F7" s="520">
        <v>0</v>
      </c>
      <c r="G7" s="521">
        <v>0</v>
      </c>
      <c r="H7" s="521">
        <v>0</v>
      </c>
      <c r="I7" s="517"/>
      <c r="J7" s="520">
        <v>0</v>
      </c>
      <c r="K7" s="520">
        <v>0</v>
      </c>
      <c r="L7" s="520">
        <v>0</v>
      </c>
      <c r="M7" s="517"/>
      <c r="N7" s="542">
        <v>0</v>
      </c>
      <c r="O7" s="518">
        <v>0</v>
      </c>
      <c r="P7" s="518">
        <v>0</v>
      </c>
      <c r="Q7" s="519"/>
      <c r="R7" s="516">
        <v>1</v>
      </c>
      <c r="S7" s="521">
        <v>111555</v>
      </c>
      <c r="T7" s="521">
        <v>0</v>
      </c>
      <c r="U7" s="517"/>
      <c r="V7" s="342">
        <f t="shared" si="0"/>
        <v>-1</v>
      </c>
      <c r="W7" s="518">
        <f t="shared" si="1"/>
        <v>-111555</v>
      </c>
      <c r="X7" s="257"/>
    </row>
    <row r="8" spans="1:24" x14ac:dyDescent="0.25">
      <c r="A8">
        <v>3</v>
      </c>
      <c r="B8" t="s">
        <v>19</v>
      </c>
      <c r="C8" t="s">
        <v>18</v>
      </c>
      <c r="D8" t="s">
        <v>20</v>
      </c>
      <c r="F8" s="520">
        <v>0</v>
      </c>
      <c r="G8" s="521">
        <v>0</v>
      </c>
      <c r="H8" s="521">
        <v>0</v>
      </c>
      <c r="I8" s="517"/>
      <c r="J8" s="520">
        <v>0</v>
      </c>
      <c r="K8" s="520">
        <v>0</v>
      </c>
      <c r="L8" s="520">
        <v>0</v>
      </c>
      <c r="M8" s="517"/>
      <c r="N8" s="542">
        <v>0</v>
      </c>
      <c r="O8" s="518">
        <v>0</v>
      </c>
      <c r="P8" s="518">
        <v>0</v>
      </c>
      <c r="Q8" s="519"/>
      <c r="R8" s="516">
        <v>3</v>
      </c>
      <c r="S8" s="521">
        <v>101795.69</v>
      </c>
      <c r="T8" s="521">
        <v>0</v>
      </c>
      <c r="U8" s="517"/>
      <c r="V8" s="342">
        <f t="shared" si="0"/>
        <v>-3</v>
      </c>
      <c r="W8" s="518">
        <f t="shared" si="1"/>
        <v>-101795.69</v>
      </c>
      <c r="X8" s="257"/>
    </row>
    <row r="9" spans="1:24" x14ac:dyDescent="0.25">
      <c r="A9">
        <v>4</v>
      </c>
      <c r="B9" t="s">
        <v>21</v>
      </c>
      <c r="C9" t="s">
        <v>22</v>
      </c>
      <c r="D9" t="s">
        <v>16</v>
      </c>
      <c r="F9" s="520">
        <v>0</v>
      </c>
      <c r="G9" s="521">
        <v>0</v>
      </c>
      <c r="H9" s="521">
        <v>0</v>
      </c>
      <c r="I9" s="517"/>
      <c r="J9" s="520">
        <v>0</v>
      </c>
      <c r="K9" s="520">
        <v>0</v>
      </c>
      <c r="L9" s="520">
        <v>0</v>
      </c>
      <c r="M9" s="517"/>
      <c r="N9" s="542">
        <v>0</v>
      </c>
      <c r="O9" s="518">
        <v>0</v>
      </c>
      <c r="P9" s="518">
        <v>0</v>
      </c>
      <c r="Q9" s="519"/>
      <c r="R9" s="516">
        <v>0</v>
      </c>
      <c r="S9" s="521">
        <v>0</v>
      </c>
      <c r="T9" s="521">
        <v>0</v>
      </c>
      <c r="U9" s="517"/>
      <c r="V9" s="342">
        <f t="shared" si="0"/>
        <v>0</v>
      </c>
      <c r="W9" s="518">
        <f t="shared" si="1"/>
        <v>0</v>
      </c>
      <c r="X9" s="257"/>
    </row>
    <row r="10" spans="1:24" x14ac:dyDescent="0.25">
      <c r="A10">
        <v>5</v>
      </c>
      <c r="B10" t="s">
        <v>23</v>
      </c>
      <c r="C10" t="s">
        <v>24</v>
      </c>
      <c r="D10" t="s">
        <v>16</v>
      </c>
      <c r="F10" s="520">
        <v>0</v>
      </c>
      <c r="G10" s="521">
        <v>0</v>
      </c>
      <c r="H10" s="521">
        <v>0</v>
      </c>
      <c r="I10" s="517"/>
      <c r="J10" s="520">
        <v>0</v>
      </c>
      <c r="K10" s="520">
        <v>0</v>
      </c>
      <c r="L10" s="520">
        <v>0</v>
      </c>
      <c r="M10" s="517"/>
      <c r="N10" s="542">
        <v>0</v>
      </c>
      <c r="O10" s="518">
        <v>0</v>
      </c>
      <c r="P10" s="518">
        <v>0</v>
      </c>
      <c r="Q10" s="519"/>
      <c r="R10" s="516">
        <v>0</v>
      </c>
      <c r="S10" s="521">
        <v>0</v>
      </c>
      <c r="T10" s="521">
        <v>0</v>
      </c>
      <c r="U10" s="517"/>
      <c r="V10" s="342">
        <f t="shared" si="0"/>
        <v>0</v>
      </c>
      <c r="W10" s="518">
        <f t="shared" si="1"/>
        <v>0</v>
      </c>
      <c r="X10" s="257"/>
    </row>
    <row r="11" spans="1:24" x14ac:dyDescent="0.25">
      <c r="A11">
        <v>6</v>
      </c>
      <c r="B11" t="s">
        <v>28</v>
      </c>
      <c r="C11" t="s">
        <v>18</v>
      </c>
      <c r="D11" t="s">
        <v>16</v>
      </c>
      <c r="F11" s="520">
        <v>15</v>
      </c>
      <c r="G11" s="521">
        <v>35205.94</v>
      </c>
      <c r="H11" s="521">
        <v>225</v>
      </c>
      <c r="I11" s="517"/>
      <c r="J11" s="520">
        <v>0</v>
      </c>
      <c r="K11" s="520">
        <v>0</v>
      </c>
      <c r="L11" s="520">
        <v>0</v>
      </c>
      <c r="M11" s="517"/>
      <c r="N11" s="542">
        <v>15</v>
      </c>
      <c r="O11" s="518">
        <v>35205.94</v>
      </c>
      <c r="P11" s="518">
        <v>225</v>
      </c>
      <c r="Q11" s="519"/>
      <c r="R11" s="516">
        <v>19</v>
      </c>
      <c r="S11" s="521">
        <v>42737.72</v>
      </c>
      <c r="T11" s="521">
        <v>0</v>
      </c>
      <c r="U11" s="517"/>
      <c r="V11" s="342">
        <f t="shared" si="0"/>
        <v>-4</v>
      </c>
      <c r="W11" s="518">
        <f t="shared" si="1"/>
        <v>-7531.7799999999988</v>
      </c>
      <c r="X11" s="257"/>
    </row>
    <row r="12" spans="1:24" x14ac:dyDescent="0.25">
      <c r="A12">
        <v>7</v>
      </c>
      <c r="B12" t="s">
        <v>29</v>
      </c>
      <c r="C12" t="s">
        <v>27</v>
      </c>
      <c r="D12" t="s">
        <v>16</v>
      </c>
      <c r="F12" s="520">
        <v>0</v>
      </c>
      <c r="G12" s="521">
        <v>0</v>
      </c>
      <c r="H12" s="521">
        <v>0</v>
      </c>
      <c r="I12" s="517"/>
      <c r="J12" s="520">
        <v>0</v>
      </c>
      <c r="K12" s="520">
        <v>0</v>
      </c>
      <c r="L12" s="520">
        <v>0</v>
      </c>
      <c r="M12" s="517"/>
      <c r="N12" s="542">
        <v>0</v>
      </c>
      <c r="O12" s="518">
        <v>0</v>
      </c>
      <c r="P12" s="518">
        <v>0</v>
      </c>
      <c r="Q12" s="519"/>
      <c r="R12" s="516">
        <v>0</v>
      </c>
      <c r="S12" s="521">
        <v>0</v>
      </c>
      <c r="T12" s="521">
        <v>0</v>
      </c>
      <c r="U12" s="517"/>
      <c r="V12" s="342">
        <f t="shared" si="0"/>
        <v>0</v>
      </c>
      <c r="W12" s="518">
        <f t="shared" si="1"/>
        <v>0</v>
      </c>
      <c r="X12" s="257"/>
    </row>
    <row r="13" spans="1:24" x14ac:dyDescent="0.25">
      <c r="A13">
        <v>8</v>
      </c>
      <c r="B13" t="s">
        <v>30</v>
      </c>
      <c r="C13" t="s">
        <v>25</v>
      </c>
      <c r="D13" t="s">
        <v>16</v>
      </c>
      <c r="F13" s="520">
        <v>8</v>
      </c>
      <c r="G13" s="521">
        <v>51123.76</v>
      </c>
      <c r="H13" s="521">
        <v>200</v>
      </c>
      <c r="I13" s="517"/>
      <c r="J13" s="520">
        <v>0</v>
      </c>
      <c r="K13" s="520">
        <v>0</v>
      </c>
      <c r="L13" s="520">
        <v>0</v>
      </c>
      <c r="M13" s="517"/>
      <c r="N13" s="542">
        <v>8</v>
      </c>
      <c r="O13" s="518">
        <v>51123.76</v>
      </c>
      <c r="P13" s="518">
        <v>200</v>
      </c>
      <c r="Q13" s="519"/>
      <c r="R13" s="516">
        <v>9</v>
      </c>
      <c r="S13" s="521">
        <v>66899.460000000006</v>
      </c>
      <c r="T13" s="521">
        <v>0</v>
      </c>
      <c r="U13" s="517"/>
      <c r="V13" s="342">
        <f t="shared" si="0"/>
        <v>-1</v>
      </c>
      <c r="W13" s="518">
        <f t="shared" si="1"/>
        <v>-15775.700000000004</v>
      </c>
      <c r="X13" s="257"/>
    </row>
    <row r="14" spans="1:24" x14ac:dyDescent="0.25">
      <c r="A14">
        <v>9</v>
      </c>
      <c r="B14" t="s">
        <v>31</v>
      </c>
      <c r="C14" t="s">
        <v>15</v>
      </c>
      <c r="D14" t="s">
        <v>20</v>
      </c>
      <c r="F14" s="520">
        <v>3</v>
      </c>
      <c r="G14" s="521">
        <v>20308.88</v>
      </c>
      <c r="H14" s="521">
        <v>60</v>
      </c>
      <c r="I14" s="517"/>
      <c r="J14" s="520">
        <v>0</v>
      </c>
      <c r="K14" s="520">
        <v>0</v>
      </c>
      <c r="L14" s="520">
        <v>0</v>
      </c>
      <c r="M14" s="517"/>
      <c r="N14" s="542">
        <v>3</v>
      </c>
      <c r="O14" s="518">
        <v>20308.88</v>
      </c>
      <c r="P14" s="518">
        <v>60</v>
      </c>
      <c r="Q14" s="519"/>
      <c r="R14" s="516">
        <v>6</v>
      </c>
      <c r="S14" s="521">
        <v>20919.43</v>
      </c>
      <c r="T14" s="521">
        <v>120</v>
      </c>
      <c r="U14" s="517"/>
      <c r="V14" s="342">
        <f t="shared" si="0"/>
        <v>-3</v>
      </c>
      <c r="W14" s="518">
        <f t="shared" si="1"/>
        <v>-730.54999999999927</v>
      </c>
      <c r="X14" s="257"/>
    </row>
    <row r="15" spans="1:24" x14ac:dyDescent="0.25">
      <c r="A15">
        <v>10</v>
      </c>
      <c r="B15" t="s">
        <v>32</v>
      </c>
      <c r="C15" t="s">
        <v>15</v>
      </c>
      <c r="D15" t="s">
        <v>16</v>
      </c>
      <c r="F15" s="520">
        <v>0</v>
      </c>
      <c r="G15" s="521">
        <v>0</v>
      </c>
      <c r="H15" s="521">
        <v>0</v>
      </c>
      <c r="I15" s="517"/>
      <c r="J15" s="520">
        <v>0</v>
      </c>
      <c r="K15" s="520">
        <v>0</v>
      </c>
      <c r="L15" s="520">
        <v>0</v>
      </c>
      <c r="M15" s="517"/>
      <c r="N15" s="542">
        <v>0</v>
      </c>
      <c r="O15" s="518">
        <v>0</v>
      </c>
      <c r="P15" s="518">
        <v>0</v>
      </c>
      <c r="Q15" s="519"/>
      <c r="R15" s="516">
        <v>0</v>
      </c>
      <c r="S15" s="521">
        <v>0</v>
      </c>
      <c r="T15" s="521">
        <v>0</v>
      </c>
      <c r="U15" s="517"/>
      <c r="V15" s="342">
        <f t="shared" si="0"/>
        <v>0</v>
      </c>
      <c r="W15" s="518">
        <f t="shared" si="1"/>
        <v>0</v>
      </c>
      <c r="X15" s="257"/>
    </row>
    <row r="16" spans="1:24" x14ac:dyDescent="0.25">
      <c r="A16">
        <v>11</v>
      </c>
      <c r="B16" t="s">
        <v>33</v>
      </c>
      <c r="D16" t="s">
        <v>16</v>
      </c>
      <c r="F16" s="520">
        <v>0</v>
      </c>
      <c r="G16" s="521">
        <v>0</v>
      </c>
      <c r="H16" s="521">
        <v>0</v>
      </c>
      <c r="I16" s="517"/>
      <c r="J16" s="520">
        <v>0</v>
      </c>
      <c r="K16" s="520">
        <v>0</v>
      </c>
      <c r="L16" s="520">
        <v>0</v>
      </c>
      <c r="M16" s="517"/>
      <c r="N16" s="542">
        <v>0</v>
      </c>
      <c r="O16" s="518">
        <v>0</v>
      </c>
      <c r="P16" s="518">
        <v>0</v>
      </c>
      <c r="Q16" s="519"/>
      <c r="R16" s="516">
        <v>0</v>
      </c>
      <c r="S16" s="521">
        <v>0</v>
      </c>
      <c r="T16" s="521">
        <v>0</v>
      </c>
      <c r="U16" s="517"/>
      <c r="V16" s="342">
        <f t="shared" si="0"/>
        <v>0</v>
      </c>
      <c r="W16" s="518">
        <f t="shared" si="1"/>
        <v>0</v>
      </c>
      <c r="X16" s="257"/>
    </row>
    <row r="17" spans="1:24" x14ac:dyDescent="0.25">
      <c r="A17">
        <v>12</v>
      </c>
      <c r="B17" t="s">
        <v>34</v>
      </c>
      <c r="C17" t="s">
        <v>18</v>
      </c>
      <c r="D17" t="s">
        <v>16</v>
      </c>
      <c r="F17" s="520">
        <v>0</v>
      </c>
      <c r="G17" s="521">
        <v>0</v>
      </c>
      <c r="H17" s="521">
        <v>0</v>
      </c>
      <c r="I17" s="517"/>
      <c r="J17" s="520">
        <v>0</v>
      </c>
      <c r="K17" s="520">
        <v>0</v>
      </c>
      <c r="L17" s="520">
        <v>0</v>
      </c>
      <c r="M17" s="517"/>
      <c r="N17" s="542">
        <v>0</v>
      </c>
      <c r="O17" s="518">
        <v>0</v>
      </c>
      <c r="P17" s="518">
        <v>0</v>
      </c>
      <c r="Q17" s="519"/>
      <c r="R17" s="516">
        <v>0</v>
      </c>
      <c r="S17" s="521">
        <v>0</v>
      </c>
      <c r="T17" s="521">
        <v>0</v>
      </c>
      <c r="U17" s="517"/>
      <c r="V17" s="342">
        <f t="shared" si="0"/>
        <v>0</v>
      </c>
      <c r="W17" s="518">
        <f t="shared" si="1"/>
        <v>0</v>
      </c>
      <c r="X17" s="257"/>
    </row>
    <row r="18" spans="1:24" x14ac:dyDescent="0.25">
      <c r="A18">
        <v>13</v>
      </c>
      <c r="B18" t="s">
        <v>35</v>
      </c>
      <c r="C18" t="s">
        <v>18</v>
      </c>
      <c r="D18" t="s">
        <v>20</v>
      </c>
      <c r="F18" s="520">
        <v>56</v>
      </c>
      <c r="G18" s="521">
        <v>1412224.5</v>
      </c>
      <c r="H18" s="521">
        <v>1825</v>
      </c>
      <c r="I18" s="517"/>
      <c r="J18" s="520">
        <v>0</v>
      </c>
      <c r="K18" s="520">
        <v>0</v>
      </c>
      <c r="L18" s="520">
        <v>0</v>
      </c>
      <c r="M18" s="517"/>
      <c r="N18" s="542">
        <v>56</v>
      </c>
      <c r="O18" s="518">
        <v>1412224.5</v>
      </c>
      <c r="P18" s="518">
        <v>1825</v>
      </c>
      <c r="Q18" s="519"/>
      <c r="R18" s="516">
        <v>57</v>
      </c>
      <c r="S18" s="521">
        <v>1176187.25</v>
      </c>
      <c r="T18" s="521">
        <v>1675</v>
      </c>
      <c r="U18" s="517"/>
      <c r="V18" s="342">
        <f t="shared" si="0"/>
        <v>-1</v>
      </c>
      <c r="W18" s="518">
        <f t="shared" si="1"/>
        <v>234362.25</v>
      </c>
      <c r="X18" s="257"/>
    </row>
    <row r="19" spans="1:24" x14ac:dyDescent="0.25">
      <c r="A19">
        <v>14</v>
      </c>
      <c r="B19" t="s">
        <v>36</v>
      </c>
      <c r="C19" t="s">
        <v>25</v>
      </c>
      <c r="D19" t="s">
        <v>16</v>
      </c>
      <c r="F19" s="520">
        <v>5</v>
      </c>
      <c r="G19" s="521">
        <v>3773.42</v>
      </c>
      <c r="H19" s="521">
        <v>25</v>
      </c>
      <c r="I19" s="517"/>
      <c r="J19" s="520">
        <v>0</v>
      </c>
      <c r="K19" s="520">
        <v>0</v>
      </c>
      <c r="L19" s="520">
        <v>0</v>
      </c>
      <c r="M19" s="517"/>
      <c r="N19" s="542">
        <v>5</v>
      </c>
      <c r="O19" s="518">
        <v>3773.42</v>
      </c>
      <c r="P19" s="518">
        <v>25</v>
      </c>
      <c r="Q19" s="519"/>
      <c r="R19" s="516">
        <v>16</v>
      </c>
      <c r="S19" s="521">
        <v>60110.21</v>
      </c>
      <c r="T19" s="521">
        <v>0</v>
      </c>
      <c r="U19" s="517"/>
      <c r="V19" s="342">
        <f t="shared" si="0"/>
        <v>-11</v>
      </c>
      <c r="W19" s="518">
        <f t="shared" si="1"/>
        <v>-56336.79</v>
      </c>
      <c r="X19" s="257"/>
    </row>
    <row r="20" spans="1:24" x14ac:dyDescent="0.25">
      <c r="A20">
        <v>15</v>
      </c>
      <c r="B20" t="s">
        <v>37</v>
      </c>
      <c r="C20" t="s">
        <v>25</v>
      </c>
      <c r="D20" t="s">
        <v>16</v>
      </c>
      <c r="F20" s="520">
        <v>0</v>
      </c>
      <c r="G20" s="521">
        <v>0</v>
      </c>
      <c r="H20" s="521">
        <v>0</v>
      </c>
      <c r="I20" s="517"/>
      <c r="J20" s="520">
        <v>0</v>
      </c>
      <c r="K20" s="520">
        <v>0</v>
      </c>
      <c r="L20" s="520">
        <v>0</v>
      </c>
      <c r="M20" s="517"/>
      <c r="N20" s="542">
        <v>0</v>
      </c>
      <c r="O20" s="518">
        <v>0</v>
      </c>
      <c r="P20" s="518">
        <v>0</v>
      </c>
      <c r="Q20" s="519"/>
      <c r="R20" s="516">
        <v>0</v>
      </c>
      <c r="S20" s="521">
        <v>0</v>
      </c>
      <c r="T20" s="521">
        <v>0</v>
      </c>
      <c r="U20" s="517"/>
      <c r="V20" s="342">
        <f t="shared" si="0"/>
        <v>0</v>
      </c>
      <c r="W20" s="518">
        <f t="shared" si="1"/>
        <v>0</v>
      </c>
      <c r="X20" s="257"/>
    </row>
    <row r="21" spans="1:24" x14ac:dyDescent="0.25">
      <c r="A21">
        <v>16</v>
      </c>
      <c r="B21" t="s">
        <v>38</v>
      </c>
      <c r="C21" t="s">
        <v>39</v>
      </c>
      <c r="D21" t="s">
        <v>16</v>
      </c>
      <c r="F21" s="520">
        <v>0</v>
      </c>
      <c r="G21" s="521">
        <v>0</v>
      </c>
      <c r="H21" s="521">
        <v>0</v>
      </c>
      <c r="I21" s="517"/>
      <c r="J21" s="520">
        <v>0</v>
      </c>
      <c r="K21" s="520">
        <v>0</v>
      </c>
      <c r="L21" s="520">
        <v>0</v>
      </c>
      <c r="M21" s="517"/>
      <c r="N21" s="542">
        <v>0</v>
      </c>
      <c r="O21" s="518">
        <v>0</v>
      </c>
      <c r="P21" s="518">
        <v>0</v>
      </c>
      <c r="Q21" s="519"/>
      <c r="R21" s="516">
        <v>0</v>
      </c>
      <c r="S21" s="521">
        <v>0</v>
      </c>
      <c r="T21" s="521">
        <v>0</v>
      </c>
      <c r="U21" s="517"/>
      <c r="V21" s="342">
        <f t="shared" si="0"/>
        <v>0</v>
      </c>
      <c r="W21" s="518">
        <f t="shared" si="1"/>
        <v>0</v>
      </c>
      <c r="X21" s="257"/>
    </row>
    <row r="22" spans="1:24" x14ac:dyDescent="0.25">
      <c r="A22">
        <v>17</v>
      </c>
      <c r="B22" t="s">
        <v>42</v>
      </c>
      <c r="C22" t="s">
        <v>22</v>
      </c>
      <c r="D22" t="s">
        <v>43</v>
      </c>
      <c r="F22" s="520">
        <v>1</v>
      </c>
      <c r="G22" s="521">
        <v>500</v>
      </c>
      <c r="H22" s="521">
        <v>7</v>
      </c>
      <c r="I22" s="517"/>
      <c r="J22" s="520">
        <v>0</v>
      </c>
      <c r="K22" s="520">
        <v>0</v>
      </c>
      <c r="L22" s="520">
        <v>0</v>
      </c>
      <c r="M22" s="517"/>
      <c r="N22" s="542">
        <v>1</v>
      </c>
      <c r="O22" s="518">
        <v>500</v>
      </c>
      <c r="P22" s="518">
        <v>7</v>
      </c>
      <c r="Q22" s="519"/>
      <c r="R22" s="516">
        <v>0</v>
      </c>
      <c r="S22" s="521">
        <v>0</v>
      </c>
      <c r="T22" s="521">
        <v>0</v>
      </c>
      <c r="U22" s="517"/>
      <c r="V22" s="342">
        <f t="shared" si="0"/>
        <v>1</v>
      </c>
      <c r="W22" s="518">
        <f t="shared" si="1"/>
        <v>500</v>
      </c>
      <c r="X22" s="257"/>
    </row>
    <row r="23" spans="1:24" x14ac:dyDescent="0.25">
      <c r="A23">
        <v>18</v>
      </c>
      <c r="B23" t="s">
        <v>44</v>
      </c>
      <c r="C23" t="s">
        <v>15</v>
      </c>
      <c r="D23" t="s">
        <v>45</v>
      </c>
      <c r="F23" s="520">
        <v>284</v>
      </c>
      <c r="G23" s="521">
        <v>5061561.2</v>
      </c>
      <c r="H23" s="521">
        <v>4656</v>
      </c>
      <c r="I23" s="517"/>
      <c r="J23" s="520">
        <v>0</v>
      </c>
      <c r="K23" s="520">
        <v>0</v>
      </c>
      <c r="L23" s="520">
        <v>0</v>
      </c>
      <c r="M23" s="517"/>
      <c r="N23" s="542">
        <v>284</v>
      </c>
      <c r="O23" s="518">
        <v>5061561.2</v>
      </c>
      <c r="P23" s="518">
        <v>4656</v>
      </c>
      <c r="Q23" s="519"/>
      <c r="R23" s="516">
        <v>461</v>
      </c>
      <c r="S23" s="521">
        <v>9729177.5299999993</v>
      </c>
      <c r="T23" s="521">
        <v>0</v>
      </c>
      <c r="U23" s="517"/>
      <c r="V23" s="342">
        <f t="shared" si="0"/>
        <v>-177</v>
      </c>
      <c r="W23" s="518">
        <f t="shared" si="1"/>
        <v>-4667616.3299999991</v>
      </c>
      <c r="X23" s="257"/>
    </row>
    <row r="24" spans="1:24" x14ac:dyDescent="0.25">
      <c r="A24">
        <v>19</v>
      </c>
      <c r="B24" t="s">
        <v>46</v>
      </c>
      <c r="C24" t="s">
        <v>22</v>
      </c>
      <c r="D24" t="s">
        <v>16</v>
      </c>
      <c r="F24" s="520">
        <v>0</v>
      </c>
      <c r="G24" s="521">
        <v>0</v>
      </c>
      <c r="H24" s="521">
        <v>0</v>
      </c>
      <c r="I24" s="517"/>
      <c r="J24" s="520">
        <v>0</v>
      </c>
      <c r="K24" s="520">
        <v>0</v>
      </c>
      <c r="L24" s="520">
        <v>0</v>
      </c>
      <c r="M24" s="517"/>
      <c r="N24" s="542">
        <v>0</v>
      </c>
      <c r="O24" s="518">
        <v>0</v>
      </c>
      <c r="P24" s="518">
        <v>0</v>
      </c>
      <c r="Q24" s="519"/>
      <c r="R24" s="516">
        <v>0</v>
      </c>
      <c r="S24" s="521">
        <v>0</v>
      </c>
      <c r="T24" s="521">
        <v>0</v>
      </c>
      <c r="U24" s="517"/>
      <c r="V24" s="342">
        <f t="shared" si="0"/>
        <v>0</v>
      </c>
      <c r="W24" s="518">
        <f t="shared" si="1"/>
        <v>0</v>
      </c>
      <c r="X24" s="257"/>
    </row>
    <row r="25" spans="1:24" x14ac:dyDescent="0.25">
      <c r="A25">
        <v>20</v>
      </c>
      <c r="B25" t="s">
        <v>47</v>
      </c>
      <c r="D25" t="s">
        <v>16</v>
      </c>
      <c r="F25" s="520">
        <v>0</v>
      </c>
      <c r="G25" s="521">
        <v>0</v>
      </c>
      <c r="H25" s="521">
        <v>0</v>
      </c>
      <c r="I25" s="517"/>
      <c r="J25" s="520">
        <v>0</v>
      </c>
      <c r="K25" s="520">
        <v>0</v>
      </c>
      <c r="L25" s="520">
        <v>0</v>
      </c>
      <c r="M25" s="517"/>
      <c r="N25" s="542">
        <v>0</v>
      </c>
      <c r="O25" s="518">
        <v>0</v>
      </c>
      <c r="P25" s="518">
        <v>0</v>
      </c>
      <c r="Q25" s="519"/>
      <c r="R25" s="516">
        <v>0</v>
      </c>
      <c r="S25" s="521">
        <v>0</v>
      </c>
      <c r="T25" s="521">
        <v>0</v>
      </c>
      <c r="U25" s="517"/>
      <c r="V25" s="342">
        <f t="shared" si="0"/>
        <v>0</v>
      </c>
      <c r="W25" s="518">
        <f t="shared" si="1"/>
        <v>0</v>
      </c>
      <c r="X25" s="257"/>
    </row>
    <row r="26" spans="1:24" x14ac:dyDescent="0.25">
      <c r="A26">
        <v>21</v>
      </c>
      <c r="B26" t="s">
        <v>48</v>
      </c>
      <c r="C26" t="s">
        <v>18</v>
      </c>
      <c r="D26" t="s">
        <v>16</v>
      </c>
      <c r="F26" s="520">
        <v>1</v>
      </c>
      <c r="G26" s="521">
        <v>10500</v>
      </c>
      <c r="H26" s="521">
        <v>30</v>
      </c>
      <c r="I26" s="517"/>
      <c r="J26" s="520">
        <v>0</v>
      </c>
      <c r="K26" s="520">
        <v>0</v>
      </c>
      <c r="L26" s="520">
        <v>0</v>
      </c>
      <c r="M26" s="517"/>
      <c r="N26" s="542">
        <v>1</v>
      </c>
      <c r="O26" s="518">
        <v>10500</v>
      </c>
      <c r="P26" s="518">
        <v>30</v>
      </c>
      <c r="Q26" s="519"/>
      <c r="R26" s="516">
        <v>1</v>
      </c>
      <c r="S26" s="521">
        <v>19115</v>
      </c>
      <c r="T26" s="521">
        <v>0</v>
      </c>
      <c r="U26" s="517"/>
      <c r="V26" s="342">
        <f t="shared" si="0"/>
        <v>0</v>
      </c>
      <c r="W26" s="518">
        <f t="shared" si="1"/>
        <v>-8615</v>
      </c>
      <c r="X26" s="257"/>
    </row>
    <row r="27" spans="1:24" x14ac:dyDescent="0.25">
      <c r="A27">
        <v>22</v>
      </c>
      <c r="B27" t="s">
        <v>50</v>
      </c>
      <c r="C27" t="s">
        <v>51</v>
      </c>
      <c r="D27" t="s">
        <v>16</v>
      </c>
      <c r="F27" s="520">
        <v>0</v>
      </c>
      <c r="G27" s="521">
        <v>0</v>
      </c>
      <c r="H27" s="521">
        <v>0</v>
      </c>
      <c r="I27" s="517"/>
      <c r="J27" s="520">
        <v>0</v>
      </c>
      <c r="K27" s="520">
        <v>0</v>
      </c>
      <c r="L27" s="520">
        <v>0</v>
      </c>
      <c r="M27" s="517"/>
      <c r="N27" s="542">
        <v>0</v>
      </c>
      <c r="O27" s="518">
        <v>0</v>
      </c>
      <c r="P27" s="518">
        <v>0</v>
      </c>
      <c r="Q27" s="519"/>
      <c r="R27" s="516">
        <v>0</v>
      </c>
      <c r="S27" s="521">
        <v>0</v>
      </c>
      <c r="T27" s="521">
        <v>0</v>
      </c>
      <c r="U27" s="517"/>
      <c r="V27" s="342">
        <f t="shared" si="0"/>
        <v>0</v>
      </c>
      <c r="W27" s="518">
        <f t="shared" si="1"/>
        <v>0</v>
      </c>
      <c r="X27" s="257"/>
    </row>
    <row r="28" spans="1:24" x14ac:dyDescent="0.25">
      <c r="A28">
        <v>23</v>
      </c>
      <c r="B28" t="s">
        <v>52</v>
      </c>
      <c r="C28" t="s">
        <v>18</v>
      </c>
      <c r="D28" t="s">
        <v>16</v>
      </c>
      <c r="F28" s="520">
        <v>0</v>
      </c>
      <c r="G28" s="521">
        <v>0</v>
      </c>
      <c r="H28" s="521">
        <v>0</v>
      </c>
      <c r="I28" s="517"/>
      <c r="J28" s="520">
        <v>0</v>
      </c>
      <c r="K28" s="520">
        <v>0</v>
      </c>
      <c r="L28" s="520">
        <v>0</v>
      </c>
      <c r="M28" s="517"/>
      <c r="N28" s="542">
        <v>0</v>
      </c>
      <c r="O28" s="518">
        <v>0</v>
      </c>
      <c r="P28" s="518">
        <v>0</v>
      </c>
      <c r="Q28" s="519"/>
      <c r="R28" s="516">
        <v>0</v>
      </c>
      <c r="S28" s="521">
        <v>0</v>
      </c>
      <c r="T28" s="521">
        <v>0</v>
      </c>
      <c r="U28" s="517"/>
      <c r="V28" s="342">
        <f t="shared" si="0"/>
        <v>0</v>
      </c>
      <c r="W28" s="518">
        <f t="shared" si="1"/>
        <v>0</v>
      </c>
      <c r="X28" s="257"/>
    </row>
    <row r="29" spans="1:24" x14ac:dyDescent="0.25">
      <c r="A29">
        <v>24</v>
      </c>
      <c r="B29" t="s">
        <v>53</v>
      </c>
      <c r="C29" t="s">
        <v>24</v>
      </c>
      <c r="D29" t="s">
        <v>16</v>
      </c>
      <c r="F29" s="520">
        <v>0</v>
      </c>
      <c r="G29" s="521">
        <v>0</v>
      </c>
      <c r="H29" s="521">
        <v>0</v>
      </c>
      <c r="I29" s="517"/>
      <c r="J29" s="520">
        <v>0</v>
      </c>
      <c r="K29" s="520">
        <v>0</v>
      </c>
      <c r="L29" s="520">
        <v>0</v>
      </c>
      <c r="M29" s="517"/>
      <c r="N29" s="542">
        <v>0</v>
      </c>
      <c r="O29" s="518">
        <v>0</v>
      </c>
      <c r="P29" s="518">
        <v>0</v>
      </c>
      <c r="Q29" s="519"/>
      <c r="R29" s="516">
        <v>1</v>
      </c>
      <c r="S29" s="521">
        <v>36725</v>
      </c>
      <c r="T29" s="521">
        <v>0</v>
      </c>
      <c r="U29" s="517"/>
      <c r="V29" s="342">
        <f t="shared" si="0"/>
        <v>-1</v>
      </c>
      <c r="W29" s="518">
        <f t="shared" si="1"/>
        <v>-36725</v>
      </c>
      <c r="X29" s="257"/>
    </row>
    <row r="30" spans="1:24" x14ac:dyDescent="0.25">
      <c r="A30">
        <v>25</v>
      </c>
      <c r="B30" t="s">
        <v>54</v>
      </c>
      <c r="C30" t="s">
        <v>25</v>
      </c>
      <c r="D30" t="s">
        <v>16</v>
      </c>
      <c r="F30" s="520">
        <v>2</v>
      </c>
      <c r="G30" s="521">
        <v>20200</v>
      </c>
      <c r="H30" s="521">
        <v>60</v>
      </c>
      <c r="I30" s="517"/>
      <c r="J30" s="520">
        <v>0</v>
      </c>
      <c r="K30" s="520">
        <v>0</v>
      </c>
      <c r="L30" s="520">
        <v>0</v>
      </c>
      <c r="M30" s="517"/>
      <c r="N30" s="542">
        <v>2</v>
      </c>
      <c r="O30" s="518">
        <v>20200</v>
      </c>
      <c r="P30" s="518">
        <v>60</v>
      </c>
      <c r="Q30" s="519"/>
      <c r="R30" s="516">
        <v>4</v>
      </c>
      <c r="S30" s="521">
        <v>18214</v>
      </c>
      <c r="T30" s="521">
        <v>0</v>
      </c>
      <c r="U30" s="517"/>
      <c r="V30" s="342">
        <f t="shared" si="0"/>
        <v>-2</v>
      </c>
      <c r="W30" s="518">
        <f t="shared" si="1"/>
        <v>1986</v>
      </c>
      <c r="X30" s="257"/>
    </row>
    <row r="31" spans="1:24" x14ac:dyDescent="0.25">
      <c r="A31">
        <v>26</v>
      </c>
      <c r="B31" t="s">
        <v>55</v>
      </c>
      <c r="D31" t="s">
        <v>26</v>
      </c>
      <c r="F31" s="520">
        <v>0</v>
      </c>
      <c r="G31" s="521">
        <v>0</v>
      </c>
      <c r="H31" s="521">
        <v>0</v>
      </c>
      <c r="I31" s="517"/>
      <c r="J31" s="520">
        <v>0</v>
      </c>
      <c r="K31" s="520">
        <v>0</v>
      </c>
      <c r="L31" s="520">
        <v>0</v>
      </c>
      <c r="M31" s="517"/>
      <c r="N31" s="542">
        <v>0</v>
      </c>
      <c r="O31" s="518">
        <v>0</v>
      </c>
      <c r="P31" s="518">
        <v>0</v>
      </c>
      <c r="Q31" s="519"/>
      <c r="R31" s="516">
        <v>0</v>
      </c>
      <c r="S31" s="521">
        <v>0</v>
      </c>
      <c r="T31" s="521">
        <v>0</v>
      </c>
      <c r="U31" s="517"/>
      <c r="V31" s="342">
        <f t="shared" si="0"/>
        <v>0</v>
      </c>
      <c r="W31" s="518">
        <f t="shared" si="1"/>
        <v>0</v>
      </c>
      <c r="X31" s="257"/>
    </row>
    <row r="32" spans="1:24" x14ac:dyDescent="0.25">
      <c r="A32">
        <v>27</v>
      </c>
      <c r="B32" t="s">
        <v>56</v>
      </c>
      <c r="C32" t="s">
        <v>39</v>
      </c>
      <c r="D32" t="s">
        <v>16</v>
      </c>
      <c r="F32" s="520">
        <v>5</v>
      </c>
      <c r="G32" s="521">
        <v>1912.75</v>
      </c>
      <c r="H32" s="521">
        <v>50</v>
      </c>
      <c r="I32" s="517"/>
      <c r="J32" s="520">
        <v>0</v>
      </c>
      <c r="K32" s="520">
        <v>0</v>
      </c>
      <c r="L32" s="520">
        <v>0</v>
      </c>
      <c r="M32" s="517"/>
      <c r="N32" s="542">
        <v>5</v>
      </c>
      <c r="O32" s="518">
        <v>1912.75</v>
      </c>
      <c r="P32" s="518">
        <v>50</v>
      </c>
      <c r="Q32" s="519"/>
      <c r="R32" s="516">
        <v>0</v>
      </c>
      <c r="S32" s="521">
        <v>0</v>
      </c>
      <c r="T32" s="521">
        <v>0</v>
      </c>
      <c r="U32" s="517"/>
      <c r="V32" s="342">
        <f t="shared" si="0"/>
        <v>5</v>
      </c>
      <c r="W32" s="518">
        <f t="shared" si="1"/>
        <v>1912.75</v>
      </c>
      <c r="X32" s="257"/>
    </row>
    <row r="33" spans="1:24" x14ac:dyDescent="0.25">
      <c r="A33">
        <v>28</v>
      </c>
      <c r="B33" t="s">
        <v>57</v>
      </c>
      <c r="C33" t="s">
        <v>18</v>
      </c>
      <c r="D33" t="s">
        <v>20</v>
      </c>
      <c r="F33" s="520">
        <v>0</v>
      </c>
      <c r="G33" s="521">
        <v>0</v>
      </c>
      <c r="H33" s="521">
        <v>0</v>
      </c>
      <c r="I33" s="517"/>
      <c r="J33" s="520">
        <v>0</v>
      </c>
      <c r="K33" s="520">
        <v>0</v>
      </c>
      <c r="L33" s="520">
        <v>0</v>
      </c>
      <c r="M33" s="517"/>
      <c r="N33" s="542">
        <v>0</v>
      </c>
      <c r="O33" s="518">
        <v>0</v>
      </c>
      <c r="P33" s="518">
        <v>0</v>
      </c>
      <c r="Q33" s="519"/>
      <c r="R33" s="516">
        <v>0</v>
      </c>
      <c r="S33" s="521">
        <v>0</v>
      </c>
      <c r="T33" s="521">
        <v>0</v>
      </c>
      <c r="U33" s="517"/>
      <c r="V33" s="342">
        <f t="shared" si="0"/>
        <v>0</v>
      </c>
      <c r="W33" s="518">
        <f t="shared" si="1"/>
        <v>0</v>
      </c>
      <c r="X33" s="257"/>
    </row>
    <row r="34" spans="1:24" x14ac:dyDescent="0.25">
      <c r="A34">
        <v>29</v>
      </c>
      <c r="B34" t="s">
        <v>58</v>
      </c>
      <c r="D34" t="s">
        <v>16</v>
      </c>
      <c r="F34" s="520">
        <v>0</v>
      </c>
      <c r="G34" s="521">
        <v>0</v>
      </c>
      <c r="H34" s="521">
        <v>0</v>
      </c>
      <c r="I34" s="517"/>
      <c r="J34" s="520">
        <v>0</v>
      </c>
      <c r="K34" s="520">
        <v>0</v>
      </c>
      <c r="L34" s="520">
        <v>0</v>
      </c>
      <c r="M34" s="517"/>
      <c r="N34" s="542">
        <v>0</v>
      </c>
      <c r="O34" s="518">
        <v>0</v>
      </c>
      <c r="P34" s="518">
        <v>0</v>
      </c>
      <c r="Q34" s="519"/>
      <c r="R34" s="516">
        <v>0</v>
      </c>
      <c r="S34" s="521">
        <v>0</v>
      </c>
      <c r="T34" s="521">
        <v>0</v>
      </c>
      <c r="U34" s="517"/>
      <c r="V34" s="342">
        <f>N34-R34</f>
        <v>0</v>
      </c>
      <c r="W34" s="518">
        <f>O34-S34-T34</f>
        <v>0</v>
      </c>
      <c r="X34" s="257"/>
    </row>
    <row r="35" spans="1:24" x14ac:dyDescent="0.25">
      <c r="A35">
        <v>30</v>
      </c>
      <c r="B35" t="s">
        <v>59</v>
      </c>
      <c r="D35" t="s">
        <v>16</v>
      </c>
      <c r="F35" s="520">
        <v>0</v>
      </c>
      <c r="G35" s="521">
        <v>0</v>
      </c>
      <c r="H35" s="521">
        <v>0</v>
      </c>
      <c r="I35" s="517"/>
      <c r="J35" s="520">
        <v>0</v>
      </c>
      <c r="K35" s="520">
        <v>0</v>
      </c>
      <c r="L35" s="520">
        <v>0</v>
      </c>
      <c r="M35" s="517"/>
      <c r="N35" s="542">
        <v>0</v>
      </c>
      <c r="O35" s="518">
        <v>0</v>
      </c>
      <c r="P35" s="518">
        <v>0</v>
      </c>
      <c r="Q35" s="519"/>
      <c r="R35" s="516">
        <v>1</v>
      </c>
      <c r="S35" s="521">
        <v>1830</v>
      </c>
      <c r="T35" s="521">
        <v>0</v>
      </c>
      <c r="U35" s="517"/>
      <c r="V35" s="342">
        <f t="shared" si="0"/>
        <v>-1</v>
      </c>
      <c r="W35" s="518">
        <f t="shared" si="1"/>
        <v>-1830</v>
      </c>
      <c r="X35" s="257"/>
    </row>
    <row r="36" spans="1:24" x14ac:dyDescent="0.25">
      <c r="A36">
        <v>31</v>
      </c>
      <c r="B36" t="s">
        <v>60</v>
      </c>
      <c r="D36" t="s">
        <v>26</v>
      </c>
      <c r="F36" s="520">
        <v>0</v>
      </c>
      <c r="G36" s="521">
        <v>0</v>
      </c>
      <c r="H36" s="521">
        <v>0</v>
      </c>
      <c r="I36" s="517"/>
      <c r="J36" s="520">
        <v>0</v>
      </c>
      <c r="K36" s="520">
        <v>0</v>
      </c>
      <c r="L36" s="520">
        <v>0</v>
      </c>
      <c r="M36" s="517"/>
      <c r="N36" s="542">
        <v>0</v>
      </c>
      <c r="O36" s="518">
        <v>0</v>
      </c>
      <c r="P36" s="518">
        <v>0</v>
      </c>
      <c r="Q36" s="519"/>
      <c r="R36" s="516">
        <v>0</v>
      </c>
      <c r="S36" s="521">
        <v>0</v>
      </c>
      <c r="T36" s="521">
        <v>0</v>
      </c>
      <c r="U36" s="517"/>
      <c r="V36" s="342">
        <f t="shared" si="0"/>
        <v>0</v>
      </c>
      <c r="W36" s="518">
        <f t="shared" si="1"/>
        <v>0</v>
      </c>
      <c r="X36" s="257"/>
    </row>
    <row r="37" spans="1:24" x14ac:dyDescent="0.25">
      <c r="A37">
        <v>32</v>
      </c>
      <c r="B37" t="s">
        <v>61</v>
      </c>
      <c r="C37" t="s">
        <v>15</v>
      </c>
      <c r="D37" t="s">
        <v>43</v>
      </c>
      <c r="F37" s="520">
        <v>0</v>
      </c>
      <c r="G37" s="521">
        <v>0</v>
      </c>
      <c r="H37" s="521">
        <v>0</v>
      </c>
      <c r="I37" s="517"/>
      <c r="J37" s="520">
        <v>0</v>
      </c>
      <c r="K37" s="520">
        <v>0</v>
      </c>
      <c r="L37" s="520">
        <v>0</v>
      </c>
      <c r="M37" s="517"/>
      <c r="N37" s="542">
        <v>0</v>
      </c>
      <c r="O37" s="518">
        <v>0</v>
      </c>
      <c r="P37" s="518">
        <v>0</v>
      </c>
      <c r="Q37" s="519"/>
      <c r="R37" s="516">
        <v>0</v>
      </c>
      <c r="S37" s="521">
        <v>0</v>
      </c>
      <c r="T37" s="521">
        <v>0</v>
      </c>
      <c r="U37" s="517"/>
      <c r="V37" s="342">
        <f t="shared" si="0"/>
        <v>0</v>
      </c>
      <c r="W37" s="518">
        <f t="shared" si="1"/>
        <v>0</v>
      </c>
      <c r="X37" s="257"/>
    </row>
    <row r="38" spans="1:24" x14ac:dyDescent="0.25">
      <c r="A38">
        <v>33</v>
      </c>
      <c r="B38" t="s">
        <v>62</v>
      </c>
      <c r="C38" t="s">
        <v>41</v>
      </c>
      <c r="D38" t="s">
        <v>16</v>
      </c>
      <c r="F38" s="520">
        <v>2</v>
      </c>
      <c r="G38" s="521">
        <v>25895</v>
      </c>
      <c r="H38" s="521">
        <v>60</v>
      </c>
      <c r="I38" s="517"/>
      <c r="J38" s="520">
        <v>0</v>
      </c>
      <c r="K38" s="520">
        <v>0</v>
      </c>
      <c r="L38" s="520">
        <v>0</v>
      </c>
      <c r="M38" s="517"/>
      <c r="N38" s="542">
        <v>2</v>
      </c>
      <c r="O38" s="518">
        <v>25895</v>
      </c>
      <c r="P38" s="518">
        <v>60</v>
      </c>
      <c r="Q38" s="519"/>
      <c r="R38" s="516">
        <v>0</v>
      </c>
      <c r="S38" s="521">
        <v>0</v>
      </c>
      <c r="T38" s="521">
        <v>0</v>
      </c>
      <c r="U38" s="517"/>
      <c r="V38" s="342">
        <f t="shared" si="0"/>
        <v>2</v>
      </c>
      <c r="W38" s="518">
        <f t="shared" si="1"/>
        <v>25895</v>
      </c>
      <c r="X38" s="257"/>
    </row>
    <row r="39" spans="1:24" x14ac:dyDescent="0.25">
      <c r="A39">
        <v>34</v>
      </c>
      <c r="B39" t="s">
        <v>63</v>
      </c>
      <c r="C39" t="s">
        <v>41</v>
      </c>
      <c r="D39" t="s">
        <v>16</v>
      </c>
      <c r="F39" s="520">
        <v>0</v>
      </c>
      <c r="G39" s="521">
        <v>0</v>
      </c>
      <c r="H39" s="521">
        <v>0</v>
      </c>
      <c r="I39" s="517"/>
      <c r="J39" s="520">
        <v>0</v>
      </c>
      <c r="K39" s="520">
        <v>0</v>
      </c>
      <c r="L39" s="520">
        <v>0</v>
      </c>
      <c r="M39" s="517"/>
      <c r="N39" s="542">
        <v>0</v>
      </c>
      <c r="O39" s="518">
        <v>0</v>
      </c>
      <c r="P39" s="518">
        <v>0</v>
      </c>
      <c r="Q39" s="519"/>
      <c r="R39" s="516">
        <v>0</v>
      </c>
      <c r="S39" s="521">
        <v>0</v>
      </c>
      <c r="T39" s="521">
        <v>0</v>
      </c>
      <c r="U39" s="517"/>
      <c r="V39" s="342">
        <f t="shared" si="0"/>
        <v>0</v>
      </c>
      <c r="W39" s="518">
        <f t="shared" si="1"/>
        <v>0</v>
      </c>
      <c r="X39" s="257"/>
    </row>
    <row r="40" spans="1:24" x14ac:dyDescent="0.25">
      <c r="A40">
        <v>35</v>
      </c>
      <c r="B40" t="s">
        <v>64</v>
      </c>
      <c r="C40" t="s">
        <v>41</v>
      </c>
      <c r="D40" t="s">
        <v>16</v>
      </c>
      <c r="F40" s="520">
        <v>0</v>
      </c>
      <c r="G40" s="521">
        <v>0</v>
      </c>
      <c r="H40" s="521">
        <v>0</v>
      </c>
      <c r="I40" s="517"/>
      <c r="J40" s="520">
        <v>0</v>
      </c>
      <c r="K40" s="520">
        <v>0</v>
      </c>
      <c r="L40" s="520">
        <v>0</v>
      </c>
      <c r="M40" s="517"/>
      <c r="N40" s="542">
        <v>0</v>
      </c>
      <c r="O40" s="518">
        <v>0</v>
      </c>
      <c r="P40" s="518">
        <v>0</v>
      </c>
      <c r="Q40" s="519"/>
      <c r="R40" s="516">
        <v>7</v>
      </c>
      <c r="S40" s="521">
        <v>122268</v>
      </c>
      <c r="T40" s="521">
        <v>0</v>
      </c>
      <c r="U40" s="517"/>
      <c r="V40" s="342">
        <f t="shared" si="0"/>
        <v>-7</v>
      </c>
      <c r="W40" s="518">
        <f t="shared" si="1"/>
        <v>-122268</v>
      </c>
      <c r="X40" s="257"/>
    </row>
    <row r="41" spans="1:24" x14ac:dyDescent="0.25">
      <c r="A41">
        <v>36</v>
      </c>
      <c r="B41" t="s">
        <v>65</v>
      </c>
      <c r="C41" t="s">
        <v>41</v>
      </c>
      <c r="D41" t="s">
        <v>16</v>
      </c>
      <c r="F41" s="520">
        <v>1</v>
      </c>
      <c r="G41" s="521">
        <v>15000</v>
      </c>
      <c r="H41" s="521">
        <v>30</v>
      </c>
      <c r="I41" s="517"/>
      <c r="J41" s="520">
        <v>0</v>
      </c>
      <c r="K41" s="520">
        <v>0</v>
      </c>
      <c r="L41" s="520">
        <v>0</v>
      </c>
      <c r="M41" s="517"/>
      <c r="N41" s="542">
        <v>1</v>
      </c>
      <c r="O41" s="518">
        <v>15000</v>
      </c>
      <c r="P41" s="518">
        <v>30</v>
      </c>
      <c r="Q41" s="519"/>
      <c r="R41" s="516">
        <v>0</v>
      </c>
      <c r="S41" s="521">
        <v>0</v>
      </c>
      <c r="T41" s="521">
        <v>0</v>
      </c>
      <c r="U41" s="517"/>
      <c r="V41" s="342">
        <f t="shared" si="0"/>
        <v>1</v>
      </c>
      <c r="W41" s="518">
        <f t="shared" si="1"/>
        <v>15000</v>
      </c>
      <c r="X41" s="257"/>
    </row>
    <row r="42" spans="1:24" x14ac:dyDescent="0.25">
      <c r="A42">
        <v>37</v>
      </c>
      <c r="B42" t="s">
        <v>66</v>
      </c>
      <c r="C42" t="s">
        <v>41</v>
      </c>
      <c r="D42" t="s">
        <v>16</v>
      </c>
      <c r="F42" s="520">
        <v>0</v>
      </c>
      <c r="G42" s="521">
        <v>0</v>
      </c>
      <c r="H42" s="521">
        <v>0</v>
      </c>
      <c r="I42" s="517"/>
      <c r="J42" s="520">
        <v>0</v>
      </c>
      <c r="K42" s="520">
        <v>0</v>
      </c>
      <c r="L42" s="520">
        <v>0</v>
      </c>
      <c r="M42" s="517"/>
      <c r="N42" s="542">
        <v>0</v>
      </c>
      <c r="O42" s="518">
        <v>0</v>
      </c>
      <c r="P42" s="518">
        <v>0</v>
      </c>
      <c r="Q42" s="519"/>
      <c r="R42" s="516">
        <v>0</v>
      </c>
      <c r="S42" s="521">
        <v>0</v>
      </c>
      <c r="T42" s="521">
        <v>0</v>
      </c>
      <c r="U42" s="517"/>
      <c r="V42" s="342">
        <f t="shared" si="0"/>
        <v>0</v>
      </c>
      <c r="W42" s="518">
        <f t="shared" si="1"/>
        <v>0</v>
      </c>
      <c r="X42" s="257"/>
    </row>
    <row r="43" spans="1:24" x14ac:dyDescent="0.25">
      <c r="A43">
        <v>38</v>
      </c>
      <c r="B43" t="s">
        <v>67</v>
      </c>
      <c r="C43" t="s">
        <v>41</v>
      </c>
      <c r="D43" t="s">
        <v>16</v>
      </c>
      <c r="F43" s="520">
        <v>0</v>
      </c>
      <c r="G43" s="521">
        <v>0</v>
      </c>
      <c r="H43" s="521">
        <v>0</v>
      </c>
      <c r="I43" s="517"/>
      <c r="J43" s="520">
        <v>0</v>
      </c>
      <c r="K43" s="520">
        <v>0</v>
      </c>
      <c r="L43" s="520">
        <v>0</v>
      </c>
      <c r="M43" s="517"/>
      <c r="N43" s="542">
        <v>0</v>
      </c>
      <c r="O43" s="518">
        <v>0</v>
      </c>
      <c r="P43" s="518">
        <v>0</v>
      </c>
      <c r="Q43" s="519"/>
      <c r="R43" s="516">
        <v>2</v>
      </c>
      <c r="S43" s="521">
        <v>21525</v>
      </c>
      <c r="T43" s="521">
        <v>0</v>
      </c>
      <c r="U43" s="517"/>
      <c r="V43" s="342">
        <f t="shared" si="0"/>
        <v>-2</v>
      </c>
      <c r="W43" s="518">
        <f t="shared" si="1"/>
        <v>-21525</v>
      </c>
      <c r="X43" s="257"/>
    </row>
    <row r="44" spans="1:24" x14ac:dyDescent="0.25">
      <c r="A44">
        <v>39</v>
      </c>
      <c r="B44" t="s">
        <v>68</v>
      </c>
      <c r="C44" t="s">
        <v>15</v>
      </c>
      <c r="D44" t="s">
        <v>16</v>
      </c>
      <c r="F44" s="520">
        <v>0</v>
      </c>
      <c r="G44" s="521">
        <v>0</v>
      </c>
      <c r="H44" s="521">
        <v>0</v>
      </c>
      <c r="I44" s="517"/>
      <c r="J44" s="520">
        <v>0</v>
      </c>
      <c r="K44" s="520">
        <v>0</v>
      </c>
      <c r="L44" s="520">
        <v>0</v>
      </c>
      <c r="M44" s="517"/>
      <c r="N44" s="542">
        <v>0</v>
      </c>
      <c r="O44" s="518">
        <v>0</v>
      </c>
      <c r="P44" s="518">
        <v>0</v>
      </c>
      <c r="Q44" s="519"/>
      <c r="R44" s="516">
        <v>0</v>
      </c>
      <c r="S44" s="521">
        <v>0</v>
      </c>
      <c r="T44" s="521">
        <v>0</v>
      </c>
      <c r="U44" s="517"/>
      <c r="V44" s="342">
        <f t="shared" si="0"/>
        <v>0</v>
      </c>
      <c r="W44" s="518">
        <f t="shared" si="1"/>
        <v>0</v>
      </c>
      <c r="X44" s="257"/>
    </row>
    <row r="45" spans="1:24" x14ac:dyDescent="0.25">
      <c r="A45">
        <v>40</v>
      </c>
      <c r="B45" t="s">
        <v>69</v>
      </c>
      <c r="C45" t="s">
        <v>25</v>
      </c>
      <c r="D45" t="s">
        <v>16</v>
      </c>
      <c r="F45" s="520">
        <v>0</v>
      </c>
      <c r="G45" s="521">
        <v>0</v>
      </c>
      <c r="H45" s="521">
        <v>0</v>
      </c>
      <c r="I45" s="517"/>
      <c r="J45" s="520">
        <v>0</v>
      </c>
      <c r="K45" s="520">
        <v>0</v>
      </c>
      <c r="L45" s="520">
        <v>0</v>
      </c>
      <c r="M45" s="517"/>
      <c r="N45" s="542">
        <v>0</v>
      </c>
      <c r="O45" s="518">
        <v>0</v>
      </c>
      <c r="P45" s="518">
        <v>0</v>
      </c>
      <c r="Q45" s="519"/>
      <c r="R45" s="516">
        <v>0</v>
      </c>
      <c r="S45" s="521">
        <v>0</v>
      </c>
      <c r="T45" s="521">
        <v>0</v>
      </c>
      <c r="U45" s="517"/>
      <c r="V45" s="342">
        <f t="shared" si="0"/>
        <v>0</v>
      </c>
      <c r="W45" s="518">
        <f t="shared" si="1"/>
        <v>0</v>
      </c>
      <c r="X45" s="257"/>
    </row>
    <row r="46" spans="1:24" x14ac:dyDescent="0.25">
      <c r="A46">
        <v>41</v>
      </c>
      <c r="B46" t="s">
        <v>70</v>
      </c>
      <c r="C46" t="s">
        <v>51</v>
      </c>
      <c r="D46" t="s">
        <v>16</v>
      </c>
      <c r="F46" s="520">
        <v>0</v>
      </c>
      <c r="G46" s="521">
        <v>0</v>
      </c>
      <c r="H46" s="521">
        <v>0</v>
      </c>
      <c r="I46" s="517"/>
      <c r="J46" s="520">
        <v>0</v>
      </c>
      <c r="K46" s="520">
        <v>0</v>
      </c>
      <c r="L46" s="520">
        <v>0</v>
      </c>
      <c r="M46" s="517"/>
      <c r="N46" s="542">
        <v>0</v>
      </c>
      <c r="O46" s="518">
        <v>0</v>
      </c>
      <c r="P46" s="518">
        <v>0</v>
      </c>
      <c r="Q46" s="519"/>
      <c r="R46" s="516">
        <v>0</v>
      </c>
      <c r="S46" s="521">
        <v>0</v>
      </c>
      <c r="T46" s="521">
        <v>0</v>
      </c>
      <c r="U46" s="517"/>
      <c r="V46" s="342">
        <f t="shared" si="0"/>
        <v>0</v>
      </c>
      <c r="W46" s="518">
        <f t="shared" si="1"/>
        <v>0</v>
      </c>
      <c r="X46" s="257"/>
    </row>
    <row r="47" spans="1:24" x14ac:dyDescent="0.25">
      <c r="A47">
        <v>42</v>
      </c>
      <c r="B47" t="s">
        <v>71</v>
      </c>
      <c r="C47" t="s">
        <v>41</v>
      </c>
      <c r="D47" t="s">
        <v>16</v>
      </c>
      <c r="F47" s="520">
        <v>22</v>
      </c>
      <c r="G47" s="521">
        <v>307934</v>
      </c>
      <c r="H47" s="521">
        <v>660</v>
      </c>
      <c r="I47" s="517"/>
      <c r="J47" s="520">
        <v>0</v>
      </c>
      <c r="K47" s="520">
        <v>0</v>
      </c>
      <c r="L47" s="520">
        <v>0</v>
      </c>
      <c r="M47" s="517"/>
      <c r="N47" s="542">
        <v>22</v>
      </c>
      <c r="O47" s="518">
        <v>307934</v>
      </c>
      <c r="P47" s="518">
        <v>660</v>
      </c>
      <c r="Q47" s="519"/>
      <c r="R47" s="516">
        <v>0</v>
      </c>
      <c r="S47" s="521">
        <v>0</v>
      </c>
      <c r="T47" s="521">
        <v>0</v>
      </c>
      <c r="U47" s="517"/>
      <c r="V47" s="342">
        <f t="shared" si="0"/>
        <v>22</v>
      </c>
      <c r="W47" s="518">
        <f t="shared" si="1"/>
        <v>307934</v>
      </c>
      <c r="X47" s="257"/>
    </row>
    <row r="48" spans="1:24" x14ac:dyDescent="0.25">
      <c r="A48">
        <v>43</v>
      </c>
      <c r="B48" t="s">
        <v>72</v>
      </c>
      <c r="C48" t="s">
        <v>41</v>
      </c>
      <c r="D48" t="s">
        <v>16</v>
      </c>
      <c r="F48" s="520">
        <v>13</v>
      </c>
      <c r="G48" s="521">
        <v>177265</v>
      </c>
      <c r="H48" s="521">
        <v>390</v>
      </c>
      <c r="I48" s="517"/>
      <c r="J48" s="520">
        <v>0</v>
      </c>
      <c r="K48" s="520">
        <v>0</v>
      </c>
      <c r="L48" s="520">
        <v>0</v>
      </c>
      <c r="M48" s="517"/>
      <c r="N48" s="542">
        <v>13</v>
      </c>
      <c r="O48" s="518">
        <v>177265</v>
      </c>
      <c r="P48" s="518">
        <v>390</v>
      </c>
      <c r="Q48" s="519"/>
      <c r="R48" s="516">
        <v>0</v>
      </c>
      <c r="S48" s="521">
        <v>0</v>
      </c>
      <c r="T48" s="521">
        <v>0</v>
      </c>
      <c r="U48" s="517"/>
      <c r="V48" s="342">
        <f t="shared" si="0"/>
        <v>13</v>
      </c>
      <c r="W48" s="518">
        <f t="shared" si="1"/>
        <v>177265</v>
      </c>
      <c r="X48" s="257"/>
    </row>
    <row r="49" spans="1:24" x14ac:dyDescent="0.25">
      <c r="A49">
        <v>44</v>
      </c>
      <c r="B49" t="s">
        <v>73</v>
      </c>
      <c r="C49" t="s">
        <v>18</v>
      </c>
      <c r="D49" t="s">
        <v>16</v>
      </c>
      <c r="F49" s="520">
        <v>0</v>
      </c>
      <c r="G49" s="521">
        <v>0</v>
      </c>
      <c r="H49" s="521">
        <v>0</v>
      </c>
      <c r="I49" s="517"/>
      <c r="J49" s="520">
        <v>0</v>
      </c>
      <c r="K49" s="520">
        <v>0</v>
      </c>
      <c r="L49" s="520">
        <v>0</v>
      </c>
      <c r="M49" s="517"/>
      <c r="N49" s="542">
        <v>0</v>
      </c>
      <c r="O49" s="518">
        <v>0</v>
      </c>
      <c r="P49" s="518">
        <v>0</v>
      </c>
      <c r="Q49" s="519"/>
      <c r="R49" s="516">
        <v>25</v>
      </c>
      <c r="S49" s="521">
        <v>294913</v>
      </c>
      <c r="T49" s="521">
        <v>0</v>
      </c>
      <c r="U49" s="517"/>
      <c r="V49" s="342">
        <f t="shared" si="0"/>
        <v>-25</v>
      </c>
      <c r="W49" s="518">
        <f t="shared" si="1"/>
        <v>-294913</v>
      </c>
      <c r="X49" s="257"/>
    </row>
    <row r="50" spans="1:24" x14ac:dyDescent="0.25">
      <c r="A50">
        <v>45</v>
      </c>
      <c r="B50" t="s">
        <v>74</v>
      </c>
      <c r="C50" t="s">
        <v>51</v>
      </c>
      <c r="D50" t="s">
        <v>16</v>
      </c>
      <c r="F50" s="520">
        <v>0</v>
      </c>
      <c r="G50" s="521">
        <v>0</v>
      </c>
      <c r="H50" s="521">
        <v>0</v>
      </c>
      <c r="I50" s="517"/>
      <c r="J50" s="520">
        <v>0</v>
      </c>
      <c r="K50" s="520">
        <v>0</v>
      </c>
      <c r="L50" s="520">
        <v>0</v>
      </c>
      <c r="M50" s="517"/>
      <c r="N50" s="542">
        <v>0</v>
      </c>
      <c r="O50" s="518">
        <v>0</v>
      </c>
      <c r="P50" s="518">
        <v>0</v>
      </c>
      <c r="Q50" s="519"/>
      <c r="R50" s="516">
        <v>12</v>
      </c>
      <c r="S50" s="521">
        <v>137739</v>
      </c>
      <c r="T50" s="521">
        <v>0</v>
      </c>
      <c r="U50" s="517"/>
      <c r="V50" s="342">
        <f t="shared" si="0"/>
        <v>-12</v>
      </c>
      <c r="W50" s="518">
        <f t="shared" si="1"/>
        <v>-137739</v>
      </c>
      <c r="X50" s="257"/>
    </row>
    <row r="51" spans="1:24" x14ac:dyDescent="0.25">
      <c r="A51">
        <v>46</v>
      </c>
      <c r="B51" t="s">
        <v>75</v>
      </c>
      <c r="C51" t="s">
        <v>41</v>
      </c>
      <c r="D51" t="s">
        <v>16</v>
      </c>
      <c r="F51" s="520">
        <v>0</v>
      </c>
      <c r="G51" s="521">
        <v>0</v>
      </c>
      <c r="H51" s="521">
        <v>0</v>
      </c>
      <c r="I51" s="517"/>
      <c r="J51" s="520">
        <v>0</v>
      </c>
      <c r="K51" s="520">
        <v>0</v>
      </c>
      <c r="L51" s="520">
        <v>0</v>
      </c>
      <c r="M51" s="517"/>
      <c r="N51" s="542">
        <v>0</v>
      </c>
      <c r="O51" s="518">
        <v>0</v>
      </c>
      <c r="P51" s="518">
        <v>0</v>
      </c>
      <c r="Q51" s="519"/>
      <c r="R51" s="516">
        <v>0</v>
      </c>
      <c r="S51" s="521">
        <v>0</v>
      </c>
      <c r="T51" s="521">
        <v>0</v>
      </c>
      <c r="U51" s="517"/>
      <c r="V51" s="342">
        <f t="shared" si="0"/>
        <v>0</v>
      </c>
      <c r="W51" s="518">
        <f t="shared" si="1"/>
        <v>0</v>
      </c>
      <c r="X51" s="257"/>
    </row>
    <row r="52" spans="1:24" x14ac:dyDescent="0.25">
      <c r="A52">
        <v>47</v>
      </c>
      <c r="B52" t="s">
        <v>76</v>
      </c>
      <c r="C52" t="s">
        <v>41</v>
      </c>
      <c r="D52" t="s">
        <v>16</v>
      </c>
      <c r="F52" s="520">
        <v>0</v>
      </c>
      <c r="G52" s="521">
        <v>0</v>
      </c>
      <c r="H52" s="521">
        <v>0</v>
      </c>
      <c r="I52" s="517"/>
      <c r="J52" s="520">
        <v>0</v>
      </c>
      <c r="K52" s="520">
        <v>0</v>
      </c>
      <c r="L52" s="520">
        <v>0</v>
      </c>
      <c r="M52" s="517"/>
      <c r="N52" s="542">
        <v>0</v>
      </c>
      <c r="O52" s="518">
        <v>0</v>
      </c>
      <c r="P52" s="518">
        <v>0</v>
      </c>
      <c r="Q52" s="519"/>
      <c r="R52" s="516">
        <v>0</v>
      </c>
      <c r="S52" s="521">
        <v>0</v>
      </c>
      <c r="T52" s="521">
        <v>0</v>
      </c>
      <c r="U52" s="517"/>
      <c r="V52" s="342">
        <f t="shared" si="0"/>
        <v>0</v>
      </c>
      <c r="W52" s="518">
        <f t="shared" si="1"/>
        <v>0</v>
      </c>
      <c r="X52" s="257"/>
    </row>
    <row r="53" spans="1:24" x14ac:dyDescent="0.25">
      <c r="A53">
        <v>48</v>
      </c>
      <c r="B53" t="s">
        <v>77</v>
      </c>
      <c r="C53" t="s">
        <v>78</v>
      </c>
      <c r="D53" t="s">
        <v>16</v>
      </c>
      <c r="F53" s="520">
        <v>0</v>
      </c>
      <c r="G53" s="521">
        <v>0</v>
      </c>
      <c r="H53" s="521">
        <v>0</v>
      </c>
      <c r="I53" s="517"/>
      <c r="J53" s="520">
        <v>0</v>
      </c>
      <c r="K53" s="520">
        <v>0</v>
      </c>
      <c r="L53" s="520">
        <v>0</v>
      </c>
      <c r="M53" s="517"/>
      <c r="N53" s="542">
        <v>0</v>
      </c>
      <c r="O53" s="518">
        <v>0</v>
      </c>
      <c r="P53" s="518">
        <v>0</v>
      </c>
      <c r="Q53" s="519"/>
      <c r="R53" s="516">
        <v>0</v>
      </c>
      <c r="S53" s="521">
        <v>0</v>
      </c>
      <c r="T53" s="521">
        <v>0</v>
      </c>
      <c r="U53" s="517"/>
      <c r="V53" s="342">
        <f t="shared" si="0"/>
        <v>0</v>
      </c>
      <c r="W53" s="518">
        <f t="shared" si="1"/>
        <v>0</v>
      </c>
      <c r="X53" s="257"/>
    </row>
    <row r="54" spans="1:24" x14ac:dyDescent="0.25">
      <c r="A54">
        <v>49</v>
      </c>
      <c r="B54" t="s">
        <v>79</v>
      </c>
      <c r="C54" t="s">
        <v>15</v>
      </c>
      <c r="D54" t="s">
        <v>16</v>
      </c>
      <c r="F54" s="520">
        <v>0</v>
      </c>
      <c r="G54" s="521">
        <v>0</v>
      </c>
      <c r="H54" s="521">
        <v>0</v>
      </c>
      <c r="I54" s="517"/>
      <c r="J54" s="520">
        <v>0</v>
      </c>
      <c r="K54" s="520">
        <v>0</v>
      </c>
      <c r="L54" s="520">
        <v>0</v>
      </c>
      <c r="M54" s="517"/>
      <c r="N54" s="542">
        <v>0</v>
      </c>
      <c r="O54" s="518">
        <v>0</v>
      </c>
      <c r="P54" s="518">
        <v>0</v>
      </c>
      <c r="Q54" s="519"/>
      <c r="R54" s="516">
        <v>0</v>
      </c>
      <c r="S54" s="521">
        <v>0</v>
      </c>
      <c r="T54" s="521">
        <v>0</v>
      </c>
      <c r="U54" s="517"/>
      <c r="V54" s="342">
        <f t="shared" si="0"/>
        <v>0</v>
      </c>
      <c r="W54" s="518">
        <f t="shared" si="1"/>
        <v>0</v>
      </c>
      <c r="X54" s="257"/>
    </row>
    <row r="55" spans="1:24" x14ac:dyDescent="0.25">
      <c r="A55">
        <v>50</v>
      </c>
      <c r="B55" t="s">
        <v>80</v>
      </c>
      <c r="D55" t="s">
        <v>16</v>
      </c>
      <c r="F55" s="520">
        <v>0</v>
      </c>
      <c r="G55" s="521">
        <v>0</v>
      </c>
      <c r="H55" s="521">
        <v>0</v>
      </c>
      <c r="I55" s="517"/>
      <c r="J55" s="520">
        <v>0</v>
      </c>
      <c r="K55" s="520">
        <v>0</v>
      </c>
      <c r="L55" s="520">
        <v>0</v>
      </c>
      <c r="M55" s="517"/>
      <c r="N55" s="542">
        <v>0</v>
      </c>
      <c r="O55" s="518">
        <v>0</v>
      </c>
      <c r="P55" s="518">
        <v>0</v>
      </c>
      <c r="Q55" s="519"/>
      <c r="R55" s="516">
        <v>0</v>
      </c>
      <c r="S55" s="521">
        <v>0</v>
      </c>
      <c r="T55" s="521">
        <v>0</v>
      </c>
      <c r="U55" s="517"/>
      <c r="V55" s="342">
        <f t="shared" si="0"/>
        <v>0</v>
      </c>
      <c r="W55" s="518">
        <f t="shared" si="1"/>
        <v>0</v>
      </c>
      <c r="X55" s="257"/>
    </row>
    <row r="56" spans="1:24" x14ac:dyDescent="0.25">
      <c r="A56">
        <v>51</v>
      </c>
      <c r="B56" t="s">
        <v>81</v>
      </c>
      <c r="C56" t="s">
        <v>18</v>
      </c>
      <c r="D56" t="s">
        <v>16</v>
      </c>
      <c r="F56" s="520">
        <v>1</v>
      </c>
      <c r="G56" s="521">
        <v>3353</v>
      </c>
      <c r="H56" s="521">
        <v>50</v>
      </c>
      <c r="I56" s="517"/>
      <c r="J56" s="520">
        <v>0</v>
      </c>
      <c r="K56" s="520">
        <v>0</v>
      </c>
      <c r="L56" s="520">
        <v>0</v>
      </c>
      <c r="M56" s="517"/>
      <c r="N56" s="542">
        <v>1</v>
      </c>
      <c r="O56" s="518">
        <v>3353</v>
      </c>
      <c r="P56" s="518">
        <v>50</v>
      </c>
      <c r="Q56" s="519"/>
      <c r="R56" s="516">
        <v>1</v>
      </c>
      <c r="S56" s="521">
        <v>1500</v>
      </c>
      <c r="T56" s="521">
        <v>0</v>
      </c>
      <c r="U56" s="517"/>
      <c r="V56" s="342">
        <f t="shared" si="0"/>
        <v>0</v>
      </c>
      <c r="W56" s="518">
        <f t="shared" si="1"/>
        <v>1853</v>
      </c>
      <c r="X56" s="257"/>
    </row>
    <row r="57" spans="1:24" x14ac:dyDescent="0.25">
      <c r="A57">
        <v>52</v>
      </c>
      <c r="B57" t="s">
        <v>82</v>
      </c>
      <c r="C57" t="s">
        <v>51</v>
      </c>
      <c r="D57" t="s">
        <v>16</v>
      </c>
      <c r="F57" s="520">
        <v>0</v>
      </c>
      <c r="G57" s="521">
        <v>0</v>
      </c>
      <c r="H57" s="521">
        <v>0</v>
      </c>
      <c r="I57" s="517"/>
      <c r="J57" s="520">
        <v>0</v>
      </c>
      <c r="K57" s="520">
        <v>0</v>
      </c>
      <c r="L57" s="520">
        <v>0</v>
      </c>
      <c r="M57" s="517"/>
      <c r="N57" s="542">
        <v>0</v>
      </c>
      <c r="O57" s="518">
        <v>0</v>
      </c>
      <c r="P57" s="518">
        <v>0</v>
      </c>
      <c r="Q57" s="519"/>
      <c r="R57" s="516">
        <v>0</v>
      </c>
      <c r="S57" s="521">
        <v>0</v>
      </c>
      <c r="T57" s="521">
        <v>0</v>
      </c>
      <c r="U57" s="517"/>
      <c r="V57" s="342">
        <f t="shared" si="0"/>
        <v>0</v>
      </c>
      <c r="W57" s="518">
        <f t="shared" si="1"/>
        <v>0</v>
      </c>
      <c r="X57" s="257"/>
    </row>
    <row r="58" spans="1:24" x14ac:dyDescent="0.25">
      <c r="A58">
        <v>53</v>
      </c>
      <c r="B58" t="s">
        <v>83</v>
      </c>
      <c r="D58" t="s">
        <v>16</v>
      </c>
      <c r="F58" s="520">
        <v>0</v>
      </c>
      <c r="G58" s="521">
        <v>0</v>
      </c>
      <c r="H58" s="521">
        <v>0</v>
      </c>
      <c r="I58" s="517"/>
      <c r="J58" s="520">
        <v>0</v>
      </c>
      <c r="K58" s="520">
        <v>0</v>
      </c>
      <c r="L58" s="520">
        <v>0</v>
      </c>
      <c r="M58" s="517"/>
      <c r="N58" s="542">
        <v>0</v>
      </c>
      <c r="O58" s="518">
        <v>0</v>
      </c>
      <c r="P58" s="518">
        <v>0</v>
      </c>
      <c r="Q58" s="519"/>
      <c r="R58" s="516">
        <v>0</v>
      </c>
      <c r="S58" s="521">
        <v>0</v>
      </c>
      <c r="T58" s="521">
        <v>0</v>
      </c>
      <c r="U58" s="517"/>
      <c r="V58" s="342">
        <f t="shared" si="0"/>
        <v>0</v>
      </c>
      <c r="W58" s="518">
        <f t="shared" si="1"/>
        <v>0</v>
      </c>
      <c r="X58" s="257"/>
    </row>
    <row r="59" spans="1:24" x14ac:dyDescent="0.25">
      <c r="A59">
        <v>54</v>
      </c>
      <c r="B59" t="s">
        <v>84</v>
      </c>
      <c r="C59" t="s">
        <v>18</v>
      </c>
      <c r="D59" t="s">
        <v>20</v>
      </c>
      <c r="F59" s="520">
        <v>0</v>
      </c>
      <c r="G59" s="521">
        <v>0</v>
      </c>
      <c r="H59" s="521">
        <v>0</v>
      </c>
      <c r="I59" s="517"/>
      <c r="J59" s="520">
        <v>0</v>
      </c>
      <c r="K59" s="520">
        <v>0</v>
      </c>
      <c r="L59" s="520">
        <v>0</v>
      </c>
      <c r="M59" s="517"/>
      <c r="N59" s="542">
        <v>0</v>
      </c>
      <c r="O59" s="518">
        <v>0</v>
      </c>
      <c r="P59" s="518">
        <v>0</v>
      </c>
      <c r="Q59" s="519"/>
      <c r="R59" s="516">
        <v>0</v>
      </c>
      <c r="S59" s="521">
        <v>0</v>
      </c>
      <c r="T59" s="521">
        <v>0</v>
      </c>
      <c r="U59" s="517"/>
      <c r="V59" s="342">
        <f t="shared" si="0"/>
        <v>0</v>
      </c>
      <c r="W59" s="518">
        <f t="shared" si="1"/>
        <v>0</v>
      </c>
      <c r="X59" s="257"/>
    </row>
    <row r="60" spans="1:24" x14ac:dyDescent="0.25">
      <c r="A60">
        <v>55</v>
      </c>
      <c r="B60" t="s">
        <v>85</v>
      </c>
      <c r="C60" t="s">
        <v>86</v>
      </c>
      <c r="D60" t="s">
        <v>87</v>
      </c>
      <c r="F60" s="520">
        <v>0</v>
      </c>
      <c r="G60" s="521">
        <v>0</v>
      </c>
      <c r="H60" s="521">
        <v>0</v>
      </c>
      <c r="I60" s="517"/>
      <c r="J60" s="520">
        <v>0</v>
      </c>
      <c r="K60" s="520">
        <v>0</v>
      </c>
      <c r="L60" s="520">
        <v>0</v>
      </c>
      <c r="M60" s="517"/>
      <c r="N60" s="542">
        <v>0</v>
      </c>
      <c r="O60" s="518">
        <v>0</v>
      </c>
      <c r="P60" s="518">
        <v>0</v>
      </c>
      <c r="Q60" s="519"/>
      <c r="R60" s="516">
        <v>0</v>
      </c>
      <c r="S60" s="521">
        <v>0</v>
      </c>
      <c r="T60" s="521">
        <v>0</v>
      </c>
      <c r="U60" s="517"/>
      <c r="V60" s="342">
        <f t="shared" si="0"/>
        <v>0</v>
      </c>
      <c r="W60" s="518">
        <f t="shared" si="1"/>
        <v>0</v>
      </c>
      <c r="X60" s="257"/>
    </row>
    <row r="61" spans="1:24" x14ac:dyDescent="0.25">
      <c r="A61">
        <v>56</v>
      </c>
      <c r="B61" t="s">
        <v>2961</v>
      </c>
      <c r="C61" t="s">
        <v>25</v>
      </c>
      <c r="D61" t="s">
        <v>16</v>
      </c>
      <c r="F61" s="520">
        <v>1</v>
      </c>
      <c r="G61" s="521">
        <v>50000</v>
      </c>
      <c r="H61" s="521">
        <v>50</v>
      </c>
      <c r="I61" s="517"/>
      <c r="J61" s="520">
        <v>0</v>
      </c>
      <c r="K61" s="520">
        <v>0</v>
      </c>
      <c r="L61" s="520">
        <v>0</v>
      </c>
      <c r="M61" s="517"/>
      <c r="N61" s="542">
        <v>1</v>
      </c>
      <c r="O61" s="518">
        <v>50000</v>
      </c>
      <c r="P61" s="518">
        <v>50</v>
      </c>
      <c r="Q61" s="519"/>
      <c r="R61" s="516">
        <v>0</v>
      </c>
      <c r="S61" s="521">
        <v>0</v>
      </c>
      <c r="T61" s="521">
        <v>0</v>
      </c>
      <c r="U61" s="517"/>
      <c r="V61" s="342">
        <f t="shared" si="0"/>
        <v>1</v>
      </c>
      <c r="W61" s="518">
        <f t="shared" si="1"/>
        <v>50000</v>
      </c>
      <c r="X61" s="257"/>
    </row>
    <row r="62" spans="1:24" x14ac:dyDescent="0.25">
      <c r="A62">
        <v>57</v>
      </c>
      <c r="B62" t="s">
        <v>88</v>
      </c>
      <c r="D62" t="s">
        <v>16</v>
      </c>
      <c r="F62" s="520">
        <v>0</v>
      </c>
      <c r="G62" s="521">
        <v>0</v>
      </c>
      <c r="H62" s="521">
        <v>0</v>
      </c>
      <c r="I62" s="517"/>
      <c r="J62" s="520">
        <v>0</v>
      </c>
      <c r="K62" s="520">
        <v>0</v>
      </c>
      <c r="L62" s="520">
        <v>0</v>
      </c>
      <c r="M62" s="517"/>
      <c r="N62" s="542">
        <v>0</v>
      </c>
      <c r="O62" s="518">
        <v>0</v>
      </c>
      <c r="P62" s="518">
        <v>0</v>
      </c>
      <c r="Q62" s="519"/>
      <c r="R62" s="516">
        <v>1</v>
      </c>
      <c r="S62" s="521">
        <v>44040</v>
      </c>
      <c r="T62" s="521">
        <v>50</v>
      </c>
      <c r="U62" s="517"/>
      <c r="V62" s="342">
        <f t="shared" si="0"/>
        <v>-1</v>
      </c>
      <c r="W62" s="518">
        <f t="shared" si="1"/>
        <v>-44090</v>
      </c>
      <c r="X62" s="257"/>
    </row>
    <row r="63" spans="1:24" x14ac:dyDescent="0.25">
      <c r="A63">
        <v>58</v>
      </c>
      <c r="B63" t="s">
        <v>89</v>
      </c>
      <c r="C63" t="s">
        <v>90</v>
      </c>
      <c r="D63" t="s">
        <v>16</v>
      </c>
      <c r="F63" s="520">
        <v>0</v>
      </c>
      <c r="G63" s="521">
        <v>0</v>
      </c>
      <c r="H63" s="521">
        <v>0</v>
      </c>
      <c r="I63" s="517"/>
      <c r="J63" s="520">
        <v>0</v>
      </c>
      <c r="K63" s="520">
        <v>0</v>
      </c>
      <c r="L63" s="520">
        <v>0</v>
      </c>
      <c r="M63" s="517"/>
      <c r="N63" s="542">
        <v>0</v>
      </c>
      <c r="O63" s="518">
        <v>0</v>
      </c>
      <c r="P63" s="518">
        <v>0</v>
      </c>
      <c r="Q63" s="519"/>
      <c r="R63" s="516">
        <v>3</v>
      </c>
      <c r="S63" s="521">
        <v>3410</v>
      </c>
      <c r="T63" s="521">
        <v>60</v>
      </c>
      <c r="U63" s="517"/>
      <c r="V63" s="342">
        <f t="shared" si="0"/>
        <v>-3</v>
      </c>
      <c r="W63" s="518">
        <f t="shared" si="1"/>
        <v>-3470</v>
      </c>
      <c r="X63" s="257"/>
    </row>
    <row r="64" spans="1:24" x14ac:dyDescent="0.25">
      <c r="A64">
        <v>59</v>
      </c>
      <c r="B64" t="s">
        <v>91</v>
      </c>
      <c r="C64" t="s">
        <v>92</v>
      </c>
      <c r="D64" t="s">
        <v>16</v>
      </c>
      <c r="F64" s="520">
        <v>55</v>
      </c>
      <c r="G64" s="521">
        <v>72256.749999999985</v>
      </c>
      <c r="H64" s="521">
        <v>550</v>
      </c>
      <c r="I64" s="517"/>
      <c r="J64" s="520">
        <v>0</v>
      </c>
      <c r="K64" s="520">
        <v>0</v>
      </c>
      <c r="L64" s="520">
        <v>0</v>
      </c>
      <c r="M64" s="517"/>
      <c r="N64" s="542">
        <v>55</v>
      </c>
      <c r="O64" s="518">
        <v>72256.749999999985</v>
      </c>
      <c r="P64" s="518">
        <v>550</v>
      </c>
      <c r="Q64" s="519"/>
      <c r="R64" s="516">
        <v>0</v>
      </c>
      <c r="S64" s="521">
        <v>0</v>
      </c>
      <c r="T64" s="521">
        <v>0</v>
      </c>
      <c r="U64" s="517"/>
      <c r="V64" s="342">
        <f t="shared" si="0"/>
        <v>55</v>
      </c>
      <c r="W64" s="518">
        <f t="shared" si="1"/>
        <v>72256.749999999985</v>
      </c>
      <c r="X64" s="257"/>
    </row>
    <row r="65" spans="1:24" x14ac:dyDescent="0.25">
      <c r="A65">
        <v>60</v>
      </c>
      <c r="B65" t="s">
        <v>93</v>
      </c>
      <c r="C65" t="s">
        <v>18</v>
      </c>
      <c r="D65" t="s">
        <v>16</v>
      </c>
      <c r="F65" s="520">
        <v>13</v>
      </c>
      <c r="G65" s="521">
        <v>11922.14</v>
      </c>
      <c r="H65" s="521">
        <v>65</v>
      </c>
      <c r="I65" s="517"/>
      <c r="J65" s="520">
        <v>0</v>
      </c>
      <c r="K65" s="520">
        <v>0</v>
      </c>
      <c r="L65" s="520">
        <v>0</v>
      </c>
      <c r="M65" s="517"/>
      <c r="N65" s="542">
        <v>13</v>
      </c>
      <c r="O65" s="518">
        <v>11922.14</v>
      </c>
      <c r="P65" s="518">
        <v>65</v>
      </c>
      <c r="Q65" s="519"/>
      <c r="R65" s="516">
        <v>0</v>
      </c>
      <c r="S65" s="521">
        <v>0</v>
      </c>
      <c r="T65" s="521">
        <v>0</v>
      </c>
      <c r="U65" s="517"/>
      <c r="V65" s="342">
        <f t="shared" si="0"/>
        <v>13</v>
      </c>
      <c r="W65" s="518">
        <f t="shared" si="1"/>
        <v>11922.14</v>
      </c>
      <c r="X65" s="257"/>
    </row>
    <row r="66" spans="1:24" x14ac:dyDescent="0.25">
      <c r="A66">
        <v>61</v>
      </c>
      <c r="B66" t="s">
        <v>94</v>
      </c>
      <c r="C66" t="s">
        <v>92</v>
      </c>
      <c r="D66" t="s">
        <v>16</v>
      </c>
      <c r="F66" s="520">
        <v>143</v>
      </c>
      <c r="G66" s="521">
        <v>406926.75</v>
      </c>
      <c r="H66" s="521">
        <v>1430</v>
      </c>
      <c r="I66" s="517"/>
      <c r="J66" s="520">
        <v>0</v>
      </c>
      <c r="K66" s="520">
        <v>0</v>
      </c>
      <c r="L66" s="520">
        <v>0</v>
      </c>
      <c r="M66" s="517"/>
      <c r="N66" s="542">
        <v>143</v>
      </c>
      <c r="O66" s="518">
        <v>406926.75</v>
      </c>
      <c r="P66" s="518">
        <v>1430</v>
      </c>
      <c r="Q66" s="519"/>
      <c r="R66" s="516">
        <v>0</v>
      </c>
      <c r="S66" s="521">
        <v>0</v>
      </c>
      <c r="T66" s="521">
        <v>0</v>
      </c>
      <c r="U66" s="517"/>
      <c r="V66" s="342">
        <f t="shared" si="0"/>
        <v>143</v>
      </c>
      <c r="W66" s="518">
        <f t="shared" si="1"/>
        <v>406926.75</v>
      </c>
      <c r="X66" s="257"/>
    </row>
    <row r="67" spans="1:24" x14ac:dyDescent="0.25">
      <c r="A67">
        <v>62</v>
      </c>
      <c r="B67" t="s">
        <v>95</v>
      </c>
      <c r="D67" t="s">
        <v>16</v>
      </c>
      <c r="F67" s="520">
        <v>0</v>
      </c>
      <c r="G67" s="521">
        <v>0</v>
      </c>
      <c r="H67" s="521">
        <v>0</v>
      </c>
      <c r="I67" s="517"/>
      <c r="J67" s="520">
        <v>0</v>
      </c>
      <c r="K67" s="520">
        <v>0</v>
      </c>
      <c r="L67" s="520">
        <v>0</v>
      </c>
      <c r="M67" s="517"/>
      <c r="N67" s="542">
        <v>0</v>
      </c>
      <c r="O67" s="518">
        <v>0</v>
      </c>
      <c r="P67" s="518">
        <v>0</v>
      </c>
      <c r="Q67" s="519"/>
      <c r="R67" s="516">
        <v>57</v>
      </c>
      <c r="S67" s="521">
        <v>108931.06</v>
      </c>
      <c r="T67" s="521">
        <v>0</v>
      </c>
      <c r="U67" s="517"/>
      <c r="V67" s="342">
        <f t="shared" si="0"/>
        <v>-57</v>
      </c>
      <c r="W67" s="518">
        <f t="shared" si="1"/>
        <v>-108931.06</v>
      </c>
      <c r="X67" s="257"/>
    </row>
    <row r="68" spans="1:24" x14ac:dyDescent="0.25">
      <c r="A68">
        <v>63</v>
      </c>
      <c r="B68" t="s">
        <v>96</v>
      </c>
      <c r="C68" t="s">
        <v>92</v>
      </c>
      <c r="D68" t="s">
        <v>16</v>
      </c>
      <c r="F68" s="520">
        <v>39</v>
      </c>
      <c r="G68" s="521">
        <v>14922.43</v>
      </c>
      <c r="H68" s="521">
        <v>390</v>
      </c>
      <c r="I68" s="517"/>
      <c r="J68" s="520">
        <v>0</v>
      </c>
      <c r="K68" s="520">
        <v>0</v>
      </c>
      <c r="L68" s="520">
        <v>0</v>
      </c>
      <c r="M68" s="517"/>
      <c r="N68" s="542">
        <v>39</v>
      </c>
      <c r="O68" s="518">
        <v>14922.43</v>
      </c>
      <c r="P68" s="518">
        <v>390</v>
      </c>
      <c r="Q68" s="519"/>
      <c r="R68" s="516">
        <v>33</v>
      </c>
      <c r="S68" s="521">
        <v>61883.14</v>
      </c>
      <c r="T68" s="521">
        <v>0</v>
      </c>
      <c r="U68" s="517"/>
      <c r="V68" s="342">
        <f t="shared" si="0"/>
        <v>6</v>
      </c>
      <c r="W68" s="518">
        <f t="shared" si="1"/>
        <v>-46960.71</v>
      </c>
      <c r="X68" s="257"/>
    </row>
    <row r="69" spans="1:24" x14ac:dyDescent="0.25">
      <c r="A69">
        <v>64</v>
      </c>
      <c r="B69" t="s">
        <v>97</v>
      </c>
      <c r="C69" t="s">
        <v>98</v>
      </c>
      <c r="D69" t="s">
        <v>20</v>
      </c>
      <c r="F69" s="520">
        <v>0</v>
      </c>
      <c r="G69" s="521">
        <v>0</v>
      </c>
      <c r="H69" s="521">
        <v>0</v>
      </c>
      <c r="I69" s="517"/>
      <c r="J69" s="520">
        <v>0</v>
      </c>
      <c r="K69" s="520">
        <v>0</v>
      </c>
      <c r="L69" s="520">
        <v>0</v>
      </c>
      <c r="M69" s="517"/>
      <c r="N69" s="542">
        <v>0</v>
      </c>
      <c r="O69" s="518">
        <v>0</v>
      </c>
      <c r="P69" s="518">
        <v>0</v>
      </c>
      <c r="Q69" s="519"/>
      <c r="R69" s="516">
        <v>213</v>
      </c>
      <c r="S69" s="521">
        <v>563523.65</v>
      </c>
      <c r="T69" s="521">
        <v>0</v>
      </c>
      <c r="U69" s="517"/>
      <c r="V69" s="342">
        <f t="shared" si="0"/>
        <v>-213</v>
      </c>
      <c r="W69" s="518">
        <f t="shared" si="1"/>
        <v>-563523.65</v>
      </c>
      <c r="X69" s="257"/>
    </row>
    <row r="70" spans="1:24" x14ac:dyDescent="0.25">
      <c r="A70">
        <v>65</v>
      </c>
      <c r="B70" t="s">
        <v>99</v>
      </c>
      <c r="C70" t="s">
        <v>24</v>
      </c>
      <c r="D70" t="s">
        <v>16</v>
      </c>
      <c r="F70" s="520">
        <v>1</v>
      </c>
      <c r="G70" s="521">
        <v>1000</v>
      </c>
      <c r="H70" s="521">
        <v>25</v>
      </c>
      <c r="I70" s="517"/>
      <c r="J70" s="520">
        <v>0</v>
      </c>
      <c r="K70" s="520">
        <v>0</v>
      </c>
      <c r="L70" s="520">
        <v>0</v>
      </c>
      <c r="M70" s="517"/>
      <c r="N70" s="542">
        <v>1</v>
      </c>
      <c r="O70" s="518">
        <v>1000</v>
      </c>
      <c r="P70" s="518">
        <v>25</v>
      </c>
      <c r="Q70" s="519"/>
      <c r="R70" s="516">
        <v>0</v>
      </c>
      <c r="S70" s="521">
        <v>0</v>
      </c>
      <c r="T70" s="521">
        <v>0</v>
      </c>
      <c r="U70" s="517"/>
      <c r="V70" s="342">
        <f t="shared" ref="V70:V133" si="2">N70-R70</f>
        <v>1</v>
      </c>
      <c r="W70" s="518">
        <f t="shared" ref="W70:W133" si="3">O70-S70-T70</f>
        <v>1000</v>
      </c>
      <c r="X70" s="257"/>
    </row>
    <row r="71" spans="1:24" x14ac:dyDescent="0.25">
      <c r="A71">
        <v>66</v>
      </c>
      <c r="B71" t="s">
        <v>100</v>
      </c>
      <c r="C71" t="s">
        <v>25</v>
      </c>
      <c r="D71" t="s">
        <v>20</v>
      </c>
      <c r="F71" s="520">
        <v>2</v>
      </c>
      <c r="G71" s="521">
        <v>24876</v>
      </c>
      <c r="H71" s="521">
        <v>60</v>
      </c>
      <c r="I71" s="517"/>
      <c r="J71" s="520">
        <v>0</v>
      </c>
      <c r="K71" s="520">
        <v>0</v>
      </c>
      <c r="L71" s="520">
        <v>0</v>
      </c>
      <c r="M71" s="517"/>
      <c r="N71" s="542">
        <v>2</v>
      </c>
      <c r="O71" s="518">
        <v>24876</v>
      </c>
      <c r="P71" s="518">
        <v>60</v>
      </c>
      <c r="Q71" s="519"/>
      <c r="R71" s="516">
        <v>63</v>
      </c>
      <c r="S71" s="521">
        <v>40088.17</v>
      </c>
      <c r="T71" s="521">
        <v>0</v>
      </c>
      <c r="U71" s="517"/>
      <c r="V71" s="342">
        <f t="shared" si="2"/>
        <v>-61</v>
      </c>
      <c r="W71" s="518">
        <f t="shared" si="3"/>
        <v>-15212.169999999998</v>
      </c>
      <c r="X71" s="257"/>
    </row>
    <row r="72" spans="1:24" x14ac:dyDescent="0.25">
      <c r="A72">
        <v>67</v>
      </c>
      <c r="B72" t="s">
        <v>2958</v>
      </c>
      <c r="C72" t="s">
        <v>27</v>
      </c>
      <c r="D72" t="s">
        <v>2959</v>
      </c>
      <c r="F72" s="520">
        <v>0</v>
      </c>
      <c r="G72" s="521">
        <v>0</v>
      </c>
      <c r="H72" s="521">
        <v>0</v>
      </c>
      <c r="I72" s="517"/>
      <c r="J72" s="520">
        <v>0</v>
      </c>
      <c r="K72" s="520">
        <v>0</v>
      </c>
      <c r="L72" s="520">
        <v>0</v>
      </c>
      <c r="M72" s="517"/>
      <c r="N72" s="542">
        <v>0</v>
      </c>
      <c r="O72" s="518">
        <v>0</v>
      </c>
      <c r="P72" s="518">
        <v>0</v>
      </c>
      <c r="Q72" s="519"/>
      <c r="R72" s="516">
        <v>0</v>
      </c>
      <c r="S72" s="521">
        <v>0</v>
      </c>
      <c r="T72" s="521">
        <v>0</v>
      </c>
      <c r="U72" s="517"/>
      <c r="V72" s="342">
        <f t="shared" si="2"/>
        <v>0</v>
      </c>
      <c r="W72" s="518">
        <f t="shared" si="3"/>
        <v>0</v>
      </c>
      <c r="X72" s="257"/>
    </row>
    <row r="73" spans="1:24" x14ac:dyDescent="0.25">
      <c r="A73">
        <v>68</v>
      </c>
      <c r="B73" t="s">
        <v>2417</v>
      </c>
      <c r="C73" t="s">
        <v>92</v>
      </c>
      <c r="D73" t="s">
        <v>20</v>
      </c>
      <c r="F73" s="520">
        <v>13</v>
      </c>
      <c r="G73" s="521">
        <v>1036556.55</v>
      </c>
      <c r="H73" s="521">
        <v>1080</v>
      </c>
      <c r="I73" s="517"/>
      <c r="J73" s="520">
        <v>0</v>
      </c>
      <c r="K73" s="520">
        <v>0</v>
      </c>
      <c r="L73" s="520">
        <v>0</v>
      </c>
      <c r="M73" s="517"/>
      <c r="N73" s="542">
        <v>13</v>
      </c>
      <c r="O73" s="518">
        <v>1036556.55</v>
      </c>
      <c r="P73" s="518">
        <v>1080</v>
      </c>
      <c r="Q73" s="519"/>
      <c r="R73" s="516">
        <v>0</v>
      </c>
      <c r="S73" s="521">
        <v>0</v>
      </c>
      <c r="T73" s="521">
        <v>0</v>
      </c>
      <c r="U73" s="517"/>
      <c r="V73" s="342">
        <f t="shared" si="2"/>
        <v>13</v>
      </c>
      <c r="W73" s="518">
        <f t="shared" si="3"/>
        <v>1036556.55</v>
      </c>
      <c r="X73" s="257"/>
    </row>
    <row r="74" spans="1:24" x14ac:dyDescent="0.25">
      <c r="A74">
        <v>69</v>
      </c>
      <c r="B74" t="s">
        <v>2418</v>
      </c>
      <c r="C74" t="s">
        <v>136</v>
      </c>
      <c r="D74" t="s">
        <v>20</v>
      </c>
      <c r="F74" s="520">
        <v>21</v>
      </c>
      <c r="G74" s="521">
        <v>924849.25</v>
      </c>
      <c r="H74" s="521">
        <v>1160</v>
      </c>
      <c r="I74" s="517"/>
      <c r="J74" s="520">
        <v>0</v>
      </c>
      <c r="K74" s="520">
        <v>0</v>
      </c>
      <c r="L74" s="520">
        <v>0</v>
      </c>
      <c r="M74" s="517"/>
      <c r="N74" s="542">
        <v>21</v>
      </c>
      <c r="O74" s="518">
        <v>924849.25</v>
      </c>
      <c r="P74" s="518">
        <v>1160</v>
      </c>
      <c r="Q74" s="519"/>
      <c r="R74" s="516">
        <v>3</v>
      </c>
      <c r="S74" s="521">
        <v>25453.97</v>
      </c>
      <c r="T74" s="521">
        <v>90</v>
      </c>
      <c r="U74" s="517"/>
      <c r="V74" s="342">
        <f t="shared" si="2"/>
        <v>18</v>
      </c>
      <c r="W74" s="518">
        <f t="shared" si="3"/>
        <v>899305.28</v>
      </c>
      <c r="X74" s="257"/>
    </row>
    <row r="75" spans="1:24" x14ac:dyDescent="0.25">
      <c r="A75">
        <v>70</v>
      </c>
      <c r="B75" t="s">
        <v>102</v>
      </c>
      <c r="C75" t="s">
        <v>15</v>
      </c>
      <c r="D75" t="s">
        <v>45</v>
      </c>
      <c r="F75" s="520">
        <v>53</v>
      </c>
      <c r="G75" s="521">
        <v>26126.129999999997</v>
      </c>
      <c r="H75" s="521">
        <v>424</v>
      </c>
      <c r="I75" s="517"/>
      <c r="J75" s="520">
        <v>0</v>
      </c>
      <c r="K75" s="520">
        <v>0</v>
      </c>
      <c r="L75" s="520">
        <v>0</v>
      </c>
      <c r="M75" s="517"/>
      <c r="N75" s="542">
        <v>53</v>
      </c>
      <c r="O75" s="518">
        <v>26126.129999999997</v>
      </c>
      <c r="P75" s="518">
        <v>424</v>
      </c>
      <c r="Q75" s="519"/>
      <c r="R75" s="516">
        <v>0</v>
      </c>
      <c r="S75" s="521">
        <v>0</v>
      </c>
      <c r="T75" s="521">
        <v>0</v>
      </c>
      <c r="U75" s="517"/>
      <c r="V75" s="342">
        <f t="shared" si="2"/>
        <v>53</v>
      </c>
      <c r="W75" s="518">
        <f t="shared" si="3"/>
        <v>26126.129999999997</v>
      </c>
      <c r="X75" s="257"/>
    </row>
    <row r="76" spans="1:24" x14ac:dyDescent="0.25">
      <c r="A76">
        <v>71</v>
      </c>
      <c r="B76" t="s">
        <v>103</v>
      </c>
      <c r="C76" t="s">
        <v>18</v>
      </c>
      <c r="D76" t="s">
        <v>20</v>
      </c>
      <c r="F76" s="520">
        <v>21</v>
      </c>
      <c r="G76" s="521">
        <v>646223</v>
      </c>
      <c r="H76" s="521">
        <v>630</v>
      </c>
      <c r="I76" s="517"/>
      <c r="J76" s="520">
        <v>0</v>
      </c>
      <c r="K76" s="520">
        <v>0</v>
      </c>
      <c r="L76" s="520">
        <v>0</v>
      </c>
      <c r="M76" s="517"/>
      <c r="N76" s="542">
        <v>21</v>
      </c>
      <c r="O76" s="518">
        <v>646223</v>
      </c>
      <c r="P76" s="518">
        <v>630</v>
      </c>
      <c r="Q76" s="519"/>
      <c r="R76" s="516">
        <v>0</v>
      </c>
      <c r="S76" s="521">
        <v>0</v>
      </c>
      <c r="T76" s="521">
        <v>0</v>
      </c>
      <c r="U76" s="517"/>
      <c r="V76" s="342">
        <f t="shared" si="2"/>
        <v>21</v>
      </c>
      <c r="W76" s="518">
        <f t="shared" si="3"/>
        <v>646223</v>
      </c>
      <c r="X76" s="257"/>
    </row>
    <row r="77" spans="1:24" x14ac:dyDescent="0.25">
      <c r="A77">
        <v>72</v>
      </c>
      <c r="B77" t="s">
        <v>104</v>
      </c>
      <c r="C77" t="s">
        <v>18</v>
      </c>
      <c r="D77" t="s">
        <v>20</v>
      </c>
      <c r="F77" s="520">
        <v>0</v>
      </c>
      <c r="G77" s="521">
        <v>0</v>
      </c>
      <c r="H77" s="521">
        <v>0</v>
      </c>
      <c r="I77" s="517"/>
      <c r="J77" s="520">
        <v>0</v>
      </c>
      <c r="K77" s="520">
        <v>0</v>
      </c>
      <c r="L77" s="520">
        <v>0</v>
      </c>
      <c r="M77" s="517"/>
      <c r="N77" s="542">
        <v>0</v>
      </c>
      <c r="O77" s="518">
        <v>0</v>
      </c>
      <c r="P77" s="518">
        <v>0</v>
      </c>
      <c r="Q77" s="519"/>
      <c r="R77" s="516">
        <v>6</v>
      </c>
      <c r="S77" s="521">
        <v>1645206.53</v>
      </c>
      <c r="T77" s="521">
        <v>1720</v>
      </c>
      <c r="U77" s="517"/>
      <c r="V77" s="342">
        <f t="shared" si="2"/>
        <v>-6</v>
      </c>
      <c r="W77" s="518">
        <f t="shared" si="3"/>
        <v>-1646926.53</v>
      </c>
      <c r="X77" s="257"/>
    </row>
    <row r="78" spans="1:24" x14ac:dyDescent="0.25">
      <c r="A78">
        <v>73</v>
      </c>
      <c r="B78" t="s">
        <v>105</v>
      </c>
      <c r="C78" t="s">
        <v>24</v>
      </c>
      <c r="D78" t="s">
        <v>20</v>
      </c>
      <c r="F78" s="520">
        <v>38</v>
      </c>
      <c r="G78" s="521">
        <v>408268</v>
      </c>
      <c r="H78" s="521">
        <v>1140</v>
      </c>
      <c r="I78" s="517"/>
      <c r="J78" s="520">
        <v>0</v>
      </c>
      <c r="K78" s="520">
        <v>0</v>
      </c>
      <c r="L78" s="520">
        <v>0</v>
      </c>
      <c r="M78" s="517"/>
      <c r="N78" s="542">
        <v>38</v>
      </c>
      <c r="O78" s="518">
        <v>408268</v>
      </c>
      <c r="P78" s="518">
        <v>1140</v>
      </c>
      <c r="Q78" s="519"/>
      <c r="R78" s="516">
        <v>28</v>
      </c>
      <c r="S78" s="521">
        <v>1877633.95</v>
      </c>
      <c r="T78" s="521">
        <v>2360</v>
      </c>
      <c r="U78" s="517"/>
      <c r="V78" s="342">
        <f t="shared" si="2"/>
        <v>10</v>
      </c>
      <c r="W78" s="518">
        <f t="shared" si="3"/>
        <v>-1471725.95</v>
      </c>
      <c r="X78" s="257"/>
    </row>
    <row r="79" spans="1:24" x14ac:dyDescent="0.25">
      <c r="A79">
        <v>74</v>
      </c>
      <c r="B79" t="s">
        <v>106</v>
      </c>
      <c r="C79" t="s">
        <v>18</v>
      </c>
      <c r="D79" t="s">
        <v>16</v>
      </c>
      <c r="F79" s="520">
        <v>29</v>
      </c>
      <c r="G79" s="521">
        <v>324555</v>
      </c>
      <c r="H79" s="521">
        <v>1160</v>
      </c>
      <c r="I79" s="517"/>
      <c r="J79" s="520">
        <v>0</v>
      </c>
      <c r="K79" s="520">
        <v>0</v>
      </c>
      <c r="L79" s="520">
        <v>0</v>
      </c>
      <c r="M79" s="517"/>
      <c r="N79" s="542">
        <v>29</v>
      </c>
      <c r="O79" s="518">
        <v>324555</v>
      </c>
      <c r="P79" s="518">
        <v>1160</v>
      </c>
      <c r="Q79" s="519"/>
      <c r="R79" s="516">
        <v>134</v>
      </c>
      <c r="S79" s="521">
        <v>79786.44</v>
      </c>
      <c r="T79" s="521">
        <v>0</v>
      </c>
      <c r="U79" s="517"/>
      <c r="V79" s="342">
        <f t="shared" si="2"/>
        <v>-105</v>
      </c>
      <c r="W79" s="518">
        <f t="shared" si="3"/>
        <v>244768.56</v>
      </c>
      <c r="X79" s="257"/>
    </row>
    <row r="80" spans="1:24" x14ac:dyDescent="0.25">
      <c r="A80">
        <v>75</v>
      </c>
      <c r="B80" t="s">
        <v>107</v>
      </c>
      <c r="C80" t="s">
        <v>108</v>
      </c>
      <c r="D80" t="s">
        <v>16</v>
      </c>
      <c r="F80" s="520">
        <v>0</v>
      </c>
      <c r="G80" s="521">
        <v>0</v>
      </c>
      <c r="H80" s="521">
        <v>0</v>
      </c>
      <c r="I80" s="517"/>
      <c r="J80" s="520">
        <v>0</v>
      </c>
      <c r="K80" s="520">
        <v>0</v>
      </c>
      <c r="L80" s="520">
        <v>0</v>
      </c>
      <c r="M80" s="517"/>
      <c r="N80" s="542">
        <v>0</v>
      </c>
      <c r="O80" s="518">
        <v>0</v>
      </c>
      <c r="P80" s="518">
        <v>0</v>
      </c>
      <c r="Q80" s="519"/>
      <c r="R80" s="516">
        <v>13</v>
      </c>
      <c r="S80" s="521">
        <v>420118.85</v>
      </c>
      <c r="T80" s="521">
        <v>390</v>
      </c>
      <c r="U80" s="517"/>
      <c r="V80" s="342">
        <f t="shared" si="2"/>
        <v>-13</v>
      </c>
      <c r="W80" s="518">
        <f t="shared" si="3"/>
        <v>-420508.85</v>
      </c>
      <c r="X80" s="257"/>
    </row>
    <row r="81" spans="1:24" x14ac:dyDescent="0.25">
      <c r="A81">
        <v>76</v>
      </c>
      <c r="B81" t="s">
        <v>109</v>
      </c>
      <c r="C81" t="s">
        <v>25</v>
      </c>
      <c r="D81" t="s">
        <v>16</v>
      </c>
      <c r="F81" s="520">
        <v>6</v>
      </c>
      <c r="G81" s="521">
        <v>7856</v>
      </c>
      <c r="H81" s="521">
        <v>60</v>
      </c>
      <c r="I81" s="517"/>
      <c r="J81" s="520">
        <v>0</v>
      </c>
      <c r="K81" s="520">
        <v>0</v>
      </c>
      <c r="L81" s="520">
        <v>0</v>
      </c>
      <c r="M81" s="517"/>
      <c r="N81" s="542">
        <v>6</v>
      </c>
      <c r="O81" s="518">
        <v>7856</v>
      </c>
      <c r="P81" s="518">
        <v>60</v>
      </c>
      <c r="Q81" s="519"/>
      <c r="R81" s="516">
        <v>0</v>
      </c>
      <c r="S81" s="521">
        <v>0</v>
      </c>
      <c r="T81" s="521">
        <v>0</v>
      </c>
      <c r="U81" s="517"/>
      <c r="V81" s="342">
        <f t="shared" si="2"/>
        <v>6</v>
      </c>
      <c r="W81" s="518">
        <f t="shared" si="3"/>
        <v>7856</v>
      </c>
      <c r="X81" s="257"/>
    </row>
    <row r="82" spans="1:24" x14ac:dyDescent="0.25">
      <c r="A82">
        <v>77</v>
      </c>
      <c r="B82" t="s">
        <v>110</v>
      </c>
      <c r="C82" t="s">
        <v>25</v>
      </c>
      <c r="D82" t="s">
        <v>45</v>
      </c>
      <c r="F82" s="520">
        <v>0</v>
      </c>
      <c r="G82" s="521">
        <v>0</v>
      </c>
      <c r="H82" s="521">
        <v>0</v>
      </c>
      <c r="I82" s="517"/>
      <c r="J82" s="520">
        <v>0</v>
      </c>
      <c r="K82" s="520">
        <v>0</v>
      </c>
      <c r="L82" s="520">
        <v>0</v>
      </c>
      <c r="M82" s="517"/>
      <c r="N82" s="542">
        <v>0</v>
      </c>
      <c r="O82" s="518">
        <v>0</v>
      </c>
      <c r="P82" s="518">
        <v>0</v>
      </c>
      <c r="Q82" s="519"/>
      <c r="R82" s="516">
        <v>20</v>
      </c>
      <c r="S82" s="521">
        <v>143410</v>
      </c>
      <c r="T82" s="521">
        <v>600</v>
      </c>
      <c r="U82" s="517"/>
      <c r="V82" s="342">
        <f t="shared" si="2"/>
        <v>-20</v>
      </c>
      <c r="W82" s="518">
        <f t="shared" si="3"/>
        <v>-144010</v>
      </c>
      <c r="X82" s="257"/>
    </row>
    <row r="83" spans="1:24" x14ac:dyDescent="0.25">
      <c r="A83">
        <v>78</v>
      </c>
      <c r="B83" t="s">
        <v>111</v>
      </c>
      <c r="C83" t="s">
        <v>98</v>
      </c>
      <c r="D83" t="s">
        <v>43</v>
      </c>
      <c r="F83" s="520">
        <v>0</v>
      </c>
      <c r="G83" s="521">
        <v>0</v>
      </c>
      <c r="H83" s="521">
        <v>0</v>
      </c>
      <c r="I83" s="517"/>
      <c r="J83" s="520">
        <v>0</v>
      </c>
      <c r="K83" s="520">
        <v>0</v>
      </c>
      <c r="L83" s="520">
        <v>0</v>
      </c>
      <c r="M83" s="517"/>
      <c r="N83" s="542">
        <v>0</v>
      </c>
      <c r="O83" s="518">
        <v>0</v>
      </c>
      <c r="P83" s="518">
        <v>0</v>
      </c>
      <c r="Q83" s="519"/>
      <c r="R83" s="516">
        <v>23</v>
      </c>
      <c r="S83" s="521">
        <v>266719</v>
      </c>
      <c r="T83" s="521">
        <v>0</v>
      </c>
      <c r="U83" s="517"/>
      <c r="V83" s="342">
        <f t="shared" si="2"/>
        <v>-23</v>
      </c>
      <c r="W83" s="518">
        <f t="shared" si="3"/>
        <v>-266719</v>
      </c>
      <c r="X83" s="257"/>
    </row>
    <row r="84" spans="1:24" x14ac:dyDescent="0.25">
      <c r="A84">
        <v>79</v>
      </c>
      <c r="B84" t="s">
        <v>113</v>
      </c>
      <c r="C84" t="s">
        <v>98</v>
      </c>
      <c r="D84" t="s">
        <v>43</v>
      </c>
      <c r="F84" s="520">
        <v>0</v>
      </c>
      <c r="G84" s="521">
        <v>0</v>
      </c>
      <c r="H84" s="521">
        <v>0</v>
      </c>
      <c r="I84" s="517"/>
      <c r="J84" s="520">
        <v>0</v>
      </c>
      <c r="K84" s="520">
        <v>0</v>
      </c>
      <c r="L84" s="520">
        <v>0</v>
      </c>
      <c r="M84" s="517"/>
      <c r="N84" s="542">
        <v>0</v>
      </c>
      <c r="O84" s="518">
        <v>0</v>
      </c>
      <c r="P84" s="518">
        <v>0</v>
      </c>
      <c r="Q84" s="519"/>
      <c r="R84" s="516">
        <v>0</v>
      </c>
      <c r="S84" s="521">
        <v>0</v>
      </c>
      <c r="T84" s="521">
        <v>0</v>
      </c>
      <c r="U84" s="517"/>
      <c r="V84" s="342">
        <f t="shared" si="2"/>
        <v>0</v>
      </c>
      <c r="W84" s="518">
        <f t="shared" si="3"/>
        <v>0</v>
      </c>
      <c r="X84" s="257"/>
    </row>
    <row r="85" spans="1:24" x14ac:dyDescent="0.25">
      <c r="A85">
        <v>80</v>
      </c>
      <c r="B85" t="s">
        <v>114</v>
      </c>
      <c r="C85" t="s">
        <v>18</v>
      </c>
      <c r="D85" t="s">
        <v>45</v>
      </c>
      <c r="F85" s="520">
        <v>11</v>
      </c>
      <c r="G85" s="521">
        <v>8597.0299999999988</v>
      </c>
      <c r="H85" s="521">
        <v>77</v>
      </c>
      <c r="I85" s="517"/>
      <c r="J85" s="520">
        <v>0</v>
      </c>
      <c r="K85" s="520">
        <v>0</v>
      </c>
      <c r="L85" s="520">
        <v>0</v>
      </c>
      <c r="M85" s="517"/>
      <c r="N85" s="542">
        <v>11</v>
      </c>
      <c r="O85" s="518">
        <v>8597.0299999999988</v>
      </c>
      <c r="P85" s="518">
        <v>77</v>
      </c>
      <c r="Q85" s="519"/>
      <c r="R85" s="516">
        <v>3</v>
      </c>
      <c r="S85" s="521">
        <v>4000</v>
      </c>
      <c r="T85" s="521">
        <v>0</v>
      </c>
      <c r="U85" s="517"/>
      <c r="V85" s="342">
        <f t="shared" si="2"/>
        <v>8</v>
      </c>
      <c r="W85" s="518">
        <f t="shared" si="3"/>
        <v>4597.0299999999988</v>
      </c>
      <c r="X85" s="257"/>
    </row>
    <row r="86" spans="1:24" x14ac:dyDescent="0.25">
      <c r="A86">
        <v>81</v>
      </c>
      <c r="B86" t="s">
        <v>2992</v>
      </c>
      <c r="C86" t="s">
        <v>135</v>
      </c>
      <c r="D86" t="s">
        <v>16</v>
      </c>
      <c r="F86" s="520">
        <v>0</v>
      </c>
      <c r="G86" s="521">
        <v>0</v>
      </c>
      <c r="H86" s="521">
        <v>0</v>
      </c>
      <c r="I86" s="517"/>
      <c r="J86" s="520">
        <v>0</v>
      </c>
      <c r="K86" s="520">
        <v>0</v>
      </c>
      <c r="L86" s="520">
        <v>0</v>
      </c>
      <c r="M86" s="517"/>
      <c r="N86" s="542">
        <v>0</v>
      </c>
      <c r="O86" s="518">
        <v>0</v>
      </c>
      <c r="P86" s="518">
        <v>0</v>
      </c>
      <c r="Q86" s="519"/>
      <c r="R86" s="516">
        <v>0</v>
      </c>
      <c r="S86" s="521">
        <v>0</v>
      </c>
      <c r="T86" s="521">
        <v>0</v>
      </c>
      <c r="U86" s="517"/>
      <c r="V86" s="342">
        <f t="shared" si="2"/>
        <v>0</v>
      </c>
      <c r="W86" s="518">
        <f t="shared" si="3"/>
        <v>0</v>
      </c>
      <c r="X86" s="257"/>
    </row>
    <row r="87" spans="1:24" x14ac:dyDescent="0.25">
      <c r="A87">
        <v>82</v>
      </c>
      <c r="B87" t="s">
        <v>115</v>
      </c>
      <c r="C87" t="s">
        <v>41</v>
      </c>
      <c r="D87" t="s">
        <v>16</v>
      </c>
      <c r="F87" s="520">
        <v>0</v>
      </c>
      <c r="G87" s="521">
        <v>0</v>
      </c>
      <c r="H87" s="521">
        <v>0</v>
      </c>
      <c r="I87" s="517"/>
      <c r="J87" s="520">
        <v>0</v>
      </c>
      <c r="K87" s="520">
        <v>0</v>
      </c>
      <c r="L87" s="520">
        <v>0</v>
      </c>
      <c r="M87" s="517"/>
      <c r="N87" s="542">
        <v>0</v>
      </c>
      <c r="O87" s="518">
        <v>0</v>
      </c>
      <c r="P87" s="518">
        <v>0</v>
      </c>
      <c r="Q87" s="519"/>
      <c r="R87" s="516">
        <v>0</v>
      </c>
      <c r="S87" s="521">
        <v>0</v>
      </c>
      <c r="T87" s="521">
        <v>0</v>
      </c>
      <c r="U87" s="517"/>
      <c r="V87" s="342">
        <f t="shared" si="2"/>
        <v>0</v>
      </c>
      <c r="W87" s="518">
        <f t="shared" si="3"/>
        <v>0</v>
      </c>
      <c r="X87" s="257"/>
    </row>
    <row r="88" spans="1:24" x14ac:dyDescent="0.25">
      <c r="A88">
        <v>83</v>
      </c>
      <c r="B88" t="s">
        <v>116</v>
      </c>
      <c r="C88" t="s">
        <v>39</v>
      </c>
      <c r="D88" t="s">
        <v>16</v>
      </c>
      <c r="F88" s="520">
        <v>6</v>
      </c>
      <c r="G88" s="521">
        <v>2528</v>
      </c>
      <c r="H88" s="521">
        <v>48</v>
      </c>
      <c r="I88" s="517"/>
      <c r="J88" s="520">
        <v>0</v>
      </c>
      <c r="K88" s="520">
        <v>0</v>
      </c>
      <c r="L88" s="520">
        <v>0</v>
      </c>
      <c r="M88" s="517"/>
      <c r="N88" s="542">
        <v>6</v>
      </c>
      <c r="O88" s="518">
        <v>2528</v>
      </c>
      <c r="P88" s="518">
        <v>48</v>
      </c>
      <c r="Q88" s="519"/>
      <c r="R88" s="516">
        <v>0</v>
      </c>
      <c r="S88" s="521">
        <v>0</v>
      </c>
      <c r="T88" s="521">
        <v>0</v>
      </c>
      <c r="U88" s="517"/>
      <c r="V88" s="342">
        <f t="shared" si="2"/>
        <v>6</v>
      </c>
      <c r="W88" s="518">
        <f t="shared" si="3"/>
        <v>2528</v>
      </c>
      <c r="X88" s="257"/>
    </row>
    <row r="89" spans="1:24" x14ac:dyDescent="0.25">
      <c r="A89">
        <v>84</v>
      </c>
      <c r="B89" t="s">
        <v>117</v>
      </c>
      <c r="C89" t="s">
        <v>25</v>
      </c>
      <c r="D89" t="s">
        <v>20</v>
      </c>
      <c r="F89" s="520">
        <v>0</v>
      </c>
      <c r="G89" s="521">
        <v>0</v>
      </c>
      <c r="H89" s="521">
        <v>0</v>
      </c>
      <c r="I89" s="517"/>
      <c r="J89" s="520">
        <v>0</v>
      </c>
      <c r="K89" s="520">
        <v>0</v>
      </c>
      <c r="L89" s="520">
        <v>0</v>
      </c>
      <c r="M89" s="517"/>
      <c r="N89" s="542">
        <v>0</v>
      </c>
      <c r="O89" s="518">
        <v>0</v>
      </c>
      <c r="P89" s="518">
        <v>0</v>
      </c>
      <c r="Q89" s="519"/>
      <c r="R89" s="516">
        <v>27</v>
      </c>
      <c r="S89" s="521">
        <v>16932.61</v>
      </c>
      <c r="T89" s="521">
        <v>0</v>
      </c>
      <c r="U89" s="517"/>
      <c r="V89" s="342">
        <f t="shared" si="2"/>
        <v>-27</v>
      </c>
      <c r="W89" s="518">
        <f t="shared" si="3"/>
        <v>-16932.61</v>
      </c>
      <c r="X89" s="257"/>
    </row>
    <row r="90" spans="1:24" x14ac:dyDescent="0.25">
      <c r="A90">
        <v>85</v>
      </c>
      <c r="B90" t="s">
        <v>118</v>
      </c>
      <c r="C90" t="s">
        <v>25</v>
      </c>
      <c r="D90" t="s">
        <v>20</v>
      </c>
      <c r="F90" s="520">
        <v>5</v>
      </c>
      <c r="G90" s="521">
        <v>9130</v>
      </c>
      <c r="H90" s="521">
        <v>50</v>
      </c>
      <c r="I90" s="517"/>
      <c r="J90" s="520">
        <v>0</v>
      </c>
      <c r="K90" s="520">
        <v>0</v>
      </c>
      <c r="L90" s="520">
        <v>0</v>
      </c>
      <c r="M90" s="517"/>
      <c r="N90" s="542">
        <v>5</v>
      </c>
      <c r="O90" s="518">
        <v>9130</v>
      </c>
      <c r="P90" s="518">
        <v>50</v>
      </c>
      <c r="Q90" s="519"/>
      <c r="R90" s="520">
        <v>31</v>
      </c>
      <c r="S90" s="521">
        <v>41267.230000000003</v>
      </c>
      <c r="T90" s="521">
        <v>0</v>
      </c>
      <c r="U90" s="517"/>
      <c r="V90" s="342">
        <f t="shared" si="2"/>
        <v>-26</v>
      </c>
      <c r="W90" s="518">
        <f t="shared" si="3"/>
        <v>-32137.230000000003</v>
      </c>
      <c r="X90" s="257"/>
    </row>
    <row r="91" spans="1:24" x14ac:dyDescent="0.25">
      <c r="A91">
        <v>86</v>
      </c>
      <c r="B91" t="s">
        <v>119</v>
      </c>
      <c r="C91" t="s">
        <v>25</v>
      </c>
      <c r="D91" t="s">
        <v>20</v>
      </c>
      <c r="F91" s="520">
        <v>0</v>
      </c>
      <c r="G91" s="521">
        <v>0</v>
      </c>
      <c r="H91" s="521">
        <v>0</v>
      </c>
      <c r="I91" s="517"/>
      <c r="J91" s="520">
        <v>0</v>
      </c>
      <c r="K91" s="520">
        <v>0</v>
      </c>
      <c r="L91" s="520">
        <v>0</v>
      </c>
      <c r="M91" s="517"/>
      <c r="N91" s="542">
        <v>0</v>
      </c>
      <c r="O91" s="518">
        <v>0</v>
      </c>
      <c r="P91" s="518">
        <v>0</v>
      </c>
      <c r="Q91" s="519"/>
      <c r="R91" s="516">
        <v>0</v>
      </c>
      <c r="S91" s="521">
        <v>0</v>
      </c>
      <c r="T91" s="521">
        <v>0</v>
      </c>
      <c r="U91" s="517"/>
      <c r="V91" s="342">
        <f t="shared" si="2"/>
        <v>0</v>
      </c>
      <c r="W91" s="518">
        <f t="shared" si="3"/>
        <v>0</v>
      </c>
      <c r="X91" s="257"/>
    </row>
    <row r="92" spans="1:24" x14ac:dyDescent="0.25">
      <c r="A92">
        <v>87</v>
      </c>
      <c r="B92" t="s">
        <v>120</v>
      </c>
      <c r="C92" t="s">
        <v>39</v>
      </c>
      <c r="D92" t="s">
        <v>16</v>
      </c>
      <c r="F92" s="520">
        <v>9</v>
      </c>
      <c r="G92" s="521">
        <v>5933.25</v>
      </c>
      <c r="H92" s="521">
        <v>90</v>
      </c>
      <c r="I92" s="517"/>
      <c r="J92" s="520">
        <v>0</v>
      </c>
      <c r="K92" s="520">
        <v>0</v>
      </c>
      <c r="L92" s="520">
        <v>0</v>
      </c>
      <c r="M92" s="517"/>
      <c r="N92" s="542">
        <v>9</v>
      </c>
      <c r="O92" s="518">
        <v>5933.25</v>
      </c>
      <c r="P92" s="518">
        <v>90</v>
      </c>
      <c r="Q92" s="519"/>
      <c r="R92" s="516">
        <v>1</v>
      </c>
      <c r="S92" s="521">
        <v>542</v>
      </c>
      <c r="T92" s="521">
        <v>0</v>
      </c>
      <c r="U92" s="517"/>
      <c r="V92" s="342">
        <f t="shared" si="2"/>
        <v>8</v>
      </c>
      <c r="W92" s="518">
        <f t="shared" si="3"/>
        <v>5391.25</v>
      </c>
      <c r="X92" s="257"/>
    </row>
    <row r="93" spans="1:24" x14ac:dyDescent="0.25">
      <c r="A93">
        <v>88</v>
      </c>
      <c r="B93" t="s">
        <v>121</v>
      </c>
      <c r="C93" t="s">
        <v>18</v>
      </c>
      <c r="D93" t="s">
        <v>16</v>
      </c>
      <c r="F93" s="520">
        <v>27</v>
      </c>
      <c r="G93" s="521">
        <v>29932.07</v>
      </c>
      <c r="H93" s="521">
        <v>270</v>
      </c>
      <c r="I93" s="517"/>
      <c r="J93" s="520">
        <v>0</v>
      </c>
      <c r="K93" s="520">
        <v>0</v>
      </c>
      <c r="L93" s="520">
        <v>0</v>
      </c>
      <c r="M93" s="517"/>
      <c r="N93" s="542">
        <v>27</v>
      </c>
      <c r="O93" s="518">
        <v>29932.07</v>
      </c>
      <c r="P93" s="518">
        <v>270</v>
      </c>
      <c r="Q93" s="519"/>
      <c r="R93" s="516">
        <v>131</v>
      </c>
      <c r="S93" s="521">
        <v>9249224.4514285699</v>
      </c>
      <c r="T93" s="521">
        <v>8308.9314285714299</v>
      </c>
      <c r="U93" s="517"/>
      <c r="V93" s="342">
        <f t="shared" si="2"/>
        <v>-104</v>
      </c>
      <c r="W93" s="518">
        <f t="shared" si="3"/>
        <v>-9227601.3128571417</v>
      </c>
      <c r="X93" s="257"/>
    </row>
    <row r="94" spans="1:24" x14ac:dyDescent="0.25">
      <c r="A94">
        <v>89</v>
      </c>
      <c r="B94" t="s">
        <v>122</v>
      </c>
      <c r="C94" t="s">
        <v>39</v>
      </c>
      <c r="D94" t="s">
        <v>16</v>
      </c>
      <c r="F94" s="520">
        <v>49</v>
      </c>
      <c r="G94" s="521">
        <v>91555.76</v>
      </c>
      <c r="H94" s="521">
        <v>392</v>
      </c>
      <c r="I94" s="517"/>
      <c r="J94" s="520">
        <v>0</v>
      </c>
      <c r="K94" s="520">
        <v>0</v>
      </c>
      <c r="L94" s="520">
        <v>0</v>
      </c>
      <c r="M94" s="517"/>
      <c r="N94" s="542">
        <v>49</v>
      </c>
      <c r="O94" s="518">
        <v>91555.76</v>
      </c>
      <c r="P94" s="518">
        <v>392</v>
      </c>
      <c r="Q94" s="519"/>
      <c r="R94" s="516">
        <v>31</v>
      </c>
      <c r="S94" s="521">
        <v>128075</v>
      </c>
      <c r="T94" s="521">
        <v>310</v>
      </c>
      <c r="U94" s="517"/>
      <c r="V94" s="342">
        <f t="shared" si="2"/>
        <v>18</v>
      </c>
      <c r="W94" s="518">
        <f t="shared" si="3"/>
        <v>-36829.240000000005</v>
      </c>
      <c r="X94" s="257"/>
    </row>
    <row r="95" spans="1:24" x14ac:dyDescent="0.25">
      <c r="A95">
        <v>90</v>
      </c>
      <c r="B95" t="s">
        <v>123</v>
      </c>
      <c r="C95" t="s">
        <v>18</v>
      </c>
      <c r="D95" t="s">
        <v>16</v>
      </c>
      <c r="F95" s="520">
        <v>16</v>
      </c>
      <c r="G95" s="521">
        <v>25317</v>
      </c>
      <c r="H95" s="521">
        <v>160</v>
      </c>
      <c r="I95" s="517"/>
      <c r="J95" s="520">
        <v>0</v>
      </c>
      <c r="K95" s="520">
        <v>0</v>
      </c>
      <c r="L95" s="520">
        <v>0</v>
      </c>
      <c r="M95" s="517"/>
      <c r="N95" s="542">
        <v>16</v>
      </c>
      <c r="O95" s="518">
        <v>25317</v>
      </c>
      <c r="P95" s="518">
        <v>160</v>
      </c>
      <c r="Q95" s="519"/>
      <c r="R95" s="516">
        <v>0</v>
      </c>
      <c r="S95" s="521">
        <v>0</v>
      </c>
      <c r="T95" s="521">
        <v>0</v>
      </c>
      <c r="U95" s="517"/>
      <c r="V95" s="342">
        <f t="shared" si="2"/>
        <v>16</v>
      </c>
      <c r="W95" s="518">
        <f t="shared" si="3"/>
        <v>25317</v>
      </c>
      <c r="X95" s="257"/>
    </row>
    <row r="96" spans="1:24" x14ac:dyDescent="0.25">
      <c r="A96">
        <v>91</v>
      </c>
      <c r="B96" t="s">
        <v>124</v>
      </c>
      <c r="C96" t="s">
        <v>18</v>
      </c>
      <c r="D96" t="s">
        <v>20</v>
      </c>
      <c r="F96" s="520">
        <v>2</v>
      </c>
      <c r="G96" s="521">
        <v>1995</v>
      </c>
      <c r="H96" s="521">
        <v>20</v>
      </c>
      <c r="I96" s="517"/>
      <c r="J96" s="520">
        <v>0</v>
      </c>
      <c r="K96" s="520">
        <v>0</v>
      </c>
      <c r="L96" s="520">
        <v>0</v>
      </c>
      <c r="M96" s="517"/>
      <c r="N96" s="542">
        <v>2</v>
      </c>
      <c r="O96" s="518">
        <v>1995</v>
      </c>
      <c r="P96" s="518">
        <v>20</v>
      </c>
      <c r="Q96" s="519"/>
      <c r="R96" s="516">
        <v>8</v>
      </c>
      <c r="S96" s="521">
        <v>3556.67</v>
      </c>
      <c r="T96" s="521">
        <v>0</v>
      </c>
      <c r="U96" s="517"/>
      <c r="V96" s="342">
        <f t="shared" si="2"/>
        <v>-6</v>
      </c>
      <c r="W96" s="518">
        <f t="shared" si="3"/>
        <v>-1561.67</v>
      </c>
      <c r="X96" s="257"/>
    </row>
    <row r="97" spans="1:24" x14ac:dyDescent="0.25">
      <c r="A97">
        <v>92</v>
      </c>
      <c r="B97" t="s">
        <v>125</v>
      </c>
      <c r="C97" t="s">
        <v>18</v>
      </c>
      <c r="D97" t="s">
        <v>20</v>
      </c>
      <c r="F97" s="520">
        <v>0</v>
      </c>
      <c r="G97" s="521">
        <v>0</v>
      </c>
      <c r="H97" s="521">
        <v>0</v>
      </c>
      <c r="I97" s="517"/>
      <c r="J97" s="520">
        <v>0</v>
      </c>
      <c r="K97" s="520">
        <v>0</v>
      </c>
      <c r="L97" s="520">
        <v>0</v>
      </c>
      <c r="M97" s="517"/>
      <c r="N97" s="542">
        <v>0</v>
      </c>
      <c r="O97" s="518">
        <v>0</v>
      </c>
      <c r="P97" s="518">
        <v>0</v>
      </c>
      <c r="Q97" s="519"/>
      <c r="R97" s="516">
        <v>57</v>
      </c>
      <c r="S97" s="521">
        <v>84973.46</v>
      </c>
      <c r="T97" s="521">
        <v>0</v>
      </c>
      <c r="U97" s="517"/>
      <c r="V97" s="342">
        <f t="shared" si="2"/>
        <v>-57</v>
      </c>
      <c r="W97" s="518">
        <f t="shared" si="3"/>
        <v>-84973.46</v>
      </c>
      <c r="X97" s="257"/>
    </row>
    <row r="98" spans="1:24" x14ac:dyDescent="0.25">
      <c r="A98">
        <v>93</v>
      </c>
      <c r="B98" t="s">
        <v>126</v>
      </c>
      <c r="C98" t="s">
        <v>39</v>
      </c>
      <c r="D98" t="s">
        <v>16</v>
      </c>
      <c r="F98" s="520">
        <v>38</v>
      </c>
      <c r="G98" s="521">
        <v>84611.67</v>
      </c>
      <c r="H98" s="521">
        <v>720</v>
      </c>
      <c r="I98" s="517"/>
      <c r="J98" s="520">
        <v>0</v>
      </c>
      <c r="K98" s="520">
        <v>0</v>
      </c>
      <c r="L98" s="520">
        <v>0</v>
      </c>
      <c r="M98" s="517"/>
      <c r="N98" s="542">
        <v>38</v>
      </c>
      <c r="O98" s="518">
        <v>84611.67</v>
      </c>
      <c r="P98" s="518">
        <v>720</v>
      </c>
      <c r="Q98" s="519"/>
      <c r="R98" s="516">
        <v>36</v>
      </c>
      <c r="S98" s="521">
        <v>50862.81</v>
      </c>
      <c r="T98" s="521">
        <v>0</v>
      </c>
      <c r="U98" s="517"/>
      <c r="V98" s="342">
        <f t="shared" si="2"/>
        <v>2</v>
      </c>
      <c r="W98" s="518">
        <f t="shared" si="3"/>
        <v>33748.86</v>
      </c>
      <c r="X98" s="257"/>
    </row>
    <row r="99" spans="1:24" x14ac:dyDescent="0.25">
      <c r="A99">
        <v>94</v>
      </c>
      <c r="B99" t="s">
        <v>127</v>
      </c>
      <c r="C99" t="s">
        <v>15</v>
      </c>
      <c r="D99" t="s">
        <v>16</v>
      </c>
      <c r="F99" s="520">
        <v>0</v>
      </c>
      <c r="G99" s="521">
        <v>0</v>
      </c>
      <c r="H99" s="521">
        <v>0</v>
      </c>
      <c r="I99" s="517"/>
      <c r="J99" s="520">
        <v>0</v>
      </c>
      <c r="K99" s="520">
        <v>0</v>
      </c>
      <c r="L99" s="520">
        <v>0</v>
      </c>
      <c r="M99" s="517"/>
      <c r="N99" s="542">
        <v>0</v>
      </c>
      <c r="O99" s="518">
        <v>0</v>
      </c>
      <c r="P99" s="518">
        <v>0</v>
      </c>
      <c r="Q99" s="519"/>
      <c r="R99" s="516">
        <v>25</v>
      </c>
      <c r="S99" s="521">
        <v>226141</v>
      </c>
      <c r="T99" s="521">
        <v>0</v>
      </c>
      <c r="U99" s="517"/>
      <c r="V99" s="342">
        <f t="shared" si="2"/>
        <v>-25</v>
      </c>
      <c r="W99" s="518">
        <f t="shared" si="3"/>
        <v>-226141</v>
      </c>
      <c r="X99" s="257"/>
    </row>
    <row r="100" spans="1:24" x14ac:dyDescent="0.25">
      <c r="A100">
        <v>95</v>
      </c>
      <c r="B100" t="s">
        <v>128</v>
      </c>
      <c r="C100" t="s">
        <v>25</v>
      </c>
      <c r="D100" t="s">
        <v>45</v>
      </c>
      <c r="F100" s="520">
        <v>0</v>
      </c>
      <c r="G100" s="521">
        <v>0</v>
      </c>
      <c r="H100" s="521">
        <v>0</v>
      </c>
      <c r="I100" s="517"/>
      <c r="J100" s="520">
        <v>0</v>
      </c>
      <c r="K100" s="520">
        <v>0</v>
      </c>
      <c r="L100" s="520">
        <v>0</v>
      </c>
      <c r="M100" s="517"/>
      <c r="N100" s="542">
        <v>0</v>
      </c>
      <c r="O100" s="518">
        <v>0</v>
      </c>
      <c r="P100" s="518">
        <v>0</v>
      </c>
      <c r="Q100" s="519"/>
      <c r="R100" s="516">
        <v>2</v>
      </c>
      <c r="S100" s="521">
        <v>2975</v>
      </c>
      <c r="T100" s="521">
        <v>20</v>
      </c>
      <c r="U100" s="517"/>
      <c r="V100" s="342">
        <f t="shared" si="2"/>
        <v>-2</v>
      </c>
      <c r="W100" s="518">
        <f t="shared" si="3"/>
        <v>-2995</v>
      </c>
      <c r="X100" s="257"/>
    </row>
    <row r="101" spans="1:24" x14ac:dyDescent="0.25">
      <c r="A101">
        <v>96</v>
      </c>
      <c r="B101" t="s">
        <v>2419</v>
      </c>
      <c r="C101" t="s">
        <v>135</v>
      </c>
      <c r="D101" t="s">
        <v>16</v>
      </c>
      <c r="F101" s="520">
        <v>7</v>
      </c>
      <c r="G101" s="521">
        <v>5684.55</v>
      </c>
      <c r="H101" s="521">
        <v>70</v>
      </c>
      <c r="I101" s="517"/>
      <c r="J101" s="520">
        <v>0</v>
      </c>
      <c r="K101" s="520">
        <v>0</v>
      </c>
      <c r="L101" s="520">
        <v>0</v>
      </c>
      <c r="M101" s="517"/>
      <c r="N101" s="542">
        <v>7</v>
      </c>
      <c r="O101" s="518">
        <v>5684.55</v>
      </c>
      <c r="P101" s="518">
        <v>70</v>
      </c>
      <c r="Q101" s="519"/>
      <c r="R101" s="516">
        <v>0</v>
      </c>
      <c r="S101" s="521">
        <v>0</v>
      </c>
      <c r="T101" s="521">
        <v>0</v>
      </c>
      <c r="U101" s="517"/>
      <c r="V101" s="342">
        <f t="shared" si="2"/>
        <v>7</v>
      </c>
      <c r="W101" s="518">
        <f t="shared" si="3"/>
        <v>5684.55</v>
      </c>
      <c r="X101" s="257"/>
    </row>
    <row r="102" spans="1:24" x14ac:dyDescent="0.25">
      <c r="A102">
        <v>97</v>
      </c>
      <c r="B102" t="s">
        <v>129</v>
      </c>
      <c r="C102" t="s">
        <v>25</v>
      </c>
      <c r="D102" t="s">
        <v>16</v>
      </c>
      <c r="F102" s="520">
        <v>13</v>
      </c>
      <c r="G102" s="521">
        <v>131936.87</v>
      </c>
      <c r="H102" s="521">
        <v>325</v>
      </c>
      <c r="I102" s="517"/>
      <c r="J102" s="520">
        <v>0</v>
      </c>
      <c r="K102" s="520">
        <v>0</v>
      </c>
      <c r="L102" s="520">
        <v>0</v>
      </c>
      <c r="M102" s="517"/>
      <c r="N102" s="542">
        <v>13</v>
      </c>
      <c r="O102" s="518">
        <v>131936.87</v>
      </c>
      <c r="P102" s="518">
        <v>325</v>
      </c>
      <c r="Q102" s="519"/>
      <c r="R102" s="516">
        <v>61</v>
      </c>
      <c r="S102" s="521">
        <v>161910</v>
      </c>
      <c r="T102" s="521">
        <v>0</v>
      </c>
      <c r="U102" s="517"/>
      <c r="V102" s="342">
        <f t="shared" si="2"/>
        <v>-48</v>
      </c>
      <c r="W102" s="518">
        <f t="shared" si="3"/>
        <v>-29973.130000000005</v>
      </c>
      <c r="X102" s="257"/>
    </row>
    <row r="103" spans="1:24" x14ac:dyDescent="0.25">
      <c r="A103">
        <v>98</v>
      </c>
      <c r="B103" t="s">
        <v>130</v>
      </c>
      <c r="C103" t="s">
        <v>27</v>
      </c>
      <c r="D103" t="s">
        <v>16</v>
      </c>
      <c r="F103" s="520">
        <v>0</v>
      </c>
      <c r="G103" s="521">
        <v>0</v>
      </c>
      <c r="H103" s="521">
        <v>0</v>
      </c>
      <c r="I103" s="517"/>
      <c r="J103" s="520">
        <v>0</v>
      </c>
      <c r="K103" s="520">
        <v>0</v>
      </c>
      <c r="L103" s="520">
        <v>0</v>
      </c>
      <c r="M103" s="517"/>
      <c r="N103" s="542">
        <v>0</v>
      </c>
      <c r="O103" s="518">
        <v>0</v>
      </c>
      <c r="P103" s="518">
        <v>0</v>
      </c>
      <c r="Q103" s="519"/>
      <c r="R103" s="516">
        <v>0</v>
      </c>
      <c r="S103" s="521">
        <v>0</v>
      </c>
      <c r="T103" s="521">
        <v>0</v>
      </c>
      <c r="U103" s="517"/>
      <c r="V103" s="342">
        <f t="shared" si="2"/>
        <v>0</v>
      </c>
      <c r="W103" s="518">
        <f t="shared" si="3"/>
        <v>0</v>
      </c>
      <c r="X103" s="257"/>
    </row>
    <row r="104" spans="1:24" x14ac:dyDescent="0.25">
      <c r="A104">
        <v>99</v>
      </c>
      <c r="B104" t="s">
        <v>131</v>
      </c>
      <c r="C104" t="s">
        <v>98</v>
      </c>
      <c r="D104" t="s">
        <v>20</v>
      </c>
      <c r="F104" s="520">
        <v>65</v>
      </c>
      <c r="G104" s="521">
        <v>769345.55</v>
      </c>
      <c r="H104" s="521">
        <v>1950</v>
      </c>
      <c r="I104" s="517"/>
      <c r="J104" s="520">
        <v>0</v>
      </c>
      <c r="K104" s="520">
        <v>0</v>
      </c>
      <c r="L104" s="520">
        <v>0</v>
      </c>
      <c r="M104" s="517"/>
      <c r="N104" s="542">
        <v>65</v>
      </c>
      <c r="O104" s="518">
        <v>769345.55</v>
      </c>
      <c r="P104" s="518">
        <v>1950</v>
      </c>
      <c r="Q104" s="519"/>
      <c r="R104" s="516">
        <v>0</v>
      </c>
      <c r="S104" s="521">
        <v>0</v>
      </c>
      <c r="T104" s="521">
        <v>0</v>
      </c>
      <c r="U104" s="517"/>
      <c r="V104" s="342">
        <f t="shared" si="2"/>
        <v>65</v>
      </c>
      <c r="W104" s="518">
        <f t="shared" si="3"/>
        <v>769345.55</v>
      </c>
      <c r="X104" s="257"/>
    </row>
    <row r="105" spans="1:24" x14ac:dyDescent="0.25">
      <c r="A105">
        <v>100</v>
      </c>
      <c r="B105" t="s">
        <v>132</v>
      </c>
      <c r="C105" t="s">
        <v>25</v>
      </c>
      <c r="D105" t="s">
        <v>16</v>
      </c>
      <c r="F105" s="520">
        <v>0</v>
      </c>
      <c r="G105" s="521">
        <v>0</v>
      </c>
      <c r="H105" s="521">
        <v>0</v>
      </c>
      <c r="I105" s="517"/>
      <c r="J105" s="520">
        <v>0</v>
      </c>
      <c r="K105" s="520">
        <v>0</v>
      </c>
      <c r="L105" s="520">
        <v>0</v>
      </c>
      <c r="M105" s="517"/>
      <c r="N105" s="542">
        <v>0</v>
      </c>
      <c r="O105" s="518">
        <v>0</v>
      </c>
      <c r="P105" s="518">
        <v>0</v>
      </c>
      <c r="Q105" s="519"/>
      <c r="R105" s="516">
        <v>1</v>
      </c>
      <c r="S105" s="521">
        <v>830.1</v>
      </c>
      <c r="T105" s="521">
        <v>0</v>
      </c>
      <c r="U105" s="517"/>
      <c r="V105" s="342">
        <f t="shared" si="2"/>
        <v>-1</v>
      </c>
      <c r="W105" s="518">
        <f t="shared" si="3"/>
        <v>-830.1</v>
      </c>
      <c r="X105" s="257"/>
    </row>
    <row r="106" spans="1:24" x14ac:dyDescent="0.25">
      <c r="A106">
        <v>101</v>
      </c>
      <c r="B106" t="s">
        <v>2141</v>
      </c>
      <c r="C106" t="s">
        <v>18</v>
      </c>
      <c r="D106" t="s">
        <v>16</v>
      </c>
      <c r="F106" s="520">
        <v>0</v>
      </c>
      <c r="G106" s="521">
        <v>0</v>
      </c>
      <c r="H106" s="521">
        <v>0</v>
      </c>
      <c r="I106" s="517"/>
      <c r="J106" s="520">
        <v>0</v>
      </c>
      <c r="K106" s="520">
        <v>0</v>
      </c>
      <c r="L106" s="520">
        <v>0</v>
      </c>
      <c r="M106" s="517"/>
      <c r="N106" s="542">
        <v>0</v>
      </c>
      <c r="O106" s="518">
        <v>0</v>
      </c>
      <c r="P106" s="518">
        <v>0</v>
      </c>
      <c r="Q106" s="519"/>
      <c r="R106" s="516">
        <v>49</v>
      </c>
      <c r="S106" s="521">
        <v>346103.01</v>
      </c>
      <c r="T106" s="521">
        <v>0</v>
      </c>
      <c r="U106" s="517"/>
      <c r="V106" s="342">
        <f t="shared" si="2"/>
        <v>-49</v>
      </c>
      <c r="W106" s="518">
        <f t="shared" si="3"/>
        <v>-346103.01</v>
      </c>
      <c r="X106" s="257"/>
    </row>
    <row r="107" spans="1:24" x14ac:dyDescent="0.25">
      <c r="A107">
        <v>102</v>
      </c>
      <c r="B107" t="s">
        <v>133</v>
      </c>
      <c r="C107" t="s">
        <v>51</v>
      </c>
      <c r="D107" t="s">
        <v>16</v>
      </c>
      <c r="F107" s="520">
        <v>1</v>
      </c>
      <c r="G107" s="521">
        <v>4719</v>
      </c>
      <c r="H107" s="521">
        <v>20</v>
      </c>
      <c r="I107" s="517"/>
      <c r="J107" s="520">
        <v>0</v>
      </c>
      <c r="K107" s="520">
        <v>0</v>
      </c>
      <c r="L107" s="520">
        <v>0</v>
      </c>
      <c r="M107" s="517"/>
      <c r="N107" s="542">
        <v>1</v>
      </c>
      <c r="O107" s="518">
        <v>4719</v>
      </c>
      <c r="P107" s="518">
        <v>20</v>
      </c>
      <c r="Q107" s="519"/>
      <c r="R107" s="516">
        <v>1</v>
      </c>
      <c r="S107" s="521">
        <v>5710</v>
      </c>
      <c r="T107" s="521">
        <v>0</v>
      </c>
      <c r="U107" s="517"/>
      <c r="V107" s="342">
        <f t="shared" si="2"/>
        <v>0</v>
      </c>
      <c r="W107" s="518">
        <f t="shared" si="3"/>
        <v>-991</v>
      </c>
      <c r="X107" s="257"/>
    </row>
    <row r="108" spans="1:24" x14ac:dyDescent="0.25">
      <c r="A108">
        <v>103</v>
      </c>
      <c r="B108" t="s">
        <v>134</v>
      </c>
      <c r="C108" t="s">
        <v>135</v>
      </c>
      <c r="D108" t="s">
        <v>16</v>
      </c>
      <c r="F108" s="520">
        <v>1</v>
      </c>
      <c r="G108" s="521">
        <v>2500</v>
      </c>
      <c r="H108" s="521">
        <v>20</v>
      </c>
      <c r="I108" s="517"/>
      <c r="J108" s="520">
        <v>0</v>
      </c>
      <c r="K108" s="520">
        <v>0</v>
      </c>
      <c r="L108" s="520">
        <v>0</v>
      </c>
      <c r="M108" s="517"/>
      <c r="N108" s="542">
        <v>1</v>
      </c>
      <c r="O108" s="518">
        <v>2500</v>
      </c>
      <c r="P108" s="518">
        <v>20</v>
      </c>
      <c r="Q108" s="519"/>
      <c r="R108" s="516">
        <v>69</v>
      </c>
      <c r="S108" s="521">
        <v>671843.5</v>
      </c>
      <c r="T108" s="521">
        <v>2070</v>
      </c>
      <c r="U108" s="517"/>
      <c r="V108" s="342">
        <f t="shared" si="2"/>
        <v>-68</v>
      </c>
      <c r="W108" s="518">
        <f t="shared" si="3"/>
        <v>-671413.5</v>
      </c>
      <c r="X108" s="257"/>
    </row>
    <row r="109" spans="1:24" x14ac:dyDescent="0.25">
      <c r="A109">
        <v>104</v>
      </c>
      <c r="B109" t="s">
        <v>137</v>
      </c>
      <c r="C109" t="s">
        <v>15</v>
      </c>
      <c r="D109" t="s">
        <v>16</v>
      </c>
      <c r="F109" s="520">
        <v>2</v>
      </c>
      <c r="G109" s="521">
        <v>33316</v>
      </c>
      <c r="H109" s="521">
        <v>50</v>
      </c>
      <c r="I109" s="517"/>
      <c r="J109" s="520">
        <v>0</v>
      </c>
      <c r="K109" s="520">
        <v>0</v>
      </c>
      <c r="L109" s="520">
        <v>0</v>
      </c>
      <c r="M109" s="517"/>
      <c r="N109" s="542">
        <v>2</v>
      </c>
      <c r="O109" s="518">
        <v>33316</v>
      </c>
      <c r="P109" s="518">
        <v>50</v>
      </c>
      <c r="Q109" s="519"/>
      <c r="R109" s="516">
        <v>0</v>
      </c>
      <c r="S109" s="521">
        <v>0</v>
      </c>
      <c r="T109" s="521">
        <v>0</v>
      </c>
      <c r="U109" s="517"/>
      <c r="V109" s="342">
        <f t="shared" si="2"/>
        <v>2</v>
      </c>
      <c r="W109" s="518">
        <f t="shared" si="3"/>
        <v>33316</v>
      </c>
      <c r="X109" s="257"/>
    </row>
    <row r="110" spans="1:24" x14ac:dyDescent="0.25">
      <c r="A110">
        <v>105</v>
      </c>
      <c r="B110" t="s">
        <v>138</v>
      </c>
      <c r="C110" t="s">
        <v>15</v>
      </c>
      <c r="D110" t="s">
        <v>16</v>
      </c>
      <c r="F110" s="520">
        <v>0</v>
      </c>
      <c r="G110" s="521">
        <v>0</v>
      </c>
      <c r="H110" s="521">
        <v>0</v>
      </c>
      <c r="I110" s="517"/>
      <c r="J110" s="520">
        <v>0</v>
      </c>
      <c r="K110" s="520">
        <v>0</v>
      </c>
      <c r="L110" s="520">
        <v>0</v>
      </c>
      <c r="M110" s="517"/>
      <c r="N110" s="542">
        <v>0</v>
      </c>
      <c r="O110" s="518">
        <v>0</v>
      </c>
      <c r="P110" s="518">
        <v>0</v>
      </c>
      <c r="Q110" s="519"/>
      <c r="R110" s="516">
        <v>0</v>
      </c>
      <c r="S110" s="521">
        <v>0</v>
      </c>
      <c r="T110" s="521">
        <v>0</v>
      </c>
      <c r="U110" s="517"/>
      <c r="V110" s="342">
        <f t="shared" si="2"/>
        <v>0</v>
      </c>
      <c r="W110" s="518">
        <f t="shared" si="3"/>
        <v>0</v>
      </c>
      <c r="X110" s="257"/>
    </row>
    <row r="111" spans="1:24" x14ac:dyDescent="0.25">
      <c r="A111">
        <v>106</v>
      </c>
      <c r="B111" t="s">
        <v>139</v>
      </c>
      <c r="C111" t="s">
        <v>15</v>
      </c>
      <c r="D111" t="s">
        <v>16</v>
      </c>
      <c r="F111" s="520">
        <v>13</v>
      </c>
      <c r="G111" s="521">
        <v>201097</v>
      </c>
      <c r="H111" s="521">
        <v>325</v>
      </c>
      <c r="I111" s="517"/>
      <c r="J111" s="520">
        <v>0</v>
      </c>
      <c r="K111" s="520">
        <v>0</v>
      </c>
      <c r="L111" s="520">
        <v>0</v>
      </c>
      <c r="M111" s="517"/>
      <c r="N111" s="542">
        <v>13</v>
      </c>
      <c r="O111" s="518">
        <v>201097</v>
      </c>
      <c r="P111" s="518">
        <v>325</v>
      </c>
      <c r="Q111" s="519"/>
      <c r="R111" s="516">
        <v>2</v>
      </c>
      <c r="S111" s="521">
        <v>46011.16</v>
      </c>
      <c r="T111" s="521">
        <v>0</v>
      </c>
      <c r="U111" s="517"/>
      <c r="V111" s="342">
        <f t="shared" si="2"/>
        <v>11</v>
      </c>
      <c r="W111" s="518">
        <f t="shared" si="3"/>
        <v>155085.84</v>
      </c>
      <c r="X111" s="257"/>
    </row>
    <row r="112" spans="1:24" x14ac:dyDescent="0.25">
      <c r="A112">
        <v>107</v>
      </c>
      <c r="B112" t="s">
        <v>140</v>
      </c>
      <c r="C112" t="s">
        <v>141</v>
      </c>
      <c r="D112" t="s">
        <v>16</v>
      </c>
      <c r="F112" s="520">
        <v>0</v>
      </c>
      <c r="G112" s="521">
        <v>0</v>
      </c>
      <c r="H112" s="521">
        <v>0</v>
      </c>
      <c r="I112" s="517"/>
      <c r="J112" s="520">
        <v>0</v>
      </c>
      <c r="K112" s="520">
        <v>0</v>
      </c>
      <c r="L112" s="520">
        <v>0</v>
      </c>
      <c r="M112" s="517"/>
      <c r="N112" s="542">
        <v>0</v>
      </c>
      <c r="O112" s="518">
        <v>0</v>
      </c>
      <c r="P112" s="518">
        <v>0</v>
      </c>
      <c r="Q112" s="519"/>
      <c r="R112" s="516">
        <v>2</v>
      </c>
      <c r="S112" s="521">
        <v>25413.86</v>
      </c>
      <c r="T112" s="521">
        <v>0</v>
      </c>
      <c r="U112" s="517"/>
      <c r="V112" s="342">
        <f t="shared" si="2"/>
        <v>-2</v>
      </c>
      <c r="W112" s="518">
        <f t="shared" si="3"/>
        <v>-25413.86</v>
      </c>
      <c r="X112" s="257"/>
    </row>
    <row r="113" spans="1:24" x14ac:dyDescent="0.25">
      <c r="A113">
        <v>108</v>
      </c>
      <c r="B113" t="s">
        <v>142</v>
      </c>
      <c r="D113" t="s">
        <v>16</v>
      </c>
      <c r="F113" s="520">
        <v>0</v>
      </c>
      <c r="G113" s="521">
        <v>0</v>
      </c>
      <c r="H113" s="521">
        <v>0</v>
      </c>
      <c r="I113" s="517"/>
      <c r="J113" s="520">
        <v>0</v>
      </c>
      <c r="K113" s="520">
        <v>0</v>
      </c>
      <c r="L113" s="520">
        <v>0</v>
      </c>
      <c r="M113" s="517"/>
      <c r="N113" s="542">
        <v>0</v>
      </c>
      <c r="O113" s="518">
        <v>0</v>
      </c>
      <c r="P113" s="518">
        <v>0</v>
      </c>
      <c r="Q113" s="519"/>
      <c r="R113" s="516">
        <v>4</v>
      </c>
      <c r="S113" s="521">
        <v>150991</v>
      </c>
      <c r="T113" s="521">
        <v>0</v>
      </c>
      <c r="U113" s="517"/>
      <c r="V113" s="342">
        <f t="shared" si="2"/>
        <v>-4</v>
      </c>
      <c r="W113" s="518">
        <f t="shared" si="3"/>
        <v>-150991</v>
      </c>
      <c r="X113" s="257"/>
    </row>
    <row r="114" spans="1:24" x14ac:dyDescent="0.25">
      <c r="A114">
        <v>109</v>
      </c>
      <c r="B114" t="s">
        <v>143</v>
      </c>
      <c r="C114" t="s">
        <v>25</v>
      </c>
      <c r="D114" t="s">
        <v>16</v>
      </c>
      <c r="F114" s="520">
        <v>0</v>
      </c>
      <c r="G114" s="521">
        <v>0</v>
      </c>
      <c r="H114" s="521">
        <v>0</v>
      </c>
      <c r="I114" s="517"/>
      <c r="J114" s="520">
        <v>0</v>
      </c>
      <c r="K114" s="520">
        <v>0</v>
      </c>
      <c r="L114" s="520">
        <v>0</v>
      </c>
      <c r="M114" s="517"/>
      <c r="N114" s="542">
        <v>0</v>
      </c>
      <c r="O114" s="518">
        <v>0</v>
      </c>
      <c r="P114" s="518">
        <v>0</v>
      </c>
      <c r="Q114" s="519"/>
      <c r="R114" s="516">
        <v>2</v>
      </c>
      <c r="S114" s="521">
        <v>64742.879999999997</v>
      </c>
      <c r="T114" s="521">
        <v>0</v>
      </c>
      <c r="U114" s="517"/>
      <c r="V114" s="342">
        <f t="shared" si="2"/>
        <v>-2</v>
      </c>
      <c r="W114" s="518">
        <f t="shared" si="3"/>
        <v>-64742.879999999997</v>
      </c>
      <c r="X114" s="257"/>
    </row>
    <row r="115" spans="1:24" x14ac:dyDescent="0.25">
      <c r="A115">
        <v>110</v>
      </c>
      <c r="B115" t="s">
        <v>2420</v>
      </c>
      <c r="C115" t="s">
        <v>92</v>
      </c>
      <c r="D115" t="s">
        <v>20</v>
      </c>
      <c r="F115" s="520">
        <v>0</v>
      </c>
      <c r="G115" s="521">
        <v>0</v>
      </c>
      <c r="H115" s="521">
        <v>0</v>
      </c>
      <c r="I115" s="517"/>
      <c r="J115" s="520">
        <v>0</v>
      </c>
      <c r="K115" s="520">
        <v>0</v>
      </c>
      <c r="L115" s="520">
        <v>0</v>
      </c>
      <c r="M115" s="517"/>
      <c r="N115" s="542">
        <v>0</v>
      </c>
      <c r="O115" s="518">
        <v>0</v>
      </c>
      <c r="P115" s="518">
        <v>0</v>
      </c>
      <c r="Q115" s="519"/>
      <c r="R115" s="516">
        <v>54</v>
      </c>
      <c r="S115" s="521">
        <v>1160604.18</v>
      </c>
      <c r="T115" s="521">
        <v>0</v>
      </c>
      <c r="U115" s="517"/>
      <c r="V115" s="342">
        <f t="shared" si="2"/>
        <v>-54</v>
      </c>
      <c r="W115" s="518">
        <f t="shared" si="3"/>
        <v>-1160604.18</v>
      </c>
      <c r="X115" s="257"/>
    </row>
    <row r="116" spans="1:24" x14ac:dyDescent="0.25">
      <c r="A116">
        <v>111</v>
      </c>
      <c r="B116" t="s">
        <v>2993</v>
      </c>
      <c r="C116" t="s">
        <v>24</v>
      </c>
      <c r="D116" t="s">
        <v>20</v>
      </c>
      <c r="F116" s="520">
        <v>63</v>
      </c>
      <c r="G116" s="521">
        <v>1959402</v>
      </c>
      <c r="H116" s="521">
        <v>2760</v>
      </c>
      <c r="I116" s="517"/>
      <c r="J116" s="520">
        <v>0</v>
      </c>
      <c r="K116" s="520">
        <v>0</v>
      </c>
      <c r="L116" s="520">
        <v>0</v>
      </c>
      <c r="M116" s="517"/>
      <c r="N116" s="542">
        <v>63</v>
      </c>
      <c r="O116" s="518">
        <v>1959402</v>
      </c>
      <c r="P116" s="518">
        <v>2760</v>
      </c>
      <c r="Q116" s="519"/>
      <c r="R116" s="516">
        <v>0</v>
      </c>
      <c r="S116" s="521">
        <v>0</v>
      </c>
      <c r="T116" s="521">
        <v>0</v>
      </c>
      <c r="U116" s="517"/>
      <c r="V116" s="342">
        <f t="shared" si="2"/>
        <v>63</v>
      </c>
      <c r="W116" s="518">
        <f t="shared" si="3"/>
        <v>1959402</v>
      </c>
      <c r="X116" s="257"/>
    </row>
    <row r="117" spans="1:24" x14ac:dyDescent="0.25">
      <c r="A117">
        <v>112</v>
      </c>
      <c r="B117" t="s">
        <v>144</v>
      </c>
      <c r="C117" t="s">
        <v>15</v>
      </c>
      <c r="D117" t="s">
        <v>20</v>
      </c>
      <c r="F117" s="520">
        <v>0</v>
      </c>
      <c r="G117" s="521">
        <v>0</v>
      </c>
      <c r="H117" s="521">
        <v>0</v>
      </c>
      <c r="I117" s="517"/>
      <c r="J117" s="520">
        <v>0</v>
      </c>
      <c r="K117" s="520">
        <v>0</v>
      </c>
      <c r="L117" s="520">
        <v>0</v>
      </c>
      <c r="M117" s="517"/>
      <c r="N117" s="542">
        <v>0</v>
      </c>
      <c r="O117" s="518">
        <v>0</v>
      </c>
      <c r="P117" s="518">
        <v>0</v>
      </c>
      <c r="Q117" s="519"/>
      <c r="R117" s="516">
        <v>1</v>
      </c>
      <c r="S117" s="521">
        <v>723</v>
      </c>
      <c r="T117" s="521">
        <v>0</v>
      </c>
      <c r="U117" s="517"/>
      <c r="V117" s="342">
        <f t="shared" si="2"/>
        <v>-1</v>
      </c>
      <c r="W117" s="518">
        <f t="shared" si="3"/>
        <v>-723</v>
      </c>
      <c r="X117" s="257"/>
    </row>
    <row r="118" spans="1:24" x14ac:dyDescent="0.25">
      <c r="A118">
        <v>113</v>
      </c>
      <c r="B118" t="s">
        <v>145</v>
      </c>
      <c r="C118" t="s">
        <v>24</v>
      </c>
      <c r="D118" t="s">
        <v>87</v>
      </c>
      <c r="F118" s="520">
        <v>317</v>
      </c>
      <c r="G118" s="521">
        <v>7611312.6199999992</v>
      </c>
      <c r="H118" s="521">
        <v>13280</v>
      </c>
      <c r="I118" s="517"/>
      <c r="J118" s="520">
        <v>0</v>
      </c>
      <c r="K118" s="520">
        <v>0</v>
      </c>
      <c r="L118" s="520">
        <v>0</v>
      </c>
      <c r="M118" s="517"/>
      <c r="N118" s="542">
        <v>317</v>
      </c>
      <c r="O118" s="518">
        <v>7611312.6199999992</v>
      </c>
      <c r="P118" s="518">
        <v>13280</v>
      </c>
      <c r="Q118" s="519"/>
      <c r="R118" s="516">
        <v>8</v>
      </c>
      <c r="S118" s="521">
        <v>4227</v>
      </c>
      <c r="T118" s="521">
        <v>0</v>
      </c>
      <c r="U118" s="517"/>
      <c r="V118" s="342">
        <f t="shared" si="2"/>
        <v>309</v>
      </c>
      <c r="W118" s="518">
        <f t="shared" si="3"/>
        <v>7607085.6199999992</v>
      </c>
      <c r="X118" s="257"/>
    </row>
    <row r="119" spans="1:24" x14ac:dyDescent="0.25">
      <c r="A119">
        <v>114</v>
      </c>
      <c r="B119" t="s">
        <v>146</v>
      </c>
      <c r="C119" t="s">
        <v>15</v>
      </c>
      <c r="D119" t="s">
        <v>45</v>
      </c>
      <c r="F119" s="520">
        <v>1577</v>
      </c>
      <c r="G119" s="521">
        <v>3192702.319999998</v>
      </c>
      <c r="H119" s="521">
        <v>8885</v>
      </c>
      <c r="I119" s="517"/>
      <c r="J119" s="520">
        <v>0</v>
      </c>
      <c r="K119" s="520">
        <v>0</v>
      </c>
      <c r="L119" s="520">
        <v>0</v>
      </c>
      <c r="M119" s="517"/>
      <c r="N119" s="542">
        <v>1577</v>
      </c>
      <c r="O119" s="518">
        <v>3192702.319999998</v>
      </c>
      <c r="P119" s="518">
        <v>8885</v>
      </c>
      <c r="Q119" s="519"/>
      <c r="R119" s="516">
        <v>0</v>
      </c>
      <c r="S119" s="521">
        <v>0</v>
      </c>
      <c r="T119" s="521">
        <v>0</v>
      </c>
      <c r="U119" s="517"/>
      <c r="V119" s="342">
        <f t="shared" si="2"/>
        <v>1577</v>
      </c>
      <c r="W119" s="518">
        <f t="shared" si="3"/>
        <v>3192702.319999998</v>
      </c>
      <c r="X119" s="257"/>
    </row>
    <row r="120" spans="1:24" x14ac:dyDescent="0.25">
      <c r="A120">
        <v>115</v>
      </c>
      <c r="B120" t="s">
        <v>147</v>
      </c>
      <c r="C120" t="s">
        <v>148</v>
      </c>
      <c r="D120" t="s">
        <v>45</v>
      </c>
      <c r="F120" s="520">
        <v>594</v>
      </c>
      <c r="G120" s="521">
        <v>2854079.5100000002</v>
      </c>
      <c r="H120" s="521">
        <v>29700</v>
      </c>
      <c r="I120" s="517"/>
      <c r="J120" s="520">
        <v>0</v>
      </c>
      <c r="K120" s="520">
        <v>0</v>
      </c>
      <c r="L120" s="520">
        <v>0</v>
      </c>
      <c r="M120" s="517"/>
      <c r="N120" s="542">
        <v>594</v>
      </c>
      <c r="O120" s="518">
        <v>2854079.5100000002</v>
      </c>
      <c r="P120" s="518">
        <v>29700</v>
      </c>
      <c r="Q120" s="519"/>
      <c r="R120" s="516">
        <v>0</v>
      </c>
      <c r="S120" s="521">
        <v>0</v>
      </c>
      <c r="T120" s="521">
        <v>0</v>
      </c>
      <c r="U120" s="517"/>
      <c r="V120" s="342">
        <f t="shared" si="2"/>
        <v>594</v>
      </c>
      <c r="W120" s="518">
        <f t="shared" si="3"/>
        <v>2854079.5100000002</v>
      </c>
      <c r="X120" s="257"/>
    </row>
    <row r="121" spans="1:24" x14ac:dyDescent="0.25">
      <c r="A121">
        <v>116</v>
      </c>
      <c r="B121" t="s">
        <v>149</v>
      </c>
      <c r="C121" t="s">
        <v>18</v>
      </c>
      <c r="D121" t="s">
        <v>16</v>
      </c>
      <c r="F121" s="520">
        <v>0</v>
      </c>
      <c r="G121" s="521">
        <v>0</v>
      </c>
      <c r="H121" s="521">
        <v>0</v>
      </c>
      <c r="I121" s="517"/>
      <c r="J121" s="520">
        <v>0</v>
      </c>
      <c r="K121" s="520">
        <v>0</v>
      </c>
      <c r="L121" s="520">
        <v>0</v>
      </c>
      <c r="M121" s="517"/>
      <c r="N121" s="542">
        <v>0</v>
      </c>
      <c r="O121" s="518">
        <v>0</v>
      </c>
      <c r="P121" s="518">
        <v>0</v>
      </c>
      <c r="Q121" s="519"/>
      <c r="R121" s="516">
        <v>294</v>
      </c>
      <c r="S121" s="521">
        <v>5256503.8499999996</v>
      </c>
      <c r="T121" s="521">
        <v>11960</v>
      </c>
      <c r="U121" s="517"/>
      <c r="V121" s="342">
        <f t="shared" si="2"/>
        <v>-294</v>
      </c>
      <c r="W121" s="518">
        <f t="shared" si="3"/>
        <v>-5268463.8499999996</v>
      </c>
      <c r="X121" s="257"/>
    </row>
    <row r="122" spans="1:24" x14ac:dyDescent="0.25">
      <c r="A122">
        <v>117</v>
      </c>
      <c r="B122" t="s">
        <v>150</v>
      </c>
      <c r="D122" t="s">
        <v>16</v>
      </c>
      <c r="F122" s="520">
        <v>0</v>
      </c>
      <c r="G122" s="521">
        <v>0</v>
      </c>
      <c r="H122" s="521">
        <v>0</v>
      </c>
      <c r="I122" s="517"/>
      <c r="J122" s="520">
        <v>0</v>
      </c>
      <c r="K122" s="520">
        <v>0</v>
      </c>
      <c r="L122" s="520">
        <v>0</v>
      </c>
      <c r="M122" s="517"/>
      <c r="N122" s="542">
        <v>0</v>
      </c>
      <c r="O122" s="518">
        <v>0</v>
      </c>
      <c r="P122" s="518">
        <v>0</v>
      </c>
      <c r="Q122" s="519"/>
      <c r="R122" s="516">
        <v>2322</v>
      </c>
      <c r="S122" s="521">
        <v>4354317.7100000037</v>
      </c>
      <c r="T122" s="521">
        <v>0</v>
      </c>
      <c r="U122" s="517"/>
      <c r="V122" s="342">
        <f t="shared" si="2"/>
        <v>-2322</v>
      </c>
      <c r="W122" s="518">
        <f t="shared" si="3"/>
        <v>-4354317.7100000037</v>
      </c>
      <c r="X122" s="257"/>
    </row>
    <row r="123" spans="1:24" x14ac:dyDescent="0.25">
      <c r="A123">
        <v>118</v>
      </c>
      <c r="B123" t="s">
        <v>151</v>
      </c>
      <c r="C123" t="s">
        <v>25</v>
      </c>
      <c r="D123" t="s">
        <v>16</v>
      </c>
      <c r="F123" s="520">
        <v>20</v>
      </c>
      <c r="G123" s="521">
        <v>327681</v>
      </c>
      <c r="H123" s="521">
        <v>600</v>
      </c>
      <c r="I123" s="517"/>
      <c r="J123" s="520">
        <v>0</v>
      </c>
      <c r="K123" s="520">
        <v>0</v>
      </c>
      <c r="L123" s="520">
        <v>0</v>
      </c>
      <c r="M123" s="517"/>
      <c r="N123" s="542">
        <v>20</v>
      </c>
      <c r="O123" s="518">
        <v>327681</v>
      </c>
      <c r="P123" s="518">
        <v>600</v>
      </c>
      <c r="Q123" s="519"/>
      <c r="R123" s="516">
        <v>800</v>
      </c>
      <c r="S123" s="521">
        <v>4200597.63</v>
      </c>
      <c r="T123" s="521">
        <v>0</v>
      </c>
      <c r="U123" s="517"/>
      <c r="V123" s="342">
        <f t="shared" si="2"/>
        <v>-780</v>
      </c>
      <c r="W123" s="518">
        <f t="shared" si="3"/>
        <v>-3872916.63</v>
      </c>
      <c r="X123" s="257"/>
    </row>
    <row r="124" spans="1:24" x14ac:dyDescent="0.25">
      <c r="A124">
        <v>119</v>
      </c>
      <c r="B124" t="s">
        <v>152</v>
      </c>
      <c r="C124" t="s">
        <v>18</v>
      </c>
      <c r="D124" t="s">
        <v>16</v>
      </c>
      <c r="F124" s="520">
        <v>0</v>
      </c>
      <c r="G124" s="521">
        <v>0</v>
      </c>
      <c r="H124" s="521">
        <v>0</v>
      </c>
      <c r="I124" s="517"/>
      <c r="J124" s="520">
        <v>0</v>
      </c>
      <c r="K124" s="520">
        <v>0</v>
      </c>
      <c r="L124" s="520">
        <v>0</v>
      </c>
      <c r="M124" s="517"/>
      <c r="N124" s="542">
        <v>0</v>
      </c>
      <c r="O124" s="518">
        <v>0</v>
      </c>
      <c r="P124" s="518">
        <v>0</v>
      </c>
      <c r="Q124" s="519"/>
      <c r="R124" s="516">
        <v>57</v>
      </c>
      <c r="S124" s="521">
        <v>1104224</v>
      </c>
      <c r="T124" s="521">
        <v>1800</v>
      </c>
      <c r="U124" s="517"/>
      <c r="V124" s="342">
        <f t="shared" si="2"/>
        <v>-57</v>
      </c>
      <c r="W124" s="518">
        <f t="shared" si="3"/>
        <v>-1106024</v>
      </c>
      <c r="X124" s="257"/>
    </row>
    <row r="125" spans="1:24" x14ac:dyDescent="0.25">
      <c r="A125">
        <v>120</v>
      </c>
      <c r="B125" t="s">
        <v>153</v>
      </c>
      <c r="C125" t="s">
        <v>154</v>
      </c>
      <c r="D125" t="s">
        <v>16</v>
      </c>
      <c r="F125" s="520">
        <v>0</v>
      </c>
      <c r="G125" s="521">
        <v>0</v>
      </c>
      <c r="H125" s="521">
        <v>0</v>
      </c>
      <c r="I125" s="517"/>
      <c r="J125" s="520">
        <v>0</v>
      </c>
      <c r="K125" s="520">
        <v>0</v>
      </c>
      <c r="L125" s="520">
        <v>0</v>
      </c>
      <c r="M125" s="517"/>
      <c r="N125" s="542">
        <v>0</v>
      </c>
      <c r="O125" s="518">
        <v>0</v>
      </c>
      <c r="P125" s="518">
        <v>0</v>
      </c>
      <c r="Q125" s="519"/>
      <c r="R125" s="516">
        <v>4</v>
      </c>
      <c r="S125" s="521">
        <v>5596</v>
      </c>
      <c r="T125" s="521">
        <v>0</v>
      </c>
      <c r="U125" s="517"/>
      <c r="V125" s="342">
        <f t="shared" si="2"/>
        <v>-4</v>
      </c>
      <c r="W125" s="518">
        <f t="shared" si="3"/>
        <v>-5596</v>
      </c>
      <c r="X125" s="257"/>
    </row>
    <row r="126" spans="1:24" x14ac:dyDescent="0.25">
      <c r="A126">
        <v>121</v>
      </c>
      <c r="B126" t="s">
        <v>155</v>
      </c>
      <c r="C126" t="s">
        <v>25</v>
      </c>
      <c r="D126" t="s">
        <v>16</v>
      </c>
      <c r="F126" s="520">
        <v>0</v>
      </c>
      <c r="G126" s="521">
        <v>0</v>
      </c>
      <c r="H126" s="521">
        <v>0</v>
      </c>
      <c r="I126" s="517"/>
      <c r="J126" s="520">
        <v>0</v>
      </c>
      <c r="K126" s="520">
        <v>0</v>
      </c>
      <c r="L126" s="520">
        <v>0</v>
      </c>
      <c r="M126" s="517"/>
      <c r="N126" s="542">
        <v>0</v>
      </c>
      <c r="O126" s="518">
        <v>0</v>
      </c>
      <c r="P126" s="518">
        <v>0</v>
      </c>
      <c r="Q126" s="519"/>
      <c r="R126" s="516">
        <v>0</v>
      </c>
      <c r="S126" s="521">
        <v>0</v>
      </c>
      <c r="T126" s="521">
        <v>0</v>
      </c>
      <c r="U126" s="517"/>
      <c r="V126" s="342">
        <f t="shared" si="2"/>
        <v>0</v>
      </c>
      <c r="W126" s="518">
        <f t="shared" si="3"/>
        <v>0</v>
      </c>
      <c r="X126" s="257"/>
    </row>
    <row r="127" spans="1:24" x14ac:dyDescent="0.25">
      <c r="A127">
        <v>122</v>
      </c>
      <c r="B127" t="s">
        <v>156</v>
      </c>
      <c r="C127" t="s">
        <v>18</v>
      </c>
      <c r="D127" t="s">
        <v>16</v>
      </c>
      <c r="F127" s="520">
        <v>0</v>
      </c>
      <c r="G127" s="521">
        <v>0</v>
      </c>
      <c r="H127" s="521">
        <v>0</v>
      </c>
      <c r="I127" s="517"/>
      <c r="J127" s="520">
        <v>0</v>
      </c>
      <c r="K127" s="520">
        <v>0</v>
      </c>
      <c r="L127" s="520">
        <v>0</v>
      </c>
      <c r="M127" s="517"/>
      <c r="N127" s="542">
        <v>0</v>
      </c>
      <c r="O127" s="518">
        <v>0</v>
      </c>
      <c r="P127" s="518">
        <v>0</v>
      </c>
      <c r="Q127" s="519"/>
      <c r="R127" s="516">
        <v>1</v>
      </c>
      <c r="S127" s="521">
        <v>1503</v>
      </c>
      <c r="T127" s="521">
        <v>0</v>
      </c>
      <c r="U127" s="517"/>
      <c r="V127" s="342">
        <f t="shared" si="2"/>
        <v>-1</v>
      </c>
      <c r="W127" s="518">
        <f t="shared" si="3"/>
        <v>-1503</v>
      </c>
      <c r="X127" s="257"/>
    </row>
    <row r="128" spans="1:24" x14ac:dyDescent="0.25">
      <c r="A128">
        <v>123</v>
      </c>
      <c r="B128" t="s">
        <v>157</v>
      </c>
      <c r="C128" t="s">
        <v>158</v>
      </c>
      <c r="D128" t="s">
        <v>16</v>
      </c>
      <c r="F128" s="520">
        <v>6</v>
      </c>
      <c r="G128" s="521">
        <v>9212.7800000000007</v>
      </c>
      <c r="H128" s="521">
        <v>240</v>
      </c>
      <c r="I128" s="517"/>
      <c r="J128" s="520">
        <v>0</v>
      </c>
      <c r="K128" s="520">
        <v>0</v>
      </c>
      <c r="L128" s="520">
        <v>0</v>
      </c>
      <c r="M128" s="517"/>
      <c r="N128" s="542">
        <v>6</v>
      </c>
      <c r="O128" s="518">
        <v>9212.7800000000007</v>
      </c>
      <c r="P128" s="518">
        <v>240</v>
      </c>
      <c r="Q128" s="519"/>
      <c r="R128" s="516">
        <v>0</v>
      </c>
      <c r="S128" s="521">
        <v>0</v>
      </c>
      <c r="T128" s="521">
        <v>0</v>
      </c>
      <c r="U128" s="517"/>
      <c r="V128" s="342">
        <f t="shared" si="2"/>
        <v>6</v>
      </c>
      <c r="W128" s="518">
        <f t="shared" si="3"/>
        <v>9212.7800000000007</v>
      </c>
      <c r="X128" s="257"/>
    </row>
    <row r="129" spans="1:24" x14ac:dyDescent="0.25">
      <c r="A129">
        <v>124</v>
      </c>
      <c r="B129" t="s">
        <v>159</v>
      </c>
      <c r="C129" t="s">
        <v>18</v>
      </c>
      <c r="D129" t="s">
        <v>16</v>
      </c>
      <c r="F129" s="520">
        <v>0</v>
      </c>
      <c r="G129" s="521">
        <v>0</v>
      </c>
      <c r="H129" s="521">
        <v>0</v>
      </c>
      <c r="I129" s="517"/>
      <c r="J129" s="520">
        <v>0</v>
      </c>
      <c r="K129" s="520">
        <v>0</v>
      </c>
      <c r="L129" s="520">
        <v>0</v>
      </c>
      <c r="M129" s="517"/>
      <c r="N129" s="542">
        <v>0</v>
      </c>
      <c r="O129" s="518">
        <v>0</v>
      </c>
      <c r="P129" s="518">
        <v>0</v>
      </c>
      <c r="Q129" s="519"/>
      <c r="R129" s="516">
        <v>0</v>
      </c>
      <c r="S129" s="521">
        <v>0</v>
      </c>
      <c r="T129" s="521">
        <v>0</v>
      </c>
      <c r="U129" s="517"/>
      <c r="V129" s="342">
        <f t="shared" si="2"/>
        <v>0</v>
      </c>
      <c r="W129" s="518">
        <f t="shared" si="3"/>
        <v>0</v>
      </c>
      <c r="X129" s="257"/>
    </row>
    <row r="130" spans="1:24" x14ac:dyDescent="0.25">
      <c r="A130">
        <v>125</v>
      </c>
      <c r="B130" t="s">
        <v>160</v>
      </c>
      <c r="C130" t="s">
        <v>18</v>
      </c>
      <c r="D130" t="s">
        <v>16</v>
      </c>
      <c r="F130" s="520">
        <v>95</v>
      </c>
      <c r="G130" s="521">
        <v>158113.63</v>
      </c>
      <c r="H130" s="521">
        <v>760</v>
      </c>
      <c r="I130" s="517"/>
      <c r="J130" s="520">
        <v>0</v>
      </c>
      <c r="K130" s="520">
        <v>0</v>
      </c>
      <c r="L130" s="520">
        <v>0</v>
      </c>
      <c r="M130" s="517"/>
      <c r="N130" s="542">
        <v>95</v>
      </c>
      <c r="O130" s="518">
        <v>158113.63</v>
      </c>
      <c r="P130" s="518">
        <v>760</v>
      </c>
      <c r="Q130" s="519"/>
      <c r="R130" s="516">
        <v>0</v>
      </c>
      <c r="S130" s="521">
        <v>0</v>
      </c>
      <c r="T130" s="521">
        <v>0</v>
      </c>
      <c r="U130" s="517"/>
      <c r="V130" s="342">
        <f t="shared" si="2"/>
        <v>95</v>
      </c>
      <c r="W130" s="518">
        <f t="shared" si="3"/>
        <v>158113.63</v>
      </c>
      <c r="X130" s="257"/>
    </row>
    <row r="131" spans="1:24" x14ac:dyDescent="0.25">
      <c r="A131">
        <v>126</v>
      </c>
      <c r="B131" t="s">
        <v>161</v>
      </c>
      <c r="C131" t="s">
        <v>15</v>
      </c>
      <c r="D131" t="s">
        <v>45</v>
      </c>
      <c r="F131" s="520">
        <v>25</v>
      </c>
      <c r="G131" s="521">
        <v>32241.23</v>
      </c>
      <c r="H131" s="521">
        <v>225</v>
      </c>
      <c r="I131" s="517"/>
      <c r="J131" s="520">
        <v>0</v>
      </c>
      <c r="K131" s="520">
        <v>0</v>
      </c>
      <c r="L131" s="520">
        <v>0</v>
      </c>
      <c r="M131" s="517"/>
      <c r="N131" s="542">
        <v>25</v>
      </c>
      <c r="O131" s="518">
        <v>32241.23</v>
      </c>
      <c r="P131" s="518">
        <v>225</v>
      </c>
      <c r="Q131" s="519"/>
      <c r="R131" s="516">
        <v>0</v>
      </c>
      <c r="S131" s="521">
        <v>0</v>
      </c>
      <c r="T131" s="521">
        <v>0</v>
      </c>
      <c r="U131" s="517"/>
      <c r="V131" s="342">
        <f t="shared" si="2"/>
        <v>25</v>
      </c>
      <c r="W131" s="518">
        <f t="shared" si="3"/>
        <v>32241.23</v>
      </c>
      <c r="X131" s="257"/>
    </row>
    <row r="132" spans="1:24" x14ac:dyDescent="0.25">
      <c r="A132">
        <v>127</v>
      </c>
      <c r="B132" t="s">
        <v>2421</v>
      </c>
      <c r="C132" t="s">
        <v>18</v>
      </c>
      <c r="D132" t="s">
        <v>16</v>
      </c>
      <c r="F132" s="520">
        <v>0</v>
      </c>
      <c r="G132" s="521">
        <v>0</v>
      </c>
      <c r="H132" s="521">
        <v>0</v>
      </c>
      <c r="I132" s="517"/>
      <c r="J132" s="520">
        <v>0</v>
      </c>
      <c r="K132" s="520">
        <v>0</v>
      </c>
      <c r="L132" s="520">
        <v>0</v>
      </c>
      <c r="M132" s="517"/>
      <c r="N132" s="542">
        <v>0</v>
      </c>
      <c r="O132" s="518">
        <v>0</v>
      </c>
      <c r="P132" s="518">
        <v>0</v>
      </c>
      <c r="Q132" s="519"/>
      <c r="R132" s="516">
        <v>7</v>
      </c>
      <c r="S132" s="521">
        <v>29011.55</v>
      </c>
      <c r="T132" s="521">
        <v>0</v>
      </c>
      <c r="U132" s="517"/>
      <c r="V132" s="342">
        <f t="shared" si="2"/>
        <v>-7</v>
      </c>
      <c r="W132" s="518">
        <f t="shared" si="3"/>
        <v>-29011.55</v>
      </c>
      <c r="X132" s="257"/>
    </row>
    <row r="133" spans="1:24" x14ac:dyDescent="0.25">
      <c r="A133">
        <v>128</v>
      </c>
      <c r="B133" t="s">
        <v>162</v>
      </c>
      <c r="C133" t="s">
        <v>92</v>
      </c>
      <c r="D133" t="s">
        <v>16</v>
      </c>
      <c r="F133" s="520">
        <v>0</v>
      </c>
      <c r="G133" s="521">
        <v>0</v>
      </c>
      <c r="H133" s="521">
        <v>0</v>
      </c>
      <c r="I133" s="517"/>
      <c r="J133" s="520">
        <v>0</v>
      </c>
      <c r="K133" s="520">
        <v>0</v>
      </c>
      <c r="L133" s="520">
        <v>0</v>
      </c>
      <c r="M133" s="517"/>
      <c r="N133" s="542">
        <v>0</v>
      </c>
      <c r="O133" s="518">
        <v>0</v>
      </c>
      <c r="P133" s="518">
        <v>0</v>
      </c>
      <c r="Q133" s="519"/>
      <c r="R133" s="516">
        <v>0</v>
      </c>
      <c r="S133" s="521">
        <v>0</v>
      </c>
      <c r="T133" s="521">
        <v>0</v>
      </c>
      <c r="U133" s="517"/>
      <c r="V133" s="342">
        <f t="shared" si="2"/>
        <v>0</v>
      </c>
      <c r="W133" s="518">
        <f t="shared" si="3"/>
        <v>0</v>
      </c>
      <c r="X133" s="257"/>
    </row>
    <row r="134" spans="1:24" x14ac:dyDescent="0.25">
      <c r="A134">
        <v>129</v>
      </c>
      <c r="B134" t="s">
        <v>163</v>
      </c>
      <c r="C134" t="s">
        <v>39</v>
      </c>
      <c r="D134" t="s">
        <v>16</v>
      </c>
      <c r="F134" s="520">
        <v>0</v>
      </c>
      <c r="G134" s="521">
        <v>0</v>
      </c>
      <c r="H134" s="521">
        <v>0</v>
      </c>
      <c r="I134" s="517"/>
      <c r="J134" s="520">
        <v>0</v>
      </c>
      <c r="K134" s="520">
        <v>0</v>
      </c>
      <c r="L134" s="520">
        <v>0</v>
      </c>
      <c r="M134" s="517"/>
      <c r="N134" s="542">
        <v>0</v>
      </c>
      <c r="O134" s="518">
        <v>0</v>
      </c>
      <c r="P134" s="518">
        <v>0</v>
      </c>
      <c r="Q134" s="519"/>
      <c r="R134" s="516">
        <v>135</v>
      </c>
      <c r="S134" s="521">
        <v>187834.44</v>
      </c>
      <c r="T134" s="521">
        <v>0</v>
      </c>
      <c r="U134" s="517"/>
      <c r="V134" s="342">
        <f t="shared" ref="V134:V197" si="4">N134-R134</f>
        <v>-135</v>
      </c>
      <c r="W134" s="518">
        <f t="shared" ref="W134:W197" si="5">O134-S134-T134</f>
        <v>-187834.44</v>
      </c>
      <c r="X134" s="257"/>
    </row>
    <row r="135" spans="1:24" x14ac:dyDescent="0.25">
      <c r="A135">
        <v>130</v>
      </c>
      <c r="B135" t="s">
        <v>164</v>
      </c>
      <c r="C135" t="s">
        <v>101</v>
      </c>
      <c r="D135" t="s">
        <v>87</v>
      </c>
      <c r="F135" s="520">
        <v>79</v>
      </c>
      <c r="G135" s="521">
        <v>2068104.25</v>
      </c>
      <c r="H135" s="521">
        <v>3400</v>
      </c>
      <c r="I135" s="517"/>
      <c r="J135" s="520">
        <v>0</v>
      </c>
      <c r="K135" s="520">
        <v>0</v>
      </c>
      <c r="L135" s="520">
        <v>0</v>
      </c>
      <c r="M135" s="517"/>
      <c r="N135" s="542">
        <v>79</v>
      </c>
      <c r="O135" s="518">
        <v>2068104.25</v>
      </c>
      <c r="P135" s="518">
        <v>3400</v>
      </c>
      <c r="Q135" s="519"/>
      <c r="R135" s="516">
        <v>33</v>
      </c>
      <c r="S135" s="521">
        <v>76151.399999999994</v>
      </c>
      <c r="T135" s="521">
        <v>0</v>
      </c>
      <c r="U135" s="517"/>
      <c r="V135" s="342">
        <f t="shared" si="4"/>
        <v>46</v>
      </c>
      <c r="W135" s="518">
        <f t="shared" si="5"/>
        <v>1991952.85</v>
      </c>
      <c r="X135" s="257"/>
    </row>
    <row r="136" spans="1:24" x14ac:dyDescent="0.25">
      <c r="A136">
        <v>131</v>
      </c>
      <c r="B136" t="s">
        <v>165</v>
      </c>
      <c r="C136" t="s">
        <v>15</v>
      </c>
      <c r="D136" t="s">
        <v>45</v>
      </c>
      <c r="F136" s="520">
        <v>203</v>
      </c>
      <c r="G136" s="521">
        <v>457746.36000000004</v>
      </c>
      <c r="H136" s="521">
        <v>1827</v>
      </c>
      <c r="I136" s="517"/>
      <c r="J136" s="520">
        <v>0</v>
      </c>
      <c r="K136" s="520">
        <v>0</v>
      </c>
      <c r="L136" s="520">
        <v>0</v>
      </c>
      <c r="M136" s="517"/>
      <c r="N136" s="542">
        <v>203</v>
      </c>
      <c r="O136" s="518">
        <v>457746.36000000004</v>
      </c>
      <c r="P136" s="518">
        <v>1827</v>
      </c>
      <c r="Q136" s="519"/>
      <c r="R136" s="516">
        <v>0</v>
      </c>
      <c r="S136" s="521">
        <v>0</v>
      </c>
      <c r="T136" s="521">
        <v>0</v>
      </c>
      <c r="U136" s="517"/>
      <c r="V136" s="342">
        <f t="shared" si="4"/>
        <v>203</v>
      </c>
      <c r="W136" s="518">
        <f t="shared" si="5"/>
        <v>457746.36000000004</v>
      </c>
      <c r="X136" s="257"/>
    </row>
    <row r="137" spans="1:24" x14ac:dyDescent="0.25">
      <c r="A137">
        <v>132</v>
      </c>
      <c r="B137" t="s">
        <v>167</v>
      </c>
      <c r="C137" t="s">
        <v>135</v>
      </c>
      <c r="D137" t="s">
        <v>16</v>
      </c>
      <c r="F137" s="520">
        <v>0</v>
      </c>
      <c r="G137" s="521">
        <v>0</v>
      </c>
      <c r="H137" s="521">
        <v>0</v>
      </c>
      <c r="I137" s="517"/>
      <c r="J137" s="520">
        <v>0</v>
      </c>
      <c r="K137" s="520">
        <v>0</v>
      </c>
      <c r="L137" s="520">
        <v>0</v>
      </c>
      <c r="M137" s="517"/>
      <c r="N137" s="542">
        <v>0</v>
      </c>
      <c r="O137" s="518">
        <v>0</v>
      </c>
      <c r="P137" s="518">
        <v>0</v>
      </c>
      <c r="Q137" s="519"/>
      <c r="R137" s="516">
        <v>0</v>
      </c>
      <c r="S137" s="521">
        <v>0</v>
      </c>
      <c r="T137" s="521">
        <v>0</v>
      </c>
      <c r="U137" s="517"/>
      <c r="V137" s="342">
        <f t="shared" si="4"/>
        <v>0</v>
      </c>
      <c r="W137" s="518">
        <f t="shared" si="5"/>
        <v>0</v>
      </c>
      <c r="X137" s="257"/>
    </row>
    <row r="138" spans="1:24" x14ac:dyDescent="0.25">
      <c r="A138">
        <v>133</v>
      </c>
      <c r="B138" t="s">
        <v>168</v>
      </c>
      <c r="C138" t="s">
        <v>18</v>
      </c>
      <c r="D138" t="s">
        <v>20</v>
      </c>
      <c r="F138" s="520">
        <v>1</v>
      </c>
      <c r="G138" s="521">
        <v>3023</v>
      </c>
      <c r="H138" s="521">
        <v>25</v>
      </c>
      <c r="I138" s="517"/>
      <c r="J138" s="520">
        <v>0</v>
      </c>
      <c r="K138" s="520">
        <v>0</v>
      </c>
      <c r="L138" s="520">
        <v>0</v>
      </c>
      <c r="M138" s="517"/>
      <c r="N138" s="542">
        <v>1</v>
      </c>
      <c r="O138" s="518">
        <v>3023</v>
      </c>
      <c r="P138" s="518">
        <v>25</v>
      </c>
      <c r="Q138" s="519"/>
      <c r="R138" s="516">
        <v>0</v>
      </c>
      <c r="S138" s="521">
        <v>0</v>
      </c>
      <c r="T138" s="521">
        <v>0</v>
      </c>
      <c r="U138" s="517"/>
      <c r="V138" s="342">
        <f t="shared" si="4"/>
        <v>1</v>
      </c>
      <c r="W138" s="518">
        <f t="shared" si="5"/>
        <v>3023</v>
      </c>
      <c r="X138" s="257"/>
    </row>
    <row r="139" spans="1:24" x14ac:dyDescent="0.25">
      <c r="A139">
        <v>134</v>
      </c>
      <c r="B139" t="s">
        <v>169</v>
      </c>
      <c r="C139" t="s">
        <v>18</v>
      </c>
      <c r="D139" t="s">
        <v>16</v>
      </c>
      <c r="F139" s="520">
        <v>3</v>
      </c>
      <c r="G139" s="521">
        <v>13748</v>
      </c>
      <c r="H139" s="521">
        <v>60</v>
      </c>
      <c r="I139" s="517"/>
      <c r="J139" s="520">
        <v>0</v>
      </c>
      <c r="K139" s="520">
        <v>0</v>
      </c>
      <c r="L139" s="520">
        <v>0</v>
      </c>
      <c r="M139" s="517"/>
      <c r="N139" s="542">
        <v>3</v>
      </c>
      <c r="O139" s="518">
        <v>13748</v>
      </c>
      <c r="P139" s="518">
        <v>60</v>
      </c>
      <c r="Q139" s="519"/>
      <c r="R139" s="516">
        <v>0</v>
      </c>
      <c r="S139" s="521">
        <v>0</v>
      </c>
      <c r="T139" s="521">
        <v>0</v>
      </c>
      <c r="U139" s="517"/>
      <c r="V139" s="342">
        <f t="shared" si="4"/>
        <v>3</v>
      </c>
      <c r="W139" s="518">
        <f t="shared" si="5"/>
        <v>13748</v>
      </c>
      <c r="X139" s="257"/>
    </row>
    <row r="140" spans="1:24" x14ac:dyDescent="0.25">
      <c r="A140">
        <v>135</v>
      </c>
      <c r="B140" t="s">
        <v>170</v>
      </c>
      <c r="C140" t="s">
        <v>18</v>
      </c>
      <c r="D140" t="s">
        <v>16</v>
      </c>
      <c r="F140" s="520">
        <v>0</v>
      </c>
      <c r="G140" s="521">
        <v>0</v>
      </c>
      <c r="H140" s="521">
        <v>0</v>
      </c>
      <c r="I140" s="517"/>
      <c r="J140" s="520">
        <v>0</v>
      </c>
      <c r="K140" s="520">
        <v>0</v>
      </c>
      <c r="L140" s="520">
        <v>0</v>
      </c>
      <c r="M140" s="517"/>
      <c r="N140" s="542">
        <v>0</v>
      </c>
      <c r="O140" s="518">
        <v>0</v>
      </c>
      <c r="P140" s="518">
        <v>0</v>
      </c>
      <c r="Q140" s="519"/>
      <c r="R140" s="516">
        <v>92</v>
      </c>
      <c r="S140" s="521">
        <v>1612361.05</v>
      </c>
      <c r="T140" s="521">
        <v>3760</v>
      </c>
      <c r="U140" s="517"/>
      <c r="V140" s="342">
        <f t="shared" si="4"/>
        <v>-92</v>
      </c>
      <c r="W140" s="518">
        <f t="shared" si="5"/>
        <v>-1616121.05</v>
      </c>
      <c r="X140" s="257"/>
    </row>
    <row r="141" spans="1:24" x14ac:dyDescent="0.25">
      <c r="A141">
        <v>136</v>
      </c>
      <c r="B141" t="s">
        <v>171</v>
      </c>
      <c r="C141" t="s">
        <v>39</v>
      </c>
      <c r="D141" t="s">
        <v>16</v>
      </c>
      <c r="F141" s="520">
        <v>40</v>
      </c>
      <c r="G141" s="521">
        <v>21279.409999999996</v>
      </c>
      <c r="H141" s="521">
        <v>400</v>
      </c>
      <c r="I141" s="517"/>
      <c r="J141" s="520">
        <v>0</v>
      </c>
      <c r="K141" s="520">
        <v>0</v>
      </c>
      <c r="L141" s="520">
        <v>0</v>
      </c>
      <c r="M141" s="517"/>
      <c r="N141" s="542">
        <v>40</v>
      </c>
      <c r="O141" s="518">
        <v>21279.409999999996</v>
      </c>
      <c r="P141" s="518">
        <v>400</v>
      </c>
      <c r="Q141" s="519"/>
      <c r="R141" s="516">
        <v>260</v>
      </c>
      <c r="S141" s="521">
        <v>509398.04</v>
      </c>
      <c r="T141" s="521">
        <v>0</v>
      </c>
      <c r="U141" s="517"/>
      <c r="V141" s="342">
        <f t="shared" si="4"/>
        <v>-220</v>
      </c>
      <c r="W141" s="518">
        <f t="shared" si="5"/>
        <v>-488118.63</v>
      </c>
      <c r="X141" s="257"/>
    </row>
    <row r="142" spans="1:24" x14ac:dyDescent="0.25">
      <c r="A142">
        <v>137</v>
      </c>
      <c r="B142" t="s">
        <v>2994</v>
      </c>
      <c r="C142" t="s">
        <v>189</v>
      </c>
      <c r="D142" t="s">
        <v>16</v>
      </c>
      <c r="F142" s="520">
        <v>3</v>
      </c>
      <c r="G142" s="521">
        <v>2492.13</v>
      </c>
      <c r="H142" s="521">
        <v>30</v>
      </c>
      <c r="I142" s="517"/>
      <c r="J142" s="520">
        <v>0</v>
      </c>
      <c r="K142" s="520">
        <v>0</v>
      </c>
      <c r="L142" s="520">
        <v>0</v>
      </c>
      <c r="M142" s="517"/>
      <c r="N142" s="542">
        <v>3</v>
      </c>
      <c r="O142" s="518">
        <v>2492.13</v>
      </c>
      <c r="P142" s="518">
        <v>30</v>
      </c>
      <c r="Q142" s="519"/>
      <c r="R142" s="516">
        <v>0</v>
      </c>
      <c r="S142" s="521">
        <v>0</v>
      </c>
      <c r="T142" s="521">
        <v>0</v>
      </c>
      <c r="U142" s="517"/>
      <c r="V142" s="342">
        <f t="shared" si="4"/>
        <v>3</v>
      </c>
      <c r="W142" s="518">
        <f t="shared" si="5"/>
        <v>2492.13</v>
      </c>
      <c r="X142" s="257"/>
    </row>
    <row r="143" spans="1:24" x14ac:dyDescent="0.25">
      <c r="A143">
        <v>138</v>
      </c>
      <c r="B143" t="s">
        <v>172</v>
      </c>
      <c r="D143" t="s">
        <v>16</v>
      </c>
      <c r="F143" s="520">
        <v>1</v>
      </c>
      <c r="G143" s="521">
        <v>10740</v>
      </c>
      <c r="H143" s="521">
        <v>50</v>
      </c>
      <c r="I143" s="517"/>
      <c r="J143" s="520">
        <v>0</v>
      </c>
      <c r="K143" s="520">
        <v>0</v>
      </c>
      <c r="L143" s="520">
        <v>0</v>
      </c>
      <c r="M143" s="517"/>
      <c r="N143" s="542">
        <v>1</v>
      </c>
      <c r="O143" s="518">
        <v>10740</v>
      </c>
      <c r="P143" s="518">
        <v>50</v>
      </c>
      <c r="Q143" s="519"/>
      <c r="R143" s="516">
        <v>2</v>
      </c>
      <c r="S143" s="521">
        <v>3701</v>
      </c>
      <c r="T143" s="521">
        <v>0</v>
      </c>
      <c r="U143" s="517"/>
      <c r="V143" s="342">
        <f t="shared" si="4"/>
        <v>-1</v>
      </c>
      <c r="W143" s="518">
        <f t="shared" si="5"/>
        <v>7039</v>
      </c>
      <c r="X143" s="257"/>
    </row>
    <row r="144" spans="1:24" x14ac:dyDescent="0.25">
      <c r="A144">
        <v>139</v>
      </c>
      <c r="B144" t="s">
        <v>2960</v>
      </c>
      <c r="C144" t="s">
        <v>136</v>
      </c>
      <c r="D144" t="s">
        <v>16</v>
      </c>
      <c r="F144" s="520">
        <v>0</v>
      </c>
      <c r="G144" s="521">
        <v>0</v>
      </c>
      <c r="H144" s="521">
        <v>0</v>
      </c>
      <c r="I144" s="517"/>
      <c r="J144" s="520">
        <v>0</v>
      </c>
      <c r="K144" s="520">
        <v>0</v>
      </c>
      <c r="L144" s="520">
        <v>0</v>
      </c>
      <c r="M144" s="517"/>
      <c r="N144" s="542">
        <v>0</v>
      </c>
      <c r="O144" s="518">
        <v>0</v>
      </c>
      <c r="P144" s="518">
        <v>0</v>
      </c>
      <c r="Q144" s="519"/>
      <c r="R144" s="516">
        <v>3</v>
      </c>
      <c r="S144" s="521">
        <v>7096</v>
      </c>
      <c r="T144" s="521">
        <v>0</v>
      </c>
      <c r="U144" s="517"/>
      <c r="V144" s="342">
        <f t="shared" si="4"/>
        <v>-3</v>
      </c>
      <c r="W144" s="518">
        <f t="shared" si="5"/>
        <v>-7096</v>
      </c>
      <c r="X144" s="257"/>
    </row>
    <row r="145" spans="1:24" x14ac:dyDescent="0.25">
      <c r="A145">
        <v>140</v>
      </c>
      <c r="B145" t="s">
        <v>173</v>
      </c>
      <c r="C145" t="s">
        <v>98</v>
      </c>
      <c r="D145" t="s">
        <v>16</v>
      </c>
      <c r="F145" s="520">
        <v>0</v>
      </c>
      <c r="G145" s="521">
        <v>0</v>
      </c>
      <c r="H145" s="521">
        <v>0</v>
      </c>
      <c r="I145" s="517"/>
      <c r="J145" s="520">
        <v>0</v>
      </c>
      <c r="K145" s="520">
        <v>0</v>
      </c>
      <c r="L145" s="520">
        <v>0</v>
      </c>
      <c r="M145" s="517"/>
      <c r="N145" s="542">
        <v>0</v>
      </c>
      <c r="O145" s="518">
        <v>0</v>
      </c>
      <c r="P145" s="518">
        <v>0</v>
      </c>
      <c r="Q145" s="519"/>
      <c r="R145" s="516">
        <v>4</v>
      </c>
      <c r="S145" s="521">
        <v>151150</v>
      </c>
      <c r="T145" s="521">
        <v>0</v>
      </c>
      <c r="U145" s="517"/>
      <c r="V145" s="342">
        <f t="shared" si="4"/>
        <v>-4</v>
      </c>
      <c r="W145" s="518">
        <f t="shared" si="5"/>
        <v>-151150</v>
      </c>
      <c r="X145" s="257"/>
    </row>
    <row r="146" spans="1:24" x14ac:dyDescent="0.25">
      <c r="A146">
        <v>141</v>
      </c>
      <c r="B146" t="s">
        <v>174</v>
      </c>
      <c r="C146" t="s">
        <v>15</v>
      </c>
      <c r="D146" t="s">
        <v>45</v>
      </c>
      <c r="F146" s="520">
        <v>4077</v>
      </c>
      <c r="G146" s="521">
        <v>51655805.719999999</v>
      </c>
      <c r="H146" s="521">
        <v>2650</v>
      </c>
      <c r="I146" s="517"/>
      <c r="J146" s="520">
        <v>0</v>
      </c>
      <c r="K146" s="520">
        <v>0</v>
      </c>
      <c r="L146" s="520">
        <v>0</v>
      </c>
      <c r="M146" s="517"/>
      <c r="N146" s="542">
        <v>4077</v>
      </c>
      <c r="O146" s="518">
        <v>51655805.719999999</v>
      </c>
      <c r="P146" s="518">
        <v>2650</v>
      </c>
      <c r="Q146" s="519"/>
      <c r="R146" s="516">
        <v>115</v>
      </c>
      <c r="S146" s="521">
        <v>56326.95</v>
      </c>
      <c r="T146" s="521">
        <v>0</v>
      </c>
      <c r="U146" s="517"/>
      <c r="V146" s="342">
        <f t="shared" si="4"/>
        <v>3962</v>
      </c>
      <c r="W146" s="518">
        <f t="shared" si="5"/>
        <v>51599478.769999996</v>
      </c>
      <c r="X146" s="257"/>
    </row>
    <row r="147" spans="1:24" x14ac:dyDescent="0.25">
      <c r="A147">
        <v>142</v>
      </c>
      <c r="B147" t="s">
        <v>166</v>
      </c>
      <c r="C147" t="s">
        <v>18</v>
      </c>
      <c r="D147" t="s">
        <v>16</v>
      </c>
      <c r="F147" s="520">
        <v>0</v>
      </c>
      <c r="G147" s="521">
        <v>0</v>
      </c>
      <c r="H147" s="521">
        <v>0</v>
      </c>
      <c r="I147" s="517"/>
      <c r="J147" s="520">
        <v>0</v>
      </c>
      <c r="K147" s="520">
        <v>0</v>
      </c>
      <c r="L147" s="520">
        <v>0</v>
      </c>
      <c r="M147" s="517"/>
      <c r="N147" s="542">
        <v>0</v>
      </c>
      <c r="O147" s="518">
        <v>0</v>
      </c>
      <c r="P147" s="518">
        <v>0</v>
      </c>
      <c r="Q147" s="519"/>
      <c r="R147" s="520">
        <v>5</v>
      </c>
      <c r="S147" s="521">
        <v>3075.91</v>
      </c>
      <c r="T147" s="521">
        <v>0</v>
      </c>
      <c r="U147" s="517"/>
      <c r="V147" s="342">
        <f t="shared" si="4"/>
        <v>-5</v>
      </c>
      <c r="W147" s="518">
        <f t="shared" si="5"/>
        <v>-3075.91</v>
      </c>
      <c r="X147" s="257"/>
    </row>
    <row r="148" spans="1:24" x14ac:dyDescent="0.25">
      <c r="A148">
        <v>143</v>
      </c>
      <c r="B148" t="s">
        <v>175</v>
      </c>
      <c r="C148" t="s">
        <v>18</v>
      </c>
      <c r="D148" t="s">
        <v>16</v>
      </c>
      <c r="F148" s="520">
        <v>25</v>
      </c>
      <c r="G148" s="521">
        <v>508650</v>
      </c>
      <c r="H148" s="521">
        <v>750</v>
      </c>
      <c r="I148" s="517"/>
      <c r="J148" s="520">
        <v>0</v>
      </c>
      <c r="K148" s="520">
        <v>0</v>
      </c>
      <c r="L148" s="520">
        <v>0</v>
      </c>
      <c r="M148" s="517"/>
      <c r="N148" s="542">
        <v>25</v>
      </c>
      <c r="O148" s="518">
        <v>508650</v>
      </c>
      <c r="P148" s="518">
        <v>750</v>
      </c>
      <c r="Q148" s="519"/>
      <c r="R148" s="516">
        <v>10</v>
      </c>
      <c r="S148" s="521">
        <v>62477</v>
      </c>
      <c r="T148" s="521">
        <v>0</v>
      </c>
      <c r="U148" s="517"/>
      <c r="V148" s="342">
        <f t="shared" si="4"/>
        <v>15</v>
      </c>
      <c r="W148" s="518">
        <f t="shared" si="5"/>
        <v>446173</v>
      </c>
      <c r="X148" s="257"/>
    </row>
    <row r="149" spans="1:24" x14ac:dyDescent="0.25">
      <c r="A149">
        <v>144</v>
      </c>
      <c r="B149" t="s">
        <v>176</v>
      </c>
      <c r="F149" s="520">
        <v>0</v>
      </c>
      <c r="G149" s="521">
        <v>0</v>
      </c>
      <c r="H149" s="521">
        <v>0</v>
      </c>
      <c r="I149" s="517"/>
      <c r="J149" s="520">
        <v>0</v>
      </c>
      <c r="K149" s="520">
        <v>0</v>
      </c>
      <c r="L149" s="520">
        <v>0</v>
      </c>
      <c r="M149" s="517"/>
      <c r="N149" s="542">
        <v>0</v>
      </c>
      <c r="O149" s="518">
        <v>0</v>
      </c>
      <c r="P149" s="518">
        <v>0</v>
      </c>
      <c r="Q149" s="519"/>
      <c r="R149" s="516">
        <v>6</v>
      </c>
      <c r="S149" s="521">
        <v>101708.5</v>
      </c>
      <c r="T149" s="521">
        <v>175</v>
      </c>
      <c r="U149" s="517"/>
      <c r="V149" s="342">
        <f t="shared" si="4"/>
        <v>-6</v>
      </c>
      <c r="W149" s="518">
        <f t="shared" si="5"/>
        <v>-101883.5</v>
      </c>
      <c r="X149" s="257"/>
    </row>
    <row r="150" spans="1:24" x14ac:dyDescent="0.25">
      <c r="A150">
        <v>145</v>
      </c>
      <c r="B150" t="s">
        <v>177</v>
      </c>
      <c r="C150" t="s">
        <v>25</v>
      </c>
      <c r="D150" t="s">
        <v>16</v>
      </c>
      <c r="F150" s="520">
        <v>9</v>
      </c>
      <c r="G150" s="521">
        <v>6003.75</v>
      </c>
      <c r="H150" s="521">
        <v>72</v>
      </c>
      <c r="I150" s="517"/>
      <c r="J150" s="520">
        <v>0</v>
      </c>
      <c r="K150" s="520">
        <v>0</v>
      </c>
      <c r="L150" s="520">
        <v>0</v>
      </c>
      <c r="M150" s="517"/>
      <c r="N150" s="542">
        <v>9</v>
      </c>
      <c r="O150" s="518">
        <v>6003.75</v>
      </c>
      <c r="P150" s="518">
        <v>72</v>
      </c>
      <c r="Q150" s="519"/>
      <c r="R150" s="516">
        <v>0</v>
      </c>
      <c r="S150" s="521">
        <v>0</v>
      </c>
      <c r="T150" s="521">
        <v>0</v>
      </c>
      <c r="U150" s="517"/>
      <c r="V150" s="342">
        <f t="shared" si="4"/>
        <v>9</v>
      </c>
      <c r="W150" s="518">
        <f t="shared" si="5"/>
        <v>6003.75</v>
      </c>
      <c r="X150" s="257"/>
    </row>
    <row r="151" spans="1:24" x14ac:dyDescent="0.25">
      <c r="A151">
        <v>146</v>
      </c>
      <c r="B151" t="s">
        <v>178</v>
      </c>
      <c r="C151" t="s">
        <v>25</v>
      </c>
      <c r="D151" t="s">
        <v>16</v>
      </c>
      <c r="F151" s="520">
        <v>10</v>
      </c>
      <c r="G151" s="521">
        <v>15146</v>
      </c>
      <c r="H151" s="521">
        <v>80</v>
      </c>
      <c r="I151" s="517"/>
      <c r="J151" s="520">
        <v>0</v>
      </c>
      <c r="K151" s="520">
        <v>0</v>
      </c>
      <c r="L151" s="520">
        <v>0</v>
      </c>
      <c r="M151" s="517"/>
      <c r="N151" s="542">
        <v>10</v>
      </c>
      <c r="O151" s="518">
        <v>15146</v>
      </c>
      <c r="P151" s="518">
        <v>80</v>
      </c>
      <c r="Q151" s="519"/>
      <c r="R151" s="516">
        <v>4927</v>
      </c>
      <c r="S151" s="521">
        <v>67330670.819999993</v>
      </c>
      <c r="T151" s="521">
        <v>0</v>
      </c>
      <c r="U151" s="517"/>
      <c r="V151" s="342">
        <f t="shared" si="4"/>
        <v>-4917</v>
      </c>
      <c r="W151" s="518">
        <f t="shared" si="5"/>
        <v>-67315524.819999993</v>
      </c>
      <c r="X151" s="257"/>
    </row>
    <row r="152" spans="1:24" x14ac:dyDescent="0.25">
      <c r="A152">
        <v>147</v>
      </c>
      <c r="B152" t="s">
        <v>179</v>
      </c>
      <c r="C152" t="s">
        <v>18</v>
      </c>
      <c r="D152" t="s">
        <v>16</v>
      </c>
      <c r="F152" s="520">
        <v>0</v>
      </c>
      <c r="G152" s="521">
        <v>0</v>
      </c>
      <c r="H152" s="521">
        <v>0</v>
      </c>
      <c r="I152" s="517"/>
      <c r="J152" s="520">
        <v>0</v>
      </c>
      <c r="K152" s="520">
        <v>0</v>
      </c>
      <c r="L152" s="520">
        <v>0</v>
      </c>
      <c r="M152" s="517"/>
      <c r="N152" s="542">
        <v>0</v>
      </c>
      <c r="O152" s="518">
        <v>0</v>
      </c>
      <c r="P152" s="518">
        <v>0</v>
      </c>
      <c r="Q152" s="519"/>
      <c r="R152" s="516">
        <v>0</v>
      </c>
      <c r="S152" s="521">
        <v>0</v>
      </c>
      <c r="T152" s="521">
        <v>0</v>
      </c>
      <c r="U152" s="517"/>
      <c r="V152" s="342">
        <f t="shared" si="4"/>
        <v>0</v>
      </c>
      <c r="W152" s="518">
        <f t="shared" si="5"/>
        <v>0</v>
      </c>
      <c r="X152" s="257"/>
    </row>
    <row r="153" spans="1:24" x14ac:dyDescent="0.25">
      <c r="A153">
        <v>148</v>
      </c>
      <c r="B153" t="s">
        <v>180</v>
      </c>
      <c r="C153" t="s">
        <v>18</v>
      </c>
      <c r="D153" t="s">
        <v>16</v>
      </c>
      <c r="F153" s="520">
        <v>0</v>
      </c>
      <c r="G153" s="521">
        <v>0</v>
      </c>
      <c r="H153" s="521">
        <v>0</v>
      </c>
      <c r="I153" s="523"/>
      <c r="J153" s="520">
        <v>0</v>
      </c>
      <c r="K153" s="520">
        <v>0</v>
      </c>
      <c r="L153" s="520">
        <v>0</v>
      </c>
      <c r="M153" s="523"/>
      <c r="N153" s="542">
        <v>0</v>
      </c>
      <c r="O153" s="518">
        <v>0</v>
      </c>
      <c r="P153" s="518">
        <v>0</v>
      </c>
      <c r="Q153" s="519"/>
      <c r="R153" s="516">
        <v>19</v>
      </c>
      <c r="S153" s="521">
        <v>355859</v>
      </c>
      <c r="T153" s="521">
        <v>570</v>
      </c>
      <c r="U153" s="517"/>
      <c r="V153" s="342">
        <f t="shared" si="4"/>
        <v>-19</v>
      </c>
      <c r="W153" s="518">
        <f t="shared" si="5"/>
        <v>-356429</v>
      </c>
      <c r="X153" s="257"/>
    </row>
    <row r="154" spans="1:24" x14ac:dyDescent="0.25">
      <c r="A154">
        <v>149</v>
      </c>
      <c r="B154" t="s">
        <v>181</v>
      </c>
      <c r="C154" t="s">
        <v>18</v>
      </c>
      <c r="D154" t="s">
        <v>16</v>
      </c>
      <c r="F154" s="520">
        <v>0</v>
      </c>
      <c r="G154" s="521">
        <v>0</v>
      </c>
      <c r="H154" s="521">
        <v>0</v>
      </c>
      <c r="I154" s="517"/>
      <c r="J154" s="520">
        <v>0</v>
      </c>
      <c r="K154" s="520">
        <v>0</v>
      </c>
      <c r="L154" s="520">
        <v>0</v>
      </c>
      <c r="M154" s="517"/>
      <c r="N154" s="542">
        <v>0</v>
      </c>
      <c r="O154" s="518">
        <v>0</v>
      </c>
      <c r="P154" s="518">
        <v>0</v>
      </c>
      <c r="Q154" s="519"/>
      <c r="R154" s="516">
        <v>0</v>
      </c>
      <c r="S154" s="521">
        <v>0</v>
      </c>
      <c r="T154" s="521">
        <v>0</v>
      </c>
      <c r="U154" s="517"/>
      <c r="V154" s="342">
        <f t="shared" si="4"/>
        <v>0</v>
      </c>
      <c r="W154" s="518">
        <f t="shared" si="5"/>
        <v>0</v>
      </c>
      <c r="X154" s="257"/>
    </row>
    <row r="155" spans="1:24" x14ac:dyDescent="0.25">
      <c r="A155">
        <v>150</v>
      </c>
      <c r="B155" t="s">
        <v>182</v>
      </c>
      <c r="C155" t="s">
        <v>18</v>
      </c>
      <c r="D155" t="s">
        <v>16</v>
      </c>
      <c r="F155" s="520">
        <v>0</v>
      </c>
      <c r="G155" s="521">
        <v>0</v>
      </c>
      <c r="H155" s="521">
        <v>0</v>
      </c>
      <c r="I155" s="517"/>
      <c r="J155" s="520">
        <v>0</v>
      </c>
      <c r="K155" s="520">
        <v>0</v>
      </c>
      <c r="L155" s="520">
        <v>0</v>
      </c>
      <c r="M155" s="517"/>
      <c r="N155" s="542">
        <v>0</v>
      </c>
      <c r="O155" s="518">
        <v>0</v>
      </c>
      <c r="P155" s="518">
        <v>0</v>
      </c>
      <c r="Q155" s="519"/>
      <c r="R155" s="516">
        <v>16</v>
      </c>
      <c r="S155" s="521">
        <v>25993</v>
      </c>
      <c r="T155" s="521">
        <v>0</v>
      </c>
      <c r="U155" s="517"/>
      <c r="V155" s="342">
        <f t="shared" si="4"/>
        <v>-16</v>
      </c>
      <c r="W155" s="518">
        <f t="shared" si="5"/>
        <v>-25993</v>
      </c>
      <c r="X155" s="257"/>
    </row>
    <row r="156" spans="1:24" x14ac:dyDescent="0.25">
      <c r="A156">
        <v>151</v>
      </c>
      <c r="B156" t="s">
        <v>183</v>
      </c>
      <c r="C156" t="s">
        <v>25</v>
      </c>
      <c r="D156" t="s">
        <v>20</v>
      </c>
      <c r="F156" s="520">
        <v>0</v>
      </c>
      <c r="G156" s="521">
        <v>0</v>
      </c>
      <c r="H156" s="521">
        <v>0</v>
      </c>
      <c r="I156" s="517"/>
      <c r="J156" s="520">
        <v>0</v>
      </c>
      <c r="K156" s="520">
        <v>0</v>
      </c>
      <c r="L156" s="520">
        <v>0</v>
      </c>
      <c r="M156" s="517"/>
      <c r="N156" s="542">
        <v>0</v>
      </c>
      <c r="O156" s="518">
        <v>0</v>
      </c>
      <c r="P156" s="518">
        <v>0</v>
      </c>
      <c r="Q156" s="519"/>
      <c r="R156" s="516">
        <v>25</v>
      </c>
      <c r="S156" s="521">
        <v>60740</v>
      </c>
      <c r="T156" s="521">
        <v>0</v>
      </c>
      <c r="U156" s="517"/>
      <c r="V156" s="342">
        <f t="shared" si="4"/>
        <v>-25</v>
      </c>
      <c r="W156" s="518">
        <f t="shared" si="5"/>
        <v>-60740</v>
      </c>
      <c r="X156" s="257"/>
    </row>
    <row r="157" spans="1:24" x14ac:dyDescent="0.25">
      <c r="A157">
        <v>152</v>
      </c>
      <c r="B157" t="s">
        <v>184</v>
      </c>
      <c r="C157" t="s">
        <v>41</v>
      </c>
      <c r="D157" t="s">
        <v>16</v>
      </c>
      <c r="F157" s="520">
        <v>0</v>
      </c>
      <c r="G157" s="521">
        <v>0</v>
      </c>
      <c r="H157" s="521">
        <v>0</v>
      </c>
      <c r="I157" s="517"/>
      <c r="J157" s="520">
        <v>0</v>
      </c>
      <c r="K157" s="520">
        <v>0</v>
      </c>
      <c r="L157" s="520">
        <v>0</v>
      </c>
      <c r="M157" s="517"/>
      <c r="N157" s="542">
        <v>0</v>
      </c>
      <c r="O157" s="518">
        <v>0</v>
      </c>
      <c r="P157" s="518">
        <v>0</v>
      </c>
      <c r="Q157" s="519"/>
      <c r="R157" s="516">
        <v>0</v>
      </c>
      <c r="S157" s="521">
        <v>0</v>
      </c>
      <c r="T157" s="521">
        <v>0</v>
      </c>
      <c r="U157" s="517"/>
      <c r="V157" s="342">
        <f t="shared" si="4"/>
        <v>0</v>
      </c>
      <c r="W157" s="518">
        <f t="shared" si="5"/>
        <v>0</v>
      </c>
      <c r="X157" s="257"/>
    </row>
    <row r="158" spans="1:24" x14ac:dyDescent="0.25">
      <c r="A158">
        <v>153</v>
      </c>
      <c r="B158" t="s">
        <v>185</v>
      </c>
      <c r="C158" t="s">
        <v>15</v>
      </c>
      <c r="D158" t="s">
        <v>16</v>
      </c>
      <c r="F158" s="520">
        <v>0</v>
      </c>
      <c r="G158" s="521">
        <v>0</v>
      </c>
      <c r="H158" s="521">
        <v>0</v>
      </c>
      <c r="I158" s="517"/>
      <c r="J158" s="520">
        <v>0</v>
      </c>
      <c r="K158" s="520">
        <v>0</v>
      </c>
      <c r="L158" s="520">
        <v>0</v>
      </c>
      <c r="M158" s="517"/>
      <c r="N158" s="542">
        <v>0</v>
      </c>
      <c r="O158" s="518">
        <v>0</v>
      </c>
      <c r="P158" s="518">
        <v>0</v>
      </c>
      <c r="Q158" s="519"/>
      <c r="R158" s="516">
        <v>17</v>
      </c>
      <c r="S158" s="521">
        <v>385906.78</v>
      </c>
      <c r="T158" s="521">
        <v>0</v>
      </c>
      <c r="U158" s="517"/>
      <c r="V158" s="342">
        <f t="shared" si="4"/>
        <v>-17</v>
      </c>
      <c r="W158" s="518">
        <f t="shared" si="5"/>
        <v>-385906.78</v>
      </c>
      <c r="X158" s="257"/>
    </row>
    <row r="159" spans="1:24" x14ac:dyDescent="0.25">
      <c r="A159">
        <v>154</v>
      </c>
      <c r="B159" t="s">
        <v>186</v>
      </c>
      <c r="C159" t="s">
        <v>187</v>
      </c>
      <c r="D159" t="s">
        <v>16</v>
      </c>
      <c r="F159" s="520">
        <v>0</v>
      </c>
      <c r="G159" s="521">
        <v>0</v>
      </c>
      <c r="H159" s="521">
        <v>0</v>
      </c>
      <c r="I159" s="517"/>
      <c r="J159" s="520">
        <v>0</v>
      </c>
      <c r="K159" s="520">
        <v>0</v>
      </c>
      <c r="L159" s="520">
        <v>0</v>
      </c>
      <c r="M159" s="517"/>
      <c r="N159" s="542">
        <v>0</v>
      </c>
      <c r="O159" s="518">
        <v>0</v>
      </c>
      <c r="P159" s="518">
        <v>0</v>
      </c>
      <c r="Q159" s="519"/>
      <c r="R159" s="516">
        <v>9</v>
      </c>
      <c r="S159" s="521">
        <v>206379.25</v>
      </c>
      <c r="T159" s="521">
        <v>0</v>
      </c>
      <c r="U159" s="517"/>
      <c r="V159" s="342">
        <f t="shared" si="4"/>
        <v>-9</v>
      </c>
      <c r="W159" s="518">
        <f t="shared" si="5"/>
        <v>-206379.25</v>
      </c>
      <c r="X159" s="257"/>
    </row>
    <row r="160" spans="1:24" x14ac:dyDescent="0.25">
      <c r="A160">
        <v>155</v>
      </c>
      <c r="B160" t="s">
        <v>188</v>
      </c>
      <c r="C160" t="s">
        <v>189</v>
      </c>
      <c r="D160" t="s">
        <v>16</v>
      </c>
      <c r="F160" s="520">
        <v>0</v>
      </c>
      <c r="G160" s="521">
        <v>0</v>
      </c>
      <c r="H160" s="521">
        <v>0</v>
      </c>
      <c r="I160" s="517"/>
      <c r="J160" s="520">
        <v>0</v>
      </c>
      <c r="K160" s="520">
        <v>0</v>
      </c>
      <c r="L160" s="520">
        <v>0</v>
      </c>
      <c r="M160" s="517"/>
      <c r="N160" s="542">
        <v>0</v>
      </c>
      <c r="O160" s="518">
        <v>0</v>
      </c>
      <c r="P160" s="518">
        <v>0</v>
      </c>
      <c r="Q160" s="519"/>
      <c r="R160" s="516">
        <v>0</v>
      </c>
      <c r="S160" s="521">
        <v>0</v>
      </c>
      <c r="T160" s="521">
        <v>0</v>
      </c>
      <c r="U160" s="517"/>
      <c r="V160" s="342">
        <f t="shared" si="4"/>
        <v>0</v>
      </c>
      <c r="W160" s="518">
        <f t="shared" si="5"/>
        <v>0</v>
      </c>
      <c r="X160" s="257"/>
    </row>
    <row r="161" spans="1:24" x14ac:dyDescent="0.25">
      <c r="A161">
        <v>156</v>
      </c>
      <c r="B161" t="s">
        <v>190</v>
      </c>
      <c r="C161" t="s">
        <v>191</v>
      </c>
      <c r="D161" t="s">
        <v>16</v>
      </c>
      <c r="F161" s="520">
        <v>0</v>
      </c>
      <c r="G161" s="521">
        <v>0</v>
      </c>
      <c r="H161" s="521">
        <v>0</v>
      </c>
      <c r="I161" s="517"/>
      <c r="J161" s="520">
        <v>0</v>
      </c>
      <c r="K161" s="520">
        <v>0</v>
      </c>
      <c r="L161" s="520">
        <v>0</v>
      </c>
      <c r="M161" s="517"/>
      <c r="N161" s="542">
        <v>0</v>
      </c>
      <c r="O161" s="518">
        <v>0</v>
      </c>
      <c r="P161" s="518">
        <v>0</v>
      </c>
      <c r="Q161" s="519"/>
      <c r="R161" s="516">
        <v>0</v>
      </c>
      <c r="S161" s="521">
        <v>0</v>
      </c>
      <c r="T161" s="521">
        <v>0</v>
      </c>
      <c r="U161" s="517"/>
      <c r="V161" s="342">
        <f t="shared" si="4"/>
        <v>0</v>
      </c>
      <c r="W161" s="518">
        <f t="shared" si="5"/>
        <v>0</v>
      </c>
      <c r="X161" s="257"/>
    </row>
    <row r="162" spans="1:24" x14ac:dyDescent="0.25">
      <c r="A162">
        <v>157</v>
      </c>
      <c r="B162" t="s">
        <v>192</v>
      </c>
      <c r="C162" t="s">
        <v>189</v>
      </c>
      <c r="D162" t="s">
        <v>16</v>
      </c>
      <c r="F162" s="520">
        <v>0</v>
      </c>
      <c r="G162" s="521">
        <v>0</v>
      </c>
      <c r="H162" s="521">
        <v>0</v>
      </c>
      <c r="I162" s="517"/>
      <c r="J162" s="520">
        <v>0</v>
      </c>
      <c r="K162" s="520">
        <v>0</v>
      </c>
      <c r="L162" s="520">
        <v>0</v>
      </c>
      <c r="M162" s="517"/>
      <c r="N162" s="542">
        <v>0</v>
      </c>
      <c r="O162" s="518">
        <v>0</v>
      </c>
      <c r="P162" s="518">
        <v>0</v>
      </c>
      <c r="Q162" s="519"/>
      <c r="R162" s="516">
        <v>0</v>
      </c>
      <c r="S162" s="521">
        <v>0</v>
      </c>
      <c r="T162" s="521">
        <v>0</v>
      </c>
      <c r="U162" s="517"/>
      <c r="V162" s="342">
        <f t="shared" si="4"/>
        <v>0</v>
      </c>
      <c r="W162" s="518">
        <f t="shared" si="5"/>
        <v>0</v>
      </c>
      <c r="X162" s="257"/>
    </row>
    <row r="163" spans="1:24" x14ac:dyDescent="0.25">
      <c r="A163">
        <v>158</v>
      </c>
      <c r="B163" t="s">
        <v>193</v>
      </c>
      <c r="D163" t="s">
        <v>16</v>
      </c>
      <c r="F163" s="520">
        <v>0</v>
      </c>
      <c r="G163" s="521">
        <v>0</v>
      </c>
      <c r="H163" s="521">
        <v>0</v>
      </c>
      <c r="I163" s="517"/>
      <c r="J163" s="520">
        <v>0</v>
      </c>
      <c r="K163" s="520">
        <v>0</v>
      </c>
      <c r="L163" s="520">
        <v>0</v>
      </c>
      <c r="M163" s="517"/>
      <c r="N163" s="542">
        <v>0</v>
      </c>
      <c r="O163" s="518">
        <v>0</v>
      </c>
      <c r="P163" s="518">
        <v>0</v>
      </c>
      <c r="Q163" s="519"/>
      <c r="R163" s="516">
        <v>2</v>
      </c>
      <c r="S163" s="521">
        <v>39925</v>
      </c>
      <c r="T163" s="521">
        <v>0</v>
      </c>
      <c r="U163" s="517"/>
      <c r="V163" s="342">
        <f t="shared" si="4"/>
        <v>-2</v>
      </c>
      <c r="W163" s="518">
        <f t="shared" si="5"/>
        <v>-39925</v>
      </c>
      <c r="X163" s="257"/>
    </row>
    <row r="164" spans="1:24" x14ac:dyDescent="0.25">
      <c r="A164">
        <v>159</v>
      </c>
      <c r="B164" t="s">
        <v>194</v>
      </c>
      <c r="D164" t="s">
        <v>16</v>
      </c>
      <c r="F164" s="520">
        <v>0</v>
      </c>
      <c r="G164" s="521">
        <v>0</v>
      </c>
      <c r="H164" s="521">
        <v>0</v>
      </c>
      <c r="I164" s="517"/>
      <c r="J164" s="520">
        <v>0</v>
      </c>
      <c r="K164" s="520">
        <v>0</v>
      </c>
      <c r="L164" s="520">
        <v>0</v>
      </c>
      <c r="M164" s="517"/>
      <c r="N164" s="542">
        <v>0</v>
      </c>
      <c r="O164" s="518">
        <v>0</v>
      </c>
      <c r="P164" s="518">
        <v>0</v>
      </c>
      <c r="Q164" s="519"/>
      <c r="R164" s="516">
        <v>0</v>
      </c>
      <c r="S164" s="521">
        <v>0</v>
      </c>
      <c r="T164" s="521">
        <v>0</v>
      </c>
      <c r="U164" s="517"/>
      <c r="V164" s="342">
        <f t="shared" si="4"/>
        <v>0</v>
      </c>
      <c r="W164" s="518">
        <f t="shared" si="5"/>
        <v>0</v>
      </c>
      <c r="X164" s="257"/>
    </row>
    <row r="165" spans="1:24" x14ac:dyDescent="0.25">
      <c r="A165">
        <v>160</v>
      </c>
      <c r="B165" t="s">
        <v>195</v>
      </c>
      <c r="D165" t="s">
        <v>16</v>
      </c>
      <c r="F165" s="520">
        <v>0</v>
      </c>
      <c r="G165" s="521">
        <v>0</v>
      </c>
      <c r="H165" s="521">
        <v>0</v>
      </c>
      <c r="I165" s="517"/>
      <c r="J165" s="520">
        <v>0</v>
      </c>
      <c r="K165" s="520">
        <v>0</v>
      </c>
      <c r="L165" s="520">
        <v>0</v>
      </c>
      <c r="M165" s="517"/>
      <c r="N165" s="542">
        <v>0</v>
      </c>
      <c r="O165" s="518">
        <v>0</v>
      </c>
      <c r="P165" s="518">
        <v>0</v>
      </c>
      <c r="Q165" s="519"/>
      <c r="R165" s="516">
        <v>0</v>
      </c>
      <c r="S165" s="521">
        <v>0</v>
      </c>
      <c r="T165" s="521">
        <v>0</v>
      </c>
      <c r="U165" s="517"/>
      <c r="V165" s="342">
        <f t="shared" si="4"/>
        <v>0</v>
      </c>
      <c r="W165" s="518">
        <f t="shared" si="5"/>
        <v>0</v>
      </c>
      <c r="X165" s="257"/>
    </row>
    <row r="166" spans="1:24" x14ac:dyDescent="0.25">
      <c r="A166">
        <v>161</v>
      </c>
      <c r="B166" t="s">
        <v>196</v>
      </c>
      <c r="D166" t="s">
        <v>16</v>
      </c>
      <c r="F166" s="520">
        <v>0</v>
      </c>
      <c r="G166" s="521">
        <v>0</v>
      </c>
      <c r="H166" s="521">
        <v>0</v>
      </c>
      <c r="I166" s="517"/>
      <c r="J166" s="520">
        <v>0</v>
      </c>
      <c r="K166" s="520">
        <v>0</v>
      </c>
      <c r="L166" s="520">
        <v>0</v>
      </c>
      <c r="M166" s="517"/>
      <c r="N166" s="542">
        <v>0</v>
      </c>
      <c r="O166" s="518">
        <v>0</v>
      </c>
      <c r="P166" s="518">
        <v>0</v>
      </c>
      <c r="Q166" s="519"/>
      <c r="R166" s="516">
        <v>0</v>
      </c>
      <c r="S166" s="521">
        <v>0</v>
      </c>
      <c r="T166" s="521">
        <v>0</v>
      </c>
      <c r="U166" s="517"/>
      <c r="V166" s="342">
        <f t="shared" si="4"/>
        <v>0</v>
      </c>
      <c r="W166" s="518">
        <f t="shared" si="5"/>
        <v>0</v>
      </c>
      <c r="X166" s="257"/>
    </row>
    <row r="167" spans="1:24" x14ac:dyDescent="0.25">
      <c r="A167">
        <v>162</v>
      </c>
      <c r="B167" t="s">
        <v>197</v>
      </c>
      <c r="D167" t="s">
        <v>16</v>
      </c>
      <c r="F167" s="520">
        <v>0</v>
      </c>
      <c r="G167" s="521">
        <v>0</v>
      </c>
      <c r="H167" s="521">
        <v>0</v>
      </c>
      <c r="I167" s="517"/>
      <c r="J167" s="520">
        <v>0</v>
      </c>
      <c r="K167" s="520">
        <v>0</v>
      </c>
      <c r="L167" s="520">
        <v>0</v>
      </c>
      <c r="M167" s="517"/>
      <c r="N167" s="542">
        <v>0</v>
      </c>
      <c r="O167" s="518">
        <v>0</v>
      </c>
      <c r="P167" s="518">
        <v>0</v>
      </c>
      <c r="Q167" s="519"/>
      <c r="R167" s="516">
        <v>0</v>
      </c>
      <c r="S167" s="521">
        <v>0</v>
      </c>
      <c r="T167" s="521">
        <v>0</v>
      </c>
      <c r="U167" s="517"/>
      <c r="V167" s="342">
        <f t="shared" si="4"/>
        <v>0</v>
      </c>
      <c r="W167" s="518">
        <f t="shared" si="5"/>
        <v>0</v>
      </c>
      <c r="X167" s="257"/>
    </row>
    <row r="168" spans="1:24" x14ac:dyDescent="0.25">
      <c r="A168">
        <v>163</v>
      </c>
      <c r="B168" t="s">
        <v>198</v>
      </c>
      <c r="D168" t="s">
        <v>16</v>
      </c>
      <c r="F168" s="520">
        <v>0</v>
      </c>
      <c r="G168" s="521">
        <v>0</v>
      </c>
      <c r="H168" s="521">
        <v>0</v>
      </c>
      <c r="I168" s="517"/>
      <c r="J168" s="520">
        <v>0</v>
      </c>
      <c r="K168" s="520">
        <v>0</v>
      </c>
      <c r="L168" s="520">
        <v>0</v>
      </c>
      <c r="M168" s="517"/>
      <c r="N168" s="542">
        <v>0</v>
      </c>
      <c r="O168" s="518">
        <v>0</v>
      </c>
      <c r="P168" s="518">
        <v>0</v>
      </c>
      <c r="Q168" s="519"/>
      <c r="R168" s="516">
        <v>0</v>
      </c>
      <c r="S168" s="521">
        <v>0</v>
      </c>
      <c r="T168" s="521">
        <v>0</v>
      </c>
      <c r="U168" s="517"/>
      <c r="V168" s="342">
        <f t="shared" si="4"/>
        <v>0</v>
      </c>
      <c r="W168" s="518">
        <f t="shared" si="5"/>
        <v>0</v>
      </c>
      <c r="X168" s="257"/>
    </row>
    <row r="169" spans="1:24" x14ac:dyDescent="0.25">
      <c r="A169">
        <v>164</v>
      </c>
      <c r="B169" t="s">
        <v>199</v>
      </c>
      <c r="D169" t="s">
        <v>16</v>
      </c>
      <c r="F169" s="520">
        <v>0</v>
      </c>
      <c r="G169" s="521">
        <v>0</v>
      </c>
      <c r="H169" s="521">
        <v>0</v>
      </c>
      <c r="I169" s="517"/>
      <c r="J169" s="520">
        <v>0</v>
      </c>
      <c r="K169" s="520">
        <v>0</v>
      </c>
      <c r="L169" s="520">
        <v>0</v>
      </c>
      <c r="M169" s="517"/>
      <c r="N169" s="542">
        <v>0</v>
      </c>
      <c r="O169" s="518">
        <v>0</v>
      </c>
      <c r="P169" s="518">
        <v>0</v>
      </c>
      <c r="Q169" s="519"/>
      <c r="R169" s="516">
        <v>0</v>
      </c>
      <c r="S169" s="521">
        <v>0</v>
      </c>
      <c r="T169" s="521">
        <v>0</v>
      </c>
      <c r="U169" s="517"/>
      <c r="V169" s="342">
        <f t="shared" si="4"/>
        <v>0</v>
      </c>
      <c r="W169" s="518">
        <f t="shared" si="5"/>
        <v>0</v>
      </c>
      <c r="X169" s="257"/>
    </row>
    <row r="170" spans="1:24" x14ac:dyDescent="0.25">
      <c r="A170">
        <v>165</v>
      </c>
      <c r="B170" t="s">
        <v>200</v>
      </c>
      <c r="D170" t="s">
        <v>16</v>
      </c>
      <c r="F170" s="520">
        <v>0</v>
      </c>
      <c r="G170" s="521">
        <v>0</v>
      </c>
      <c r="H170" s="521">
        <v>0</v>
      </c>
      <c r="I170" s="517"/>
      <c r="J170" s="520">
        <v>0</v>
      </c>
      <c r="K170" s="520">
        <v>0</v>
      </c>
      <c r="L170" s="520">
        <v>0</v>
      </c>
      <c r="M170" s="517"/>
      <c r="N170" s="542">
        <v>0</v>
      </c>
      <c r="O170" s="518">
        <v>0</v>
      </c>
      <c r="P170" s="518">
        <v>0</v>
      </c>
      <c r="Q170" s="519"/>
      <c r="R170" s="516">
        <v>0</v>
      </c>
      <c r="S170" s="521">
        <v>0</v>
      </c>
      <c r="T170" s="521">
        <v>0</v>
      </c>
      <c r="U170" s="517"/>
      <c r="V170" s="342">
        <f t="shared" si="4"/>
        <v>0</v>
      </c>
      <c r="W170" s="518">
        <f t="shared" si="5"/>
        <v>0</v>
      </c>
      <c r="X170" s="257"/>
    </row>
    <row r="171" spans="1:24" x14ac:dyDescent="0.25">
      <c r="A171">
        <v>166</v>
      </c>
      <c r="B171" t="s">
        <v>201</v>
      </c>
      <c r="D171" t="s">
        <v>16</v>
      </c>
      <c r="F171" s="520">
        <v>0</v>
      </c>
      <c r="G171" s="521">
        <v>0</v>
      </c>
      <c r="H171" s="521">
        <v>0</v>
      </c>
      <c r="I171" s="517"/>
      <c r="J171" s="520">
        <v>0</v>
      </c>
      <c r="K171" s="520">
        <v>0</v>
      </c>
      <c r="L171" s="520">
        <v>0</v>
      </c>
      <c r="M171" s="517"/>
      <c r="N171" s="542">
        <v>0</v>
      </c>
      <c r="O171" s="518">
        <v>0</v>
      </c>
      <c r="P171" s="518">
        <v>0</v>
      </c>
      <c r="Q171" s="519"/>
      <c r="R171" s="516">
        <v>0</v>
      </c>
      <c r="S171" s="521">
        <v>0</v>
      </c>
      <c r="T171" s="521">
        <v>0</v>
      </c>
      <c r="U171" s="517"/>
      <c r="V171" s="342">
        <f t="shared" si="4"/>
        <v>0</v>
      </c>
      <c r="W171" s="518">
        <f t="shared" si="5"/>
        <v>0</v>
      </c>
      <c r="X171" s="257"/>
    </row>
    <row r="172" spans="1:24" x14ac:dyDescent="0.25">
      <c r="A172">
        <v>167</v>
      </c>
      <c r="B172" t="s">
        <v>202</v>
      </c>
      <c r="D172" t="s">
        <v>16</v>
      </c>
      <c r="F172" s="520">
        <v>0</v>
      </c>
      <c r="G172" s="521">
        <v>0</v>
      </c>
      <c r="H172" s="521">
        <v>0</v>
      </c>
      <c r="I172" s="517"/>
      <c r="J172" s="520">
        <v>0</v>
      </c>
      <c r="K172" s="520">
        <v>0</v>
      </c>
      <c r="L172" s="520">
        <v>0</v>
      </c>
      <c r="M172" s="517"/>
      <c r="N172" s="542">
        <v>0</v>
      </c>
      <c r="O172" s="518">
        <v>0</v>
      </c>
      <c r="P172" s="518">
        <v>0</v>
      </c>
      <c r="Q172" s="519"/>
      <c r="R172" s="516">
        <v>0</v>
      </c>
      <c r="S172" s="521">
        <v>0</v>
      </c>
      <c r="T172" s="521">
        <v>0</v>
      </c>
      <c r="U172" s="517"/>
      <c r="V172" s="342">
        <f t="shared" si="4"/>
        <v>0</v>
      </c>
      <c r="W172" s="518">
        <f t="shared" si="5"/>
        <v>0</v>
      </c>
      <c r="X172" s="257"/>
    </row>
    <row r="173" spans="1:24" x14ac:dyDescent="0.25">
      <c r="A173">
        <v>168</v>
      </c>
      <c r="B173" t="s">
        <v>203</v>
      </c>
      <c r="D173" t="s">
        <v>16</v>
      </c>
      <c r="F173" s="520">
        <v>0</v>
      </c>
      <c r="G173" s="521">
        <v>0</v>
      </c>
      <c r="H173" s="521">
        <v>0</v>
      </c>
      <c r="I173" s="517"/>
      <c r="J173" s="520">
        <v>0</v>
      </c>
      <c r="K173" s="520">
        <v>0</v>
      </c>
      <c r="L173" s="520">
        <v>0</v>
      </c>
      <c r="M173" s="517"/>
      <c r="N173" s="542">
        <v>0</v>
      </c>
      <c r="O173" s="518">
        <v>0</v>
      </c>
      <c r="P173" s="518">
        <v>0</v>
      </c>
      <c r="Q173" s="519"/>
      <c r="R173" s="516">
        <v>0</v>
      </c>
      <c r="S173" s="521">
        <v>0</v>
      </c>
      <c r="T173" s="521">
        <v>0</v>
      </c>
      <c r="U173" s="517"/>
      <c r="V173" s="342">
        <f t="shared" si="4"/>
        <v>0</v>
      </c>
      <c r="W173" s="518">
        <f t="shared" si="5"/>
        <v>0</v>
      </c>
      <c r="X173" s="257"/>
    </row>
    <row r="174" spans="1:24" x14ac:dyDescent="0.25">
      <c r="A174">
        <v>169</v>
      </c>
      <c r="B174" t="s">
        <v>204</v>
      </c>
      <c r="D174" t="s">
        <v>16</v>
      </c>
      <c r="F174" s="520">
        <v>0</v>
      </c>
      <c r="G174" s="521">
        <v>0</v>
      </c>
      <c r="H174" s="521">
        <v>0</v>
      </c>
      <c r="I174" s="517"/>
      <c r="J174" s="520">
        <v>0</v>
      </c>
      <c r="K174" s="520">
        <v>0</v>
      </c>
      <c r="L174" s="520">
        <v>0</v>
      </c>
      <c r="M174" s="517"/>
      <c r="N174" s="542">
        <v>0</v>
      </c>
      <c r="O174" s="518">
        <v>0</v>
      </c>
      <c r="P174" s="518">
        <v>0</v>
      </c>
      <c r="Q174" s="519"/>
      <c r="R174" s="516">
        <v>0</v>
      </c>
      <c r="S174" s="521">
        <v>0</v>
      </c>
      <c r="T174" s="521">
        <v>0</v>
      </c>
      <c r="U174" s="517"/>
      <c r="V174" s="342">
        <f t="shared" si="4"/>
        <v>0</v>
      </c>
      <c r="W174" s="518">
        <f t="shared" si="5"/>
        <v>0</v>
      </c>
      <c r="X174" s="257"/>
    </row>
    <row r="175" spans="1:24" x14ac:dyDescent="0.25">
      <c r="A175">
        <v>170</v>
      </c>
      <c r="B175" t="s">
        <v>205</v>
      </c>
      <c r="D175" t="s">
        <v>16</v>
      </c>
      <c r="F175" s="520">
        <v>0</v>
      </c>
      <c r="G175" s="521">
        <v>0</v>
      </c>
      <c r="H175" s="521">
        <v>0</v>
      </c>
      <c r="I175" s="517"/>
      <c r="J175" s="520">
        <v>0</v>
      </c>
      <c r="K175" s="520">
        <v>0</v>
      </c>
      <c r="L175" s="520">
        <v>0</v>
      </c>
      <c r="M175" s="517"/>
      <c r="N175" s="542">
        <v>0</v>
      </c>
      <c r="O175" s="518">
        <v>0</v>
      </c>
      <c r="P175" s="518">
        <v>0</v>
      </c>
      <c r="Q175" s="519"/>
      <c r="R175" s="516">
        <v>0</v>
      </c>
      <c r="S175" s="521">
        <v>0</v>
      </c>
      <c r="T175" s="521">
        <v>0</v>
      </c>
      <c r="U175" s="517"/>
      <c r="V175" s="342">
        <f t="shared" si="4"/>
        <v>0</v>
      </c>
      <c r="W175" s="518">
        <f t="shared" si="5"/>
        <v>0</v>
      </c>
      <c r="X175" s="257"/>
    </row>
    <row r="176" spans="1:24" x14ac:dyDescent="0.25">
      <c r="A176">
        <v>171</v>
      </c>
      <c r="B176" t="s">
        <v>206</v>
      </c>
      <c r="D176" t="s">
        <v>16</v>
      </c>
      <c r="F176" s="520">
        <v>0</v>
      </c>
      <c r="G176" s="521">
        <v>0</v>
      </c>
      <c r="H176" s="521">
        <v>0</v>
      </c>
      <c r="I176" s="517"/>
      <c r="J176" s="520">
        <v>0</v>
      </c>
      <c r="K176" s="520">
        <v>0</v>
      </c>
      <c r="L176" s="520">
        <v>0</v>
      </c>
      <c r="M176" s="517"/>
      <c r="N176" s="542">
        <v>0</v>
      </c>
      <c r="O176" s="518">
        <v>0</v>
      </c>
      <c r="P176" s="518">
        <v>0</v>
      </c>
      <c r="Q176" s="519"/>
      <c r="R176" s="516">
        <v>0</v>
      </c>
      <c r="S176" s="521">
        <v>0</v>
      </c>
      <c r="T176" s="521">
        <v>0</v>
      </c>
      <c r="U176" s="517"/>
      <c r="V176" s="342">
        <f t="shared" si="4"/>
        <v>0</v>
      </c>
      <c r="W176" s="518">
        <f t="shared" si="5"/>
        <v>0</v>
      </c>
      <c r="X176" s="257"/>
    </row>
    <row r="177" spans="1:24" x14ac:dyDescent="0.25">
      <c r="A177">
        <v>172</v>
      </c>
      <c r="B177" t="s">
        <v>207</v>
      </c>
      <c r="D177" t="s">
        <v>16</v>
      </c>
      <c r="F177" s="520">
        <v>0</v>
      </c>
      <c r="G177" s="521">
        <v>0</v>
      </c>
      <c r="H177" s="521">
        <v>0</v>
      </c>
      <c r="I177" s="517"/>
      <c r="J177" s="520">
        <v>0</v>
      </c>
      <c r="K177" s="520">
        <v>0</v>
      </c>
      <c r="L177" s="520">
        <v>0</v>
      </c>
      <c r="M177" s="517"/>
      <c r="N177" s="542">
        <v>0</v>
      </c>
      <c r="O177" s="518">
        <v>0</v>
      </c>
      <c r="P177" s="518">
        <v>0</v>
      </c>
      <c r="Q177" s="519"/>
      <c r="R177" s="516">
        <v>0</v>
      </c>
      <c r="S177" s="521">
        <v>0</v>
      </c>
      <c r="T177" s="521">
        <v>0</v>
      </c>
      <c r="U177" s="517"/>
      <c r="V177" s="342">
        <f t="shared" si="4"/>
        <v>0</v>
      </c>
      <c r="W177" s="518">
        <f t="shared" si="5"/>
        <v>0</v>
      </c>
      <c r="X177" s="257"/>
    </row>
    <row r="178" spans="1:24" x14ac:dyDescent="0.25">
      <c r="A178">
        <v>173</v>
      </c>
      <c r="B178" t="s">
        <v>208</v>
      </c>
      <c r="D178" t="s">
        <v>16</v>
      </c>
      <c r="F178" s="520">
        <v>0</v>
      </c>
      <c r="G178" s="521">
        <v>0</v>
      </c>
      <c r="H178" s="521">
        <v>0</v>
      </c>
      <c r="I178" s="517"/>
      <c r="J178" s="520">
        <v>0</v>
      </c>
      <c r="K178" s="520">
        <v>0</v>
      </c>
      <c r="L178" s="520">
        <v>0</v>
      </c>
      <c r="M178" s="517"/>
      <c r="N178" s="542">
        <v>0</v>
      </c>
      <c r="O178" s="518">
        <v>0</v>
      </c>
      <c r="P178" s="518">
        <v>0</v>
      </c>
      <c r="Q178" s="519"/>
      <c r="R178" s="516">
        <v>0</v>
      </c>
      <c r="S178" s="521">
        <v>0</v>
      </c>
      <c r="T178" s="521">
        <v>0</v>
      </c>
      <c r="U178" s="517"/>
      <c r="V178" s="342">
        <f t="shared" si="4"/>
        <v>0</v>
      </c>
      <c r="W178" s="518">
        <f t="shared" si="5"/>
        <v>0</v>
      </c>
      <c r="X178" s="257"/>
    </row>
    <row r="179" spans="1:24" x14ac:dyDescent="0.25">
      <c r="A179">
        <v>174</v>
      </c>
      <c r="B179" t="s">
        <v>209</v>
      </c>
      <c r="C179" t="s">
        <v>24</v>
      </c>
      <c r="D179" t="s">
        <v>16</v>
      </c>
      <c r="F179" s="520">
        <v>152</v>
      </c>
      <c r="G179" s="521">
        <v>158682.9</v>
      </c>
      <c r="H179" s="521">
        <v>760</v>
      </c>
      <c r="I179" s="517"/>
      <c r="J179" s="520">
        <v>0</v>
      </c>
      <c r="K179" s="520">
        <v>0</v>
      </c>
      <c r="L179" s="520">
        <v>0</v>
      </c>
      <c r="M179" s="517"/>
      <c r="N179" s="542">
        <v>152</v>
      </c>
      <c r="O179" s="518">
        <v>158682.9</v>
      </c>
      <c r="P179" s="518">
        <v>760</v>
      </c>
      <c r="Q179" s="519"/>
      <c r="R179" s="516">
        <v>0</v>
      </c>
      <c r="S179" s="521">
        <v>0</v>
      </c>
      <c r="T179" s="521">
        <v>0</v>
      </c>
      <c r="U179" s="517"/>
      <c r="V179" s="342">
        <f t="shared" si="4"/>
        <v>152</v>
      </c>
      <c r="W179" s="518">
        <f t="shared" si="5"/>
        <v>158682.9</v>
      </c>
      <c r="X179" s="257"/>
    </row>
    <row r="180" spans="1:24" x14ac:dyDescent="0.25">
      <c r="A180">
        <v>175</v>
      </c>
      <c r="B180" t="s">
        <v>2228</v>
      </c>
      <c r="C180" t="s">
        <v>18</v>
      </c>
      <c r="D180" t="s">
        <v>20</v>
      </c>
      <c r="F180" s="520">
        <v>3</v>
      </c>
      <c r="G180" s="521">
        <v>54622</v>
      </c>
      <c r="H180" s="521">
        <v>90</v>
      </c>
      <c r="I180" s="517"/>
      <c r="J180" s="520">
        <v>0</v>
      </c>
      <c r="K180" s="520">
        <v>0</v>
      </c>
      <c r="L180" s="520">
        <v>0</v>
      </c>
      <c r="M180" s="517"/>
      <c r="N180" s="542">
        <v>3</v>
      </c>
      <c r="O180" s="518">
        <v>54622</v>
      </c>
      <c r="P180" s="518">
        <v>90</v>
      </c>
      <c r="Q180" s="519"/>
      <c r="R180" s="516">
        <v>0</v>
      </c>
      <c r="S180" s="521">
        <v>0</v>
      </c>
      <c r="T180" s="521">
        <v>0</v>
      </c>
      <c r="U180" s="517"/>
      <c r="V180" s="342">
        <f t="shared" si="4"/>
        <v>3</v>
      </c>
      <c r="W180" s="518">
        <f t="shared" si="5"/>
        <v>54622</v>
      </c>
      <c r="X180" s="257"/>
    </row>
    <row r="181" spans="1:24" x14ac:dyDescent="0.25">
      <c r="A181">
        <v>176</v>
      </c>
      <c r="B181" t="s">
        <v>210</v>
      </c>
      <c r="C181" t="s">
        <v>24</v>
      </c>
      <c r="D181" t="s">
        <v>20</v>
      </c>
      <c r="F181" s="520">
        <v>0</v>
      </c>
      <c r="G181" s="521">
        <v>0</v>
      </c>
      <c r="H181" s="521">
        <v>0</v>
      </c>
      <c r="I181" s="517"/>
      <c r="J181" s="520">
        <v>0</v>
      </c>
      <c r="K181" s="520">
        <v>0</v>
      </c>
      <c r="L181" s="520">
        <v>0</v>
      </c>
      <c r="M181" s="517"/>
      <c r="N181" s="542">
        <v>0</v>
      </c>
      <c r="O181" s="518">
        <v>0</v>
      </c>
      <c r="P181" s="518">
        <v>0</v>
      </c>
      <c r="Q181" s="519"/>
      <c r="R181" s="516">
        <v>0</v>
      </c>
      <c r="S181" s="521">
        <v>0</v>
      </c>
      <c r="T181" s="521">
        <v>0</v>
      </c>
      <c r="U181" s="517"/>
      <c r="V181" s="342">
        <f t="shared" si="4"/>
        <v>0</v>
      </c>
      <c r="W181" s="518">
        <f t="shared" si="5"/>
        <v>0</v>
      </c>
      <c r="X181" s="257"/>
    </row>
    <row r="182" spans="1:24" x14ac:dyDescent="0.25">
      <c r="A182">
        <v>177</v>
      </c>
      <c r="B182" t="s">
        <v>211</v>
      </c>
      <c r="C182" t="s">
        <v>18</v>
      </c>
      <c r="D182" t="s">
        <v>16</v>
      </c>
      <c r="F182" s="520">
        <v>0</v>
      </c>
      <c r="G182" s="521">
        <v>0</v>
      </c>
      <c r="H182" s="521">
        <v>0</v>
      </c>
      <c r="I182" s="517"/>
      <c r="J182" s="520">
        <v>0</v>
      </c>
      <c r="K182" s="520">
        <v>0</v>
      </c>
      <c r="L182" s="520">
        <v>0</v>
      </c>
      <c r="M182" s="517"/>
      <c r="N182" s="542">
        <v>0</v>
      </c>
      <c r="O182" s="518">
        <v>0</v>
      </c>
      <c r="P182" s="518">
        <v>0</v>
      </c>
      <c r="Q182" s="519"/>
      <c r="R182" s="516">
        <v>0</v>
      </c>
      <c r="S182" s="521">
        <v>0</v>
      </c>
      <c r="T182" s="521">
        <v>0</v>
      </c>
      <c r="U182" s="517"/>
      <c r="V182" s="342">
        <f t="shared" si="4"/>
        <v>0</v>
      </c>
      <c r="W182" s="518">
        <f t="shared" si="5"/>
        <v>0</v>
      </c>
      <c r="X182" s="257"/>
    </row>
    <row r="183" spans="1:24" x14ac:dyDescent="0.25">
      <c r="A183">
        <v>178</v>
      </c>
      <c r="B183" t="s">
        <v>212</v>
      </c>
      <c r="C183" t="s">
        <v>18</v>
      </c>
      <c r="D183" t="s">
        <v>16</v>
      </c>
      <c r="F183" s="520">
        <v>0</v>
      </c>
      <c r="G183" s="521">
        <v>0</v>
      </c>
      <c r="H183" s="521">
        <v>0</v>
      </c>
      <c r="I183" s="517"/>
      <c r="J183" s="520">
        <v>0</v>
      </c>
      <c r="K183" s="520">
        <v>0</v>
      </c>
      <c r="L183" s="520">
        <v>0</v>
      </c>
      <c r="M183" s="517"/>
      <c r="N183" s="542">
        <v>0</v>
      </c>
      <c r="O183" s="518">
        <v>0</v>
      </c>
      <c r="P183" s="518">
        <v>0</v>
      </c>
      <c r="Q183" s="519"/>
      <c r="R183" s="516">
        <v>0</v>
      </c>
      <c r="S183" s="521">
        <v>0</v>
      </c>
      <c r="T183" s="521">
        <v>0</v>
      </c>
      <c r="U183" s="517"/>
      <c r="V183" s="342">
        <f t="shared" si="4"/>
        <v>0</v>
      </c>
      <c r="W183" s="518">
        <f t="shared" si="5"/>
        <v>0</v>
      </c>
      <c r="X183" s="257"/>
    </row>
    <row r="184" spans="1:24" x14ac:dyDescent="0.25">
      <c r="A184">
        <v>179</v>
      </c>
      <c r="B184" t="s">
        <v>213</v>
      </c>
      <c r="D184" t="s">
        <v>16</v>
      </c>
      <c r="F184" s="520">
        <v>0</v>
      </c>
      <c r="G184" s="521">
        <v>0</v>
      </c>
      <c r="H184" s="521">
        <v>0</v>
      </c>
      <c r="I184" s="517"/>
      <c r="J184" s="520">
        <v>0</v>
      </c>
      <c r="K184" s="520">
        <v>0</v>
      </c>
      <c r="L184" s="520">
        <v>0</v>
      </c>
      <c r="M184" s="517"/>
      <c r="N184" s="542">
        <v>0</v>
      </c>
      <c r="O184" s="518">
        <v>0</v>
      </c>
      <c r="P184" s="518">
        <v>0</v>
      </c>
      <c r="Q184" s="519"/>
      <c r="R184" s="516">
        <v>335</v>
      </c>
      <c r="S184" s="521">
        <v>294556.64</v>
      </c>
      <c r="T184" s="521">
        <v>0</v>
      </c>
      <c r="U184" s="517"/>
      <c r="V184" s="342">
        <f t="shared" si="4"/>
        <v>-335</v>
      </c>
      <c r="W184" s="518">
        <f t="shared" si="5"/>
        <v>-294556.64</v>
      </c>
      <c r="X184" s="257"/>
    </row>
    <row r="185" spans="1:24" x14ac:dyDescent="0.25">
      <c r="A185">
        <v>180</v>
      </c>
      <c r="B185" t="s">
        <v>214</v>
      </c>
      <c r="C185" t="s">
        <v>78</v>
      </c>
      <c r="D185" t="s">
        <v>16</v>
      </c>
      <c r="F185" s="520">
        <v>0</v>
      </c>
      <c r="G185" s="521">
        <v>0</v>
      </c>
      <c r="H185" s="521">
        <v>0</v>
      </c>
      <c r="I185" s="517"/>
      <c r="J185" s="520">
        <v>0</v>
      </c>
      <c r="K185" s="520">
        <v>0</v>
      </c>
      <c r="L185" s="520">
        <v>0</v>
      </c>
      <c r="M185" s="517"/>
      <c r="N185" s="542">
        <v>0</v>
      </c>
      <c r="O185" s="518">
        <v>0</v>
      </c>
      <c r="P185" s="518">
        <v>0</v>
      </c>
      <c r="Q185" s="519"/>
      <c r="R185" s="516">
        <v>6</v>
      </c>
      <c r="S185" s="521">
        <v>172232</v>
      </c>
      <c r="T185" s="521">
        <v>180</v>
      </c>
      <c r="U185" s="517"/>
      <c r="V185" s="342">
        <f t="shared" si="4"/>
        <v>-6</v>
      </c>
      <c r="W185" s="518">
        <f t="shared" si="5"/>
        <v>-172412</v>
      </c>
      <c r="X185" s="257"/>
    </row>
    <row r="186" spans="1:24" x14ac:dyDescent="0.25">
      <c r="A186">
        <v>181</v>
      </c>
      <c r="B186" t="s">
        <v>215</v>
      </c>
      <c r="C186" t="s">
        <v>18</v>
      </c>
      <c r="D186" t="s">
        <v>16</v>
      </c>
      <c r="F186" s="520">
        <v>0</v>
      </c>
      <c r="G186" s="521">
        <v>0</v>
      </c>
      <c r="H186" s="521">
        <v>0</v>
      </c>
      <c r="I186" s="517"/>
      <c r="J186" s="520">
        <v>0</v>
      </c>
      <c r="K186" s="520">
        <v>0</v>
      </c>
      <c r="L186" s="520">
        <v>0</v>
      </c>
      <c r="M186" s="517"/>
      <c r="N186" s="542">
        <v>0</v>
      </c>
      <c r="O186" s="518">
        <v>0</v>
      </c>
      <c r="P186" s="518">
        <v>0</v>
      </c>
      <c r="Q186" s="519"/>
      <c r="R186" s="516">
        <v>10</v>
      </c>
      <c r="S186" s="521">
        <v>720473.07</v>
      </c>
      <c r="T186" s="521">
        <v>0</v>
      </c>
      <c r="U186" s="517"/>
      <c r="V186" s="342">
        <f t="shared" si="4"/>
        <v>-10</v>
      </c>
      <c r="W186" s="518">
        <f t="shared" si="5"/>
        <v>-720473.07</v>
      </c>
      <c r="X186" s="257"/>
    </row>
    <row r="187" spans="1:24" x14ac:dyDescent="0.25">
      <c r="A187">
        <v>182</v>
      </c>
      <c r="B187" t="s">
        <v>216</v>
      </c>
      <c r="C187" t="s">
        <v>51</v>
      </c>
      <c r="D187" t="s">
        <v>20</v>
      </c>
      <c r="F187" s="520">
        <v>0</v>
      </c>
      <c r="G187" s="521">
        <v>0</v>
      </c>
      <c r="H187" s="521">
        <v>0</v>
      </c>
      <c r="I187" s="517"/>
      <c r="J187" s="520">
        <v>0</v>
      </c>
      <c r="K187" s="520">
        <v>0</v>
      </c>
      <c r="L187" s="520">
        <v>0</v>
      </c>
      <c r="M187" s="517"/>
      <c r="N187" s="542">
        <v>0</v>
      </c>
      <c r="O187" s="518">
        <v>0</v>
      </c>
      <c r="P187" s="518">
        <v>0</v>
      </c>
      <c r="Q187" s="519"/>
      <c r="R187" s="516">
        <v>0</v>
      </c>
      <c r="S187" s="521">
        <v>0</v>
      </c>
      <c r="T187" s="521">
        <v>0</v>
      </c>
      <c r="U187" s="517"/>
      <c r="V187" s="342">
        <f t="shared" si="4"/>
        <v>0</v>
      </c>
      <c r="W187" s="518">
        <f t="shared" si="5"/>
        <v>0</v>
      </c>
      <c r="X187" s="257"/>
    </row>
    <row r="188" spans="1:24" x14ac:dyDescent="0.25">
      <c r="A188">
        <v>183</v>
      </c>
      <c r="B188" t="s">
        <v>3087</v>
      </c>
      <c r="C188" t="s">
        <v>18</v>
      </c>
      <c r="D188" t="s">
        <v>87</v>
      </c>
      <c r="F188" s="520">
        <v>0</v>
      </c>
      <c r="G188" s="521">
        <v>0</v>
      </c>
      <c r="H188" s="521">
        <v>0</v>
      </c>
      <c r="I188" s="517"/>
      <c r="J188" s="520">
        <v>0</v>
      </c>
      <c r="K188" s="520">
        <v>0</v>
      </c>
      <c r="L188" s="520">
        <v>0</v>
      </c>
      <c r="M188" s="517"/>
      <c r="N188" s="542">
        <v>0</v>
      </c>
      <c r="O188" s="518">
        <v>0</v>
      </c>
      <c r="P188" s="518">
        <v>0</v>
      </c>
      <c r="Q188" s="519"/>
      <c r="R188" s="516">
        <v>0</v>
      </c>
      <c r="S188" s="521">
        <v>0</v>
      </c>
      <c r="T188" s="521">
        <v>0</v>
      </c>
      <c r="U188" s="517"/>
      <c r="V188" s="342">
        <f t="shared" si="4"/>
        <v>0</v>
      </c>
      <c r="W188" s="518">
        <f t="shared" si="5"/>
        <v>0</v>
      </c>
      <c r="X188" s="257"/>
    </row>
    <row r="189" spans="1:24" x14ac:dyDescent="0.25">
      <c r="A189">
        <v>184</v>
      </c>
      <c r="B189" t="s">
        <v>2437</v>
      </c>
      <c r="C189" t="s">
        <v>136</v>
      </c>
      <c r="D189" t="s">
        <v>16</v>
      </c>
      <c r="F189" s="520">
        <v>0</v>
      </c>
      <c r="G189" s="521">
        <v>0</v>
      </c>
      <c r="H189" s="521">
        <v>0</v>
      </c>
      <c r="I189" s="517"/>
      <c r="J189" s="520">
        <v>0</v>
      </c>
      <c r="K189" s="520">
        <v>0</v>
      </c>
      <c r="L189" s="520">
        <v>0</v>
      </c>
      <c r="M189" s="517"/>
      <c r="N189" s="542">
        <v>0</v>
      </c>
      <c r="O189" s="518">
        <v>0</v>
      </c>
      <c r="P189" s="518">
        <v>0</v>
      </c>
      <c r="Q189" s="519"/>
      <c r="R189" s="516">
        <v>0</v>
      </c>
      <c r="S189" s="521">
        <v>0</v>
      </c>
      <c r="T189" s="521">
        <v>0</v>
      </c>
      <c r="U189" s="517"/>
      <c r="V189" s="342">
        <f t="shared" si="4"/>
        <v>0</v>
      </c>
      <c r="W189" s="518">
        <f t="shared" si="5"/>
        <v>0</v>
      </c>
      <c r="X189" s="257"/>
    </row>
    <row r="190" spans="1:24" x14ac:dyDescent="0.25">
      <c r="A190">
        <v>185</v>
      </c>
      <c r="B190" t="s">
        <v>217</v>
      </c>
      <c r="C190" t="s">
        <v>24</v>
      </c>
      <c r="D190" t="s">
        <v>16</v>
      </c>
      <c r="F190" s="520">
        <v>2</v>
      </c>
      <c r="G190" s="521">
        <v>43963.55</v>
      </c>
      <c r="H190" s="521">
        <v>80</v>
      </c>
      <c r="I190" s="517"/>
      <c r="J190" s="520">
        <v>0</v>
      </c>
      <c r="K190" s="520">
        <v>0</v>
      </c>
      <c r="L190" s="520">
        <v>0</v>
      </c>
      <c r="M190" s="517"/>
      <c r="N190" s="542">
        <v>2</v>
      </c>
      <c r="O190" s="518">
        <v>43963.55</v>
      </c>
      <c r="P190" s="518">
        <v>80</v>
      </c>
      <c r="Q190" s="519"/>
      <c r="R190" s="516">
        <v>0</v>
      </c>
      <c r="S190" s="521">
        <v>0</v>
      </c>
      <c r="T190" s="521">
        <v>0</v>
      </c>
      <c r="U190" s="517"/>
      <c r="V190" s="342">
        <f t="shared" si="4"/>
        <v>2</v>
      </c>
      <c r="W190" s="518">
        <f t="shared" si="5"/>
        <v>43963.55</v>
      </c>
      <c r="X190" s="257"/>
    </row>
    <row r="191" spans="1:24" x14ac:dyDescent="0.25">
      <c r="A191">
        <v>186</v>
      </c>
      <c r="B191" t="s">
        <v>218</v>
      </c>
      <c r="C191" t="s">
        <v>15</v>
      </c>
      <c r="D191" t="s">
        <v>16</v>
      </c>
      <c r="F191" s="520">
        <v>0</v>
      </c>
      <c r="G191" s="521">
        <v>0</v>
      </c>
      <c r="H191" s="521">
        <v>0</v>
      </c>
      <c r="I191" s="517"/>
      <c r="J191" s="520">
        <v>0</v>
      </c>
      <c r="K191" s="520">
        <v>0</v>
      </c>
      <c r="L191" s="520">
        <v>0</v>
      </c>
      <c r="M191" s="517"/>
      <c r="N191" s="542">
        <v>0</v>
      </c>
      <c r="O191" s="518">
        <v>0</v>
      </c>
      <c r="P191" s="518">
        <v>0</v>
      </c>
      <c r="Q191" s="519"/>
      <c r="R191" s="516">
        <v>0</v>
      </c>
      <c r="S191" s="521">
        <v>0</v>
      </c>
      <c r="T191" s="521">
        <v>0</v>
      </c>
      <c r="U191" s="517"/>
      <c r="V191" s="342">
        <f t="shared" si="4"/>
        <v>0</v>
      </c>
      <c r="W191" s="518">
        <f t="shared" si="5"/>
        <v>0</v>
      </c>
      <c r="X191" s="257"/>
    </row>
    <row r="192" spans="1:24" x14ac:dyDescent="0.25">
      <c r="A192">
        <v>187</v>
      </c>
      <c r="B192" t="s">
        <v>219</v>
      </c>
      <c r="C192" t="s">
        <v>24</v>
      </c>
      <c r="D192" t="s">
        <v>16</v>
      </c>
      <c r="F192" s="520">
        <v>20</v>
      </c>
      <c r="G192" s="521">
        <v>1972187.57</v>
      </c>
      <c r="H192" s="521">
        <v>800</v>
      </c>
      <c r="I192" s="517"/>
      <c r="J192" s="520">
        <v>0</v>
      </c>
      <c r="K192" s="520">
        <v>0</v>
      </c>
      <c r="L192" s="520">
        <v>0</v>
      </c>
      <c r="M192" s="517"/>
      <c r="N192" s="542">
        <v>20</v>
      </c>
      <c r="O192" s="518">
        <v>1972187.57</v>
      </c>
      <c r="P192" s="518">
        <v>800</v>
      </c>
      <c r="Q192" s="519"/>
      <c r="R192" s="516">
        <v>0</v>
      </c>
      <c r="S192" s="521">
        <v>0</v>
      </c>
      <c r="T192" s="521">
        <v>0</v>
      </c>
      <c r="U192" s="517"/>
      <c r="V192" s="342">
        <f t="shared" si="4"/>
        <v>20</v>
      </c>
      <c r="W192" s="518">
        <f t="shared" si="5"/>
        <v>1972187.57</v>
      </c>
      <c r="X192" s="257"/>
    </row>
    <row r="193" spans="1:24" x14ac:dyDescent="0.25">
      <c r="A193">
        <v>188</v>
      </c>
      <c r="B193" t="s">
        <v>220</v>
      </c>
      <c r="C193" t="s">
        <v>24</v>
      </c>
      <c r="D193" t="s">
        <v>16</v>
      </c>
      <c r="F193" s="520">
        <v>0</v>
      </c>
      <c r="G193" s="521">
        <v>0</v>
      </c>
      <c r="H193" s="521">
        <v>0</v>
      </c>
      <c r="I193" s="517"/>
      <c r="J193" s="520">
        <v>0</v>
      </c>
      <c r="K193" s="520">
        <v>0</v>
      </c>
      <c r="L193" s="520">
        <v>0</v>
      </c>
      <c r="M193" s="517"/>
      <c r="N193" s="542">
        <v>0</v>
      </c>
      <c r="O193" s="518">
        <v>0</v>
      </c>
      <c r="P193" s="518">
        <v>0</v>
      </c>
      <c r="Q193" s="519"/>
      <c r="R193" s="516">
        <v>3</v>
      </c>
      <c r="S193" s="521">
        <v>106109</v>
      </c>
      <c r="T193" s="521">
        <v>0</v>
      </c>
      <c r="U193" s="517"/>
      <c r="V193" s="342">
        <f t="shared" si="4"/>
        <v>-3</v>
      </c>
      <c r="W193" s="518">
        <f t="shared" si="5"/>
        <v>-106109</v>
      </c>
      <c r="X193" s="257"/>
    </row>
    <row r="194" spans="1:24" x14ac:dyDescent="0.25">
      <c r="A194">
        <v>189</v>
      </c>
      <c r="B194" t="s">
        <v>221</v>
      </c>
      <c r="C194" t="s">
        <v>25</v>
      </c>
      <c r="D194" t="s">
        <v>16</v>
      </c>
      <c r="F194" s="520">
        <v>1</v>
      </c>
      <c r="G194" s="521">
        <v>73803.28</v>
      </c>
      <c r="H194" s="521">
        <v>80</v>
      </c>
      <c r="I194" s="517"/>
      <c r="J194" s="520">
        <v>0</v>
      </c>
      <c r="K194" s="520">
        <v>0</v>
      </c>
      <c r="L194" s="520">
        <v>0</v>
      </c>
      <c r="M194" s="517"/>
      <c r="N194" s="542">
        <v>1</v>
      </c>
      <c r="O194" s="518">
        <v>73803.28</v>
      </c>
      <c r="P194" s="518">
        <v>80</v>
      </c>
      <c r="Q194" s="519"/>
      <c r="R194" s="520">
        <v>70</v>
      </c>
      <c r="S194" s="521">
        <v>3299570.2</v>
      </c>
      <c r="T194" s="521">
        <v>0</v>
      </c>
      <c r="U194" s="517"/>
      <c r="V194" s="342">
        <f t="shared" si="4"/>
        <v>-69</v>
      </c>
      <c r="W194" s="518">
        <f t="shared" si="5"/>
        <v>-3225766.9200000004</v>
      </c>
      <c r="X194" s="257"/>
    </row>
    <row r="195" spans="1:24" x14ac:dyDescent="0.25">
      <c r="A195">
        <v>190</v>
      </c>
      <c r="B195" t="s">
        <v>222</v>
      </c>
      <c r="C195" t="s">
        <v>136</v>
      </c>
      <c r="F195" s="520">
        <v>0</v>
      </c>
      <c r="G195" s="521">
        <v>0</v>
      </c>
      <c r="H195" s="521">
        <v>0</v>
      </c>
      <c r="I195" s="517"/>
      <c r="J195" s="520">
        <v>0</v>
      </c>
      <c r="K195" s="520">
        <v>0</v>
      </c>
      <c r="L195" s="520">
        <v>0</v>
      </c>
      <c r="M195" s="517"/>
      <c r="N195" s="542">
        <v>0</v>
      </c>
      <c r="O195" s="518">
        <v>0</v>
      </c>
      <c r="P195" s="518">
        <v>0</v>
      </c>
      <c r="Q195" s="519"/>
      <c r="R195" s="516">
        <v>36</v>
      </c>
      <c r="S195" s="521">
        <v>2705571.92</v>
      </c>
      <c r="T195" s="521">
        <v>0</v>
      </c>
      <c r="U195" s="517"/>
      <c r="V195" s="342">
        <f t="shared" si="4"/>
        <v>-36</v>
      </c>
      <c r="W195" s="518">
        <f t="shared" si="5"/>
        <v>-2705571.92</v>
      </c>
      <c r="X195" s="257"/>
    </row>
    <row r="196" spans="1:24" x14ac:dyDescent="0.25">
      <c r="A196">
        <v>191</v>
      </c>
      <c r="B196" t="s">
        <v>2438</v>
      </c>
      <c r="C196" t="s">
        <v>136</v>
      </c>
      <c r="D196" t="s">
        <v>16</v>
      </c>
      <c r="F196" s="520">
        <v>0</v>
      </c>
      <c r="G196" s="521">
        <v>0</v>
      </c>
      <c r="H196" s="521">
        <v>0</v>
      </c>
      <c r="I196" s="517"/>
      <c r="J196" s="520">
        <v>0</v>
      </c>
      <c r="K196" s="520">
        <v>0</v>
      </c>
      <c r="L196" s="520">
        <v>0</v>
      </c>
      <c r="M196" s="517"/>
      <c r="N196" s="542">
        <v>0</v>
      </c>
      <c r="O196" s="518">
        <v>0</v>
      </c>
      <c r="P196" s="518">
        <v>0</v>
      </c>
      <c r="Q196" s="519"/>
      <c r="R196" s="520">
        <v>95</v>
      </c>
      <c r="S196" s="521">
        <v>7081628.3599999994</v>
      </c>
      <c r="T196" s="521">
        <v>0</v>
      </c>
      <c r="U196" s="517"/>
      <c r="V196" s="342">
        <f t="shared" si="4"/>
        <v>-95</v>
      </c>
      <c r="W196" s="518">
        <f t="shared" si="5"/>
        <v>-7081628.3599999994</v>
      </c>
      <c r="X196" s="257"/>
    </row>
    <row r="197" spans="1:24" x14ac:dyDescent="0.25">
      <c r="A197">
        <v>192</v>
      </c>
      <c r="B197" t="s">
        <v>223</v>
      </c>
      <c r="C197" t="s">
        <v>154</v>
      </c>
      <c r="D197" t="s">
        <v>16</v>
      </c>
      <c r="F197" s="520">
        <v>9</v>
      </c>
      <c r="G197" s="521">
        <v>150023</v>
      </c>
      <c r="H197" s="521">
        <v>270</v>
      </c>
      <c r="I197" s="517"/>
      <c r="J197" s="520">
        <v>0</v>
      </c>
      <c r="K197" s="520">
        <v>0</v>
      </c>
      <c r="L197" s="520">
        <v>0</v>
      </c>
      <c r="M197" s="517"/>
      <c r="N197" s="542">
        <v>9</v>
      </c>
      <c r="O197" s="518">
        <v>150023</v>
      </c>
      <c r="P197" s="518">
        <v>270</v>
      </c>
      <c r="Q197" s="519"/>
      <c r="R197" s="516">
        <v>7</v>
      </c>
      <c r="S197" s="521">
        <v>127153</v>
      </c>
      <c r="T197" s="521">
        <v>0</v>
      </c>
      <c r="U197" s="517"/>
      <c r="V197" s="342">
        <f t="shared" si="4"/>
        <v>2</v>
      </c>
      <c r="W197" s="518">
        <f t="shared" si="5"/>
        <v>22870</v>
      </c>
      <c r="X197" s="257"/>
    </row>
    <row r="198" spans="1:24" x14ac:dyDescent="0.25">
      <c r="A198">
        <v>193</v>
      </c>
      <c r="B198" t="s">
        <v>224</v>
      </c>
      <c r="C198" t="s">
        <v>51</v>
      </c>
      <c r="D198" t="s">
        <v>16</v>
      </c>
      <c r="F198" s="520">
        <v>0</v>
      </c>
      <c r="G198" s="521">
        <v>0</v>
      </c>
      <c r="H198" s="521">
        <v>0</v>
      </c>
      <c r="I198" s="517"/>
      <c r="J198" s="520">
        <v>0</v>
      </c>
      <c r="K198" s="520">
        <v>0</v>
      </c>
      <c r="L198" s="520">
        <v>0</v>
      </c>
      <c r="M198" s="517"/>
      <c r="N198" s="542">
        <v>0</v>
      </c>
      <c r="O198" s="518">
        <v>0</v>
      </c>
      <c r="P198" s="518">
        <v>0</v>
      </c>
      <c r="Q198" s="519"/>
      <c r="R198" s="520">
        <v>25</v>
      </c>
      <c r="S198" s="521">
        <v>1228226.5</v>
      </c>
      <c r="T198" s="521">
        <v>0</v>
      </c>
      <c r="U198" s="517"/>
      <c r="V198" s="342">
        <f t="shared" ref="V198:V261" si="6">N198-R198</f>
        <v>-25</v>
      </c>
      <c r="W198" s="518">
        <f t="shared" ref="W198:W261" si="7">O198-S198-T198</f>
        <v>-1228226.5</v>
      </c>
      <c r="X198" s="257"/>
    </row>
    <row r="199" spans="1:24" x14ac:dyDescent="0.25">
      <c r="A199">
        <v>194</v>
      </c>
      <c r="B199" t="s">
        <v>225</v>
      </c>
      <c r="C199" t="s">
        <v>18</v>
      </c>
      <c r="D199" t="s">
        <v>16</v>
      </c>
      <c r="F199" s="520">
        <v>27</v>
      </c>
      <c r="G199" s="521">
        <v>29490</v>
      </c>
      <c r="H199" s="521">
        <v>405</v>
      </c>
      <c r="I199" s="517"/>
      <c r="J199" s="520">
        <v>0</v>
      </c>
      <c r="K199" s="520">
        <v>0</v>
      </c>
      <c r="L199" s="520">
        <v>0</v>
      </c>
      <c r="M199" s="517"/>
      <c r="N199" s="542">
        <v>27</v>
      </c>
      <c r="O199" s="518">
        <v>29490</v>
      </c>
      <c r="P199" s="518">
        <v>405</v>
      </c>
      <c r="Q199" s="519"/>
      <c r="R199" s="516">
        <v>10</v>
      </c>
      <c r="S199" s="521">
        <v>372106.92</v>
      </c>
      <c r="T199" s="521">
        <v>0</v>
      </c>
      <c r="U199" s="517"/>
      <c r="V199" s="342">
        <f t="shared" si="6"/>
        <v>17</v>
      </c>
      <c r="W199" s="518">
        <f t="shared" si="7"/>
        <v>-342616.92</v>
      </c>
      <c r="X199" s="257"/>
    </row>
    <row r="200" spans="1:24" x14ac:dyDescent="0.25">
      <c r="A200">
        <v>195</v>
      </c>
      <c r="B200" t="s">
        <v>226</v>
      </c>
      <c r="C200" t="s">
        <v>25</v>
      </c>
      <c r="D200" t="s">
        <v>16</v>
      </c>
      <c r="F200" s="520">
        <v>5</v>
      </c>
      <c r="G200" s="521">
        <v>131447.85</v>
      </c>
      <c r="H200" s="521">
        <v>167.5</v>
      </c>
      <c r="I200" s="517"/>
      <c r="J200" s="520">
        <v>0</v>
      </c>
      <c r="K200" s="520">
        <v>0</v>
      </c>
      <c r="L200" s="520">
        <v>0</v>
      </c>
      <c r="M200" s="517"/>
      <c r="N200" s="542">
        <v>5</v>
      </c>
      <c r="O200" s="518">
        <v>131447.85</v>
      </c>
      <c r="P200" s="518">
        <v>167.5</v>
      </c>
      <c r="Q200" s="519"/>
      <c r="R200" s="516">
        <v>3</v>
      </c>
      <c r="S200" s="521">
        <v>68761</v>
      </c>
      <c r="T200" s="521">
        <v>0</v>
      </c>
      <c r="U200" s="517"/>
      <c r="V200" s="342">
        <f t="shared" si="6"/>
        <v>2</v>
      </c>
      <c r="W200" s="518">
        <f t="shared" si="7"/>
        <v>62686.850000000006</v>
      </c>
      <c r="X200" s="257"/>
    </row>
    <row r="201" spans="1:24" x14ac:dyDescent="0.25">
      <c r="A201">
        <v>196</v>
      </c>
      <c r="B201" t="s">
        <v>227</v>
      </c>
      <c r="C201" t="s">
        <v>15</v>
      </c>
      <c r="D201" t="s">
        <v>45</v>
      </c>
      <c r="F201" s="520">
        <v>0</v>
      </c>
      <c r="G201" s="521">
        <v>0</v>
      </c>
      <c r="H201" s="521">
        <v>0</v>
      </c>
      <c r="I201" s="517"/>
      <c r="J201" s="520">
        <v>0</v>
      </c>
      <c r="K201" s="520">
        <v>0</v>
      </c>
      <c r="L201" s="520">
        <v>0</v>
      </c>
      <c r="M201" s="517"/>
      <c r="N201" s="542">
        <v>0</v>
      </c>
      <c r="O201" s="518">
        <v>0</v>
      </c>
      <c r="P201" s="518">
        <v>0</v>
      </c>
      <c r="Q201" s="519"/>
      <c r="R201" s="516">
        <v>6</v>
      </c>
      <c r="S201" s="521">
        <v>73897</v>
      </c>
      <c r="T201" s="521">
        <v>0</v>
      </c>
      <c r="U201" s="517"/>
      <c r="V201" s="342">
        <f t="shared" si="6"/>
        <v>-6</v>
      </c>
      <c r="W201" s="518">
        <f t="shared" si="7"/>
        <v>-73897</v>
      </c>
      <c r="X201" s="257"/>
    </row>
    <row r="202" spans="1:24" x14ac:dyDescent="0.25">
      <c r="A202">
        <v>197</v>
      </c>
      <c r="B202" t="s">
        <v>228</v>
      </c>
      <c r="C202" t="s">
        <v>25</v>
      </c>
      <c r="D202" t="s">
        <v>16</v>
      </c>
      <c r="F202" s="520">
        <v>0</v>
      </c>
      <c r="G202" s="521">
        <v>0</v>
      </c>
      <c r="H202" s="521">
        <v>0</v>
      </c>
      <c r="I202" s="517"/>
      <c r="J202" s="520">
        <v>0</v>
      </c>
      <c r="K202" s="520">
        <v>0</v>
      </c>
      <c r="L202" s="520">
        <v>0</v>
      </c>
      <c r="M202" s="517"/>
      <c r="N202" s="542">
        <v>0</v>
      </c>
      <c r="O202" s="518">
        <v>0</v>
      </c>
      <c r="P202" s="518">
        <v>0</v>
      </c>
      <c r="Q202" s="519"/>
      <c r="R202" s="516">
        <v>0</v>
      </c>
      <c r="S202" s="521">
        <v>0</v>
      </c>
      <c r="T202" s="521">
        <v>0</v>
      </c>
      <c r="U202" s="517"/>
      <c r="V202" s="342">
        <f t="shared" si="6"/>
        <v>0</v>
      </c>
      <c r="W202" s="518">
        <f t="shared" si="7"/>
        <v>0</v>
      </c>
      <c r="X202" s="257"/>
    </row>
    <row r="203" spans="1:24" x14ac:dyDescent="0.25">
      <c r="A203">
        <v>198</v>
      </c>
      <c r="B203" t="s">
        <v>229</v>
      </c>
      <c r="C203" t="s">
        <v>18</v>
      </c>
      <c r="D203" t="s">
        <v>16</v>
      </c>
      <c r="F203" s="520">
        <v>0</v>
      </c>
      <c r="G203" s="521">
        <v>0</v>
      </c>
      <c r="H203" s="521">
        <v>0</v>
      </c>
      <c r="I203" s="517"/>
      <c r="J203" s="520">
        <v>0</v>
      </c>
      <c r="K203" s="520">
        <v>0</v>
      </c>
      <c r="L203" s="520">
        <v>0</v>
      </c>
      <c r="M203" s="517"/>
      <c r="N203" s="542">
        <v>0</v>
      </c>
      <c r="O203" s="518">
        <v>0</v>
      </c>
      <c r="P203" s="518">
        <v>0</v>
      </c>
      <c r="Q203" s="519"/>
      <c r="R203" s="516">
        <v>50</v>
      </c>
      <c r="S203" s="521">
        <v>70884</v>
      </c>
      <c r="T203" s="521">
        <v>0</v>
      </c>
      <c r="U203" s="517"/>
      <c r="V203" s="342">
        <f t="shared" si="6"/>
        <v>-50</v>
      </c>
      <c r="W203" s="518">
        <f t="shared" si="7"/>
        <v>-70884</v>
      </c>
      <c r="X203" s="257"/>
    </row>
    <row r="204" spans="1:24" x14ac:dyDescent="0.25">
      <c r="A204">
        <v>199</v>
      </c>
      <c r="B204" t="s">
        <v>230</v>
      </c>
      <c r="C204" t="s">
        <v>18</v>
      </c>
      <c r="D204" t="s">
        <v>16</v>
      </c>
      <c r="F204" s="520">
        <v>0</v>
      </c>
      <c r="G204" s="521">
        <v>0</v>
      </c>
      <c r="H204" s="521">
        <v>0</v>
      </c>
      <c r="I204" s="517"/>
      <c r="J204" s="520">
        <v>0</v>
      </c>
      <c r="K204" s="520">
        <v>0</v>
      </c>
      <c r="L204" s="520">
        <v>0</v>
      </c>
      <c r="M204" s="517"/>
      <c r="N204" s="542">
        <v>0</v>
      </c>
      <c r="O204" s="518">
        <v>0</v>
      </c>
      <c r="P204" s="518">
        <v>0</v>
      </c>
      <c r="Q204" s="519"/>
      <c r="R204" s="516">
        <v>1</v>
      </c>
      <c r="S204" s="521">
        <v>14784.5</v>
      </c>
      <c r="T204" s="521">
        <v>0</v>
      </c>
      <c r="U204" s="517"/>
      <c r="V204" s="342">
        <f t="shared" si="6"/>
        <v>-1</v>
      </c>
      <c r="W204" s="518">
        <f t="shared" si="7"/>
        <v>-14784.5</v>
      </c>
      <c r="X204" s="257"/>
    </row>
    <row r="205" spans="1:24" x14ac:dyDescent="0.25">
      <c r="A205">
        <v>200</v>
      </c>
      <c r="B205" t="s">
        <v>231</v>
      </c>
      <c r="C205" t="s">
        <v>18</v>
      </c>
      <c r="D205" t="s">
        <v>16</v>
      </c>
      <c r="F205" s="520">
        <v>0</v>
      </c>
      <c r="G205" s="521">
        <v>0</v>
      </c>
      <c r="H205" s="521">
        <v>0</v>
      </c>
      <c r="I205" s="517"/>
      <c r="J205" s="520">
        <v>0</v>
      </c>
      <c r="K205" s="520">
        <v>0</v>
      </c>
      <c r="L205" s="520">
        <v>0</v>
      </c>
      <c r="M205" s="517"/>
      <c r="N205" s="542">
        <v>0</v>
      </c>
      <c r="O205" s="518">
        <v>0</v>
      </c>
      <c r="P205" s="518">
        <v>0</v>
      </c>
      <c r="Q205" s="519"/>
      <c r="R205" s="516">
        <v>0</v>
      </c>
      <c r="S205" s="521">
        <v>0</v>
      </c>
      <c r="T205" s="521">
        <v>0</v>
      </c>
      <c r="U205" s="517"/>
      <c r="V205" s="342">
        <f t="shared" si="6"/>
        <v>0</v>
      </c>
      <c r="W205" s="518">
        <f t="shared" si="7"/>
        <v>0</v>
      </c>
      <c r="X205" s="257"/>
    </row>
    <row r="206" spans="1:24" x14ac:dyDescent="0.25">
      <c r="A206">
        <v>201</v>
      </c>
      <c r="B206" t="s">
        <v>2422</v>
      </c>
      <c r="C206" t="s">
        <v>148</v>
      </c>
      <c r="D206" t="s">
        <v>20</v>
      </c>
      <c r="F206" s="520">
        <v>2108</v>
      </c>
      <c r="G206" s="521">
        <v>26160475.340000011</v>
      </c>
      <c r="H206" s="521">
        <v>24300</v>
      </c>
      <c r="I206" s="517"/>
      <c r="J206" s="520">
        <v>0</v>
      </c>
      <c r="K206" s="520">
        <v>0</v>
      </c>
      <c r="L206" s="520">
        <v>0</v>
      </c>
      <c r="M206" s="517"/>
      <c r="N206" s="542">
        <v>2108</v>
      </c>
      <c r="O206" s="518">
        <v>26160475.340000011</v>
      </c>
      <c r="P206" s="518">
        <v>24300</v>
      </c>
      <c r="Q206" s="519"/>
      <c r="R206" s="516">
        <v>0</v>
      </c>
      <c r="S206" s="521">
        <v>0</v>
      </c>
      <c r="T206" s="521">
        <v>0</v>
      </c>
      <c r="U206" s="517"/>
      <c r="V206" s="342">
        <f t="shared" si="6"/>
        <v>2108</v>
      </c>
      <c r="W206" s="518">
        <f t="shared" si="7"/>
        <v>26160475.340000011</v>
      </c>
      <c r="X206" s="257"/>
    </row>
    <row r="207" spans="1:24" x14ac:dyDescent="0.25">
      <c r="A207">
        <v>202</v>
      </c>
      <c r="B207" t="s">
        <v>232</v>
      </c>
      <c r="C207" t="s">
        <v>148</v>
      </c>
      <c r="D207" t="s">
        <v>16</v>
      </c>
      <c r="F207" s="520">
        <v>19</v>
      </c>
      <c r="G207" s="521">
        <v>52780</v>
      </c>
      <c r="H207" s="521">
        <v>285</v>
      </c>
      <c r="I207" s="517"/>
      <c r="J207" s="520">
        <v>0</v>
      </c>
      <c r="K207" s="520">
        <v>0</v>
      </c>
      <c r="L207" s="520">
        <v>0</v>
      </c>
      <c r="M207" s="517"/>
      <c r="N207" s="542">
        <v>19</v>
      </c>
      <c r="O207" s="518">
        <v>52780</v>
      </c>
      <c r="P207" s="518">
        <v>285</v>
      </c>
      <c r="Q207" s="519"/>
      <c r="R207" s="516">
        <v>0</v>
      </c>
      <c r="S207" s="521">
        <v>0</v>
      </c>
      <c r="T207" s="521">
        <v>0</v>
      </c>
      <c r="U207" s="517"/>
      <c r="V207" s="342">
        <f t="shared" si="6"/>
        <v>19</v>
      </c>
      <c r="W207" s="518">
        <f t="shared" si="7"/>
        <v>52780</v>
      </c>
      <c r="X207" s="257"/>
    </row>
    <row r="208" spans="1:24" x14ac:dyDescent="0.25">
      <c r="A208">
        <v>203</v>
      </c>
      <c r="B208" t="s">
        <v>233</v>
      </c>
      <c r="C208" t="s">
        <v>24</v>
      </c>
      <c r="D208" t="s">
        <v>16</v>
      </c>
      <c r="F208" s="520">
        <v>0</v>
      </c>
      <c r="G208" s="521">
        <v>0</v>
      </c>
      <c r="H208" s="521">
        <v>0</v>
      </c>
      <c r="I208" s="517"/>
      <c r="J208" s="520">
        <v>0</v>
      </c>
      <c r="K208" s="520">
        <v>0</v>
      </c>
      <c r="L208" s="520">
        <v>0</v>
      </c>
      <c r="M208" s="517"/>
      <c r="N208" s="542">
        <v>0</v>
      </c>
      <c r="O208" s="518">
        <v>0</v>
      </c>
      <c r="P208" s="518">
        <v>0</v>
      </c>
      <c r="Q208" s="519"/>
      <c r="R208" s="516">
        <v>4</v>
      </c>
      <c r="S208" s="521">
        <v>63286</v>
      </c>
      <c r="T208" s="521">
        <v>0</v>
      </c>
      <c r="U208" s="517"/>
      <c r="V208" s="342">
        <f t="shared" si="6"/>
        <v>-4</v>
      </c>
      <c r="W208" s="518">
        <f t="shared" si="7"/>
        <v>-63286</v>
      </c>
      <c r="X208" s="257"/>
    </row>
    <row r="209" spans="1:24" x14ac:dyDescent="0.25">
      <c r="A209">
        <v>204</v>
      </c>
      <c r="B209" t="s">
        <v>234</v>
      </c>
      <c r="C209" t="s">
        <v>25</v>
      </c>
      <c r="D209" t="s">
        <v>16</v>
      </c>
      <c r="F209" s="520">
        <v>0</v>
      </c>
      <c r="G209" s="521">
        <v>0</v>
      </c>
      <c r="H209" s="521">
        <v>0</v>
      </c>
      <c r="I209" s="517"/>
      <c r="J209" s="520">
        <v>0</v>
      </c>
      <c r="K209" s="520">
        <v>0</v>
      </c>
      <c r="L209" s="520">
        <v>0</v>
      </c>
      <c r="M209" s="517"/>
      <c r="N209" s="542">
        <v>0</v>
      </c>
      <c r="O209" s="518">
        <v>0</v>
      </c>
      <c r="P209" s="518">
        <v>0</v>
      </c>
      <c r="Q209" s="519"/>
      <c r="R209" s="516">
        <v>0</v>
      </c>
      <c r="S209" s="521">
        <v>0</v>
      </c>
      <c r="T209" s="521">
        <v>0</v>
      </c>
      <c r="U209" s="517"/>
      <c r="V209" s="342">
        <f t="shared" si="6"/>
        <v>0</v>
      </c>
      <c r="W209" s="518">
        <f t="shared" si="7"/>
        <v>0</v>
      </c>
      <c r="X209" s="257"/>
    </row>
    <row r="210" spans="1:24" x14ac:dyDescent="0.25">
      <c r="A210">
        <v>205</v>
      </c>
      <c r="B210" t="s">
        <v>235</v>
      </c>
      <c r="C210" t="s">
        <v>92</v>
      </c>
      <c r="D210" t="s">
        <v>16</v>
      </c>
      <c r="F210" s="520">
        <v>68</v>
      </c>
      <c r="G210" s="521">
        <v>410636.33</v>
      </c>
      <c r="H210" s="521">
        <v>1360</v>
      </c>
      <c r="I210" s="517"/>
      <c r="J210" s="520">
        <v>0</v>
      </c>
      <c r="K210" s="520">
        <v>0</v>
      </c>
      <c r="L210" s="520">
        <v>0</v>
      </c>
      <c r="M210" s="517"/>
      <c r="N210" s="542">
        <v>68</v>
      </c>
      <c r="O210" s="518">
        <v>410636.33</v>
      </c>
      <c r="P210" s="518">
        <v>1360</v>
      </c>
      <c r="Q210" s="519"/>
      <c r="R210" s="516">
        <v>2222</v>
      </c>
      <c r="S210" s="521">
        <v>27121710.98</v>
      </c>
      <c r="T210" s="521">
        <v>25570</v>
      </c>
      <c r="U210" s="517"/>
      <c r="V210" s="342">
        <f t="shared" si="6"/>
        <v>-2154</v>
      </c>
      <c r="W210" s="518">
        <f t="shared" si="7"/>
        <v>-26736644.650000002</v>
      </c>
      <c r="X210" s="257"/>
    </row>
    <row r="211" spans="1:24" x14ac:dyDescent="0.25">
      <c r="A211">
        <v>206</v>
      </c>
      <c r="B211" t="s">
        <v>3166</v>
      </c>
      <c r="C211" t="s">
        <v>18</v>
      </c>
      <c r="D211" t="s">
        <v>40</v>
      </c>
      <c r="F211" s="520">
        <v>0</v>
      </c>
      <c r="G211" s="521">
        <v>0</v>
      </c>
      <c r="H211" s="521">
        <v>0</v>
      </c>
      <c r="I211" s="517"/>
      <c r="J211" s="520">
        <v>0</v>
      </c>
      <c r="K211" s="520">
        <v>0</v>
      </c>
      <c r="L211" s="520">
        <v>0</v>
      </c>
      <c r="M211" s="517"/>
      <c r="N211" s="542">
        <v>0</v>
      </c>
      <c r="O211" s="518">
        <v>0</v>
      </c>
      <c r="P211" s="518">
        <v>0</v>
      </c>
      <c r="Q211" s="519"/>
      <c r="R211" s="516">
        <v>42</v>
      </c>
      <c r="S211" s="521">
        <v>94058</v>
      </c>
      <c r="T211" s="521">
        <v>0</v>
      </c>
      <c r="U211" s="517"/>
      <c r="V211" s="342">
        <f t="shared" si="6"/>
        <v>-42</v>
      </c>
      <c r="W211" s="518">
        <f t="shared" si="7"/>
        <v>-94058</v>
      </c>
      <c r="X211" s="257"/>
    </row>
    <row r="212" spans="1:24" x14ac:dyDescent="0.25">
      <c r="A212">
        <v>207</v>
      </c>
      <c r="B212" t="s">
        <v>236</v>
      </c>
      <c r="C212" t="s">
        <v>18</v>
      </c>
      <c r="D212" t="s">
        <v>20</v>
      </c>
      <c r="F212" s="520">
        <v>2</v>
      </c>
      <c r="G212" s="521">
        <v>5500</v>
      </c>
      <c r="H212" s="521">
        <v>50</v>
      </c>
      <c r="I212" s="517"/>
      <c r="J212" s="520">
        <v>0</v>
      </c>
      <c r="K212" s="520">
        <v>0</v>
      </c>
      <c r="L212" s="520">
        <v>0</v>
      </c>
      <c r="M212" s="517"/>
      <c r="N212" s="542">
        <v>2</v>
      </c>
      <c r="O212" s="518">
        <v>5500</v>
      </c>
      <c r="P212" s="518">
        <v>50</v>
      </c>
      <c r="Q212" s="519"/>
      <c r="R212" s="516">
        <v>6</v>
      </c>
      <c r="S212" s="521">
        <v>185179</v>
      </c>
      <c r="T212" s="521">
        <v>0</v>
      </c>
      <c r="U212" s="517"/>
      <c r="V212" s="342">
        <f t="shared" si="6"/>
        <v>-4</v>
      </c>
      <c r="W212" s="518">
        <f t="shared" si="7"/>
        <v>-179679</v>
      </c>
      <c r="X212" s="257"/>
    </row>
    <row r="213" spans="1:24" x14ac:dyDescent="0.25">
      <c r="A213">
        <v>208</v>
      </c>
      <c r="B213" t="s">
        <v>237</v>
      </c>
      <c r="C213" t="s">
        <v>18</v>
      </c>
      <c r="D213" t="s">
        <v>20</v>
      </c>
      <c r="F213" s="520">
        <v>3</v>
      </c>
      <c r="G213" s="521">
        <v>6358</v>
      </c>
      <c r="H213" s="521">
        <v>75</v>
      </c>
      <c r="I213" s="517"/>
      <c r="J213" s="520">
        <v>0</v>
      </c>
      <c r="K213" s="520">
        <v>0</v>
      </c>
      <c r="L213" s="520">
        <v>0</v>
      </c>
      <c r="M213" s="517"/>
      <c r="N213" s="542">
        <v>3</v>
      </c>
      <c r="O213" s="518">
        <v>6358</v>
      </c>
      <c r="P213" s="518">
        <v>75</v>
      </c>
      <c r="Q213" s="519"/>
      <c r="R213" s="516">
        <v>0</v>
      </c>
      <c r="S213" s="521">
        <v>0</v>
      </c>
      <c r="T213" s="521">
        <v>0</v>
      </c>
      <c r="U213" s="517"/>
      <c r="V213" s="342">
        <f t="shared" si="6"/>
        <v>3</v>
      </c>
      <c r="W213" s="518">
        <f t="shared" si="7"/>
        <v>6358</v>
      </c>
      <c r="X213" s="257"/>
    </row>
    <row r="214" spans="1:24" x14ac:dyDescent="0.25">
      <c r="A214">
        <v>209</v>
      </c>
      <c r="B214" t="s">
        <v>238</v>
      </c>
      <c r="C214" t="s">
        <v>18</v>
      </c>
      <c r="D214" t="s">
        <v>20</v>
      </c>
      <c r="F214" s="520">
        <v>4</v>
      </c>
      <c r="G214" s="521">
        <v>48636</v>
      </c>
      <c r="H214" s="521">
        <v>125</v>
      </c>
      <c r="I214" s="517"/>
      <c r="J214" s="520">
        <v>0</v>
      </c>
      <c r="K214" s="520">
        <v>0</v>
      </c>
      <c r="L214" s="520">
        <v>0</v>
      </c>
      <c r="M214" s="517"/>
      <c r="N214" s="542">
        <v>4</v>
      </c>
      <c r="O214" s="518">
        <v>48636</v>
      </c>
      <c r="P214" s="518">
        <v>125</v>
      </c>
      <c r="Q214" s="519"/>
      <c r="R214" s="516">
        <v>5</v>
      </c>
      <c r="S214" s="521">
        <v>31800</v>
      </c>
      <c r="T214" s="521">
        <v>0</v>
      </c>
      <c r="U214" s="517"/>
      <c r="V214" s="342">
        <f t="shared" si="6"/>
        <v>-1</v>
      </c>
      <c r="W214" s="518">
        <f t="shared" si="7"/>
        <v>16836</v>
      </c>
      <c r="X214" s="257"/>
    </row>
    <row r="215" spans="1:24" x14ac:dyDescent="0.25">
      <c r="A215">
        <v>210</v>
      </c>
      <c r="B215" t="s">
        <v>239</v>
      </c>
      <c r="C215" t="s">
        <v>18</v>
      </c>
      <c r="D215" t="s">
        <v>20</v>
      </c>
      <c r="F215" s="520">
        <v>1</v>
      </c>
      <c r="G215" s="521">
        <v>3150</v>
      </c>
      <c r="H215" s="521">
        <v>25</v>
      </c>
      <c r="I215" s="517"/>
      <c r="J215" s="520">
        <v>0</v>
      </c>
      <c r="K215" s="520">
        <v>0</v>
      </c>
      <c r="L215" s="520">
        <v>0</v>
      </c>
      <c r="M215" s="517"/>
      <c r="N215" s="542">
        <v>1</v>
      </c>
      <c r="O215" s="518">
        <v>3150</v>
      </c>
      <c r="P215" s="518">
        <v>25</v>
      </c>
      <c r="Q215" s="519"/>
      <c r="R215" s="516">
        <v>0</v>
      </c>
      <c r="S215" s="521">
        <v>0</v>
      </c>
      <c r="T215" s="521">
        <v>0</v>
      </c>
      <c r="U215" s="517"/>
      <c r="V215" s="342">
        <f t="shared" si="6"/>
        <v>1</v>
      </c>
      <c r="W215" s="518">
        <f t="shared" si="7"/>
        <v>3150</v>
      </c>
      <c r="X215" s="257"/>
    </row>
    <row r="216" spans="1:24" x14ac:dyDescent="0.25">
      <c r="A216">
        <v>211</v>
      </c>
      <c r="B216" t="s">
        <v>240</v>
      </c>
      <c r="C216" t="s">
        <v>18</v>
      </c>
      <c r="D216" t="s">
        <v>20</v>
      </c>
      <c r="F216" s="520">
        <v>1</v>
      </c>
      <c r="G216" s="521">
        <v>4738</v>
      </c>
      <c r="H216" s="521">
        <v>25</v>
      </c>
      <c r="I216" s="517"/>
      <c r="J216" s="520">
        <v>0</v>
      </c>
      <c r="K216" s="520">
        <v>0</v>
      </c>
      <c r="L216" s="520">
        <v>0</v>
      </c>
      <c r="M216" s="517"/>
      <c r="N216" s="542">
        <v>1</v>
      </c>
      <c r="O216" s="518">
        <v>4738</v>
      </c>
      <c r="P216" s="518">
        <v>25</v>
      </c>
      <c r="Q216" s="519"/>
      <c r="R216" s="516">
        <v>2</v>
      </c>
      <c r="S216" s="521">
        <v>5450</v>
      </c>
      <c r="T216" s="521">
        <v>50</v>
      </c>
      <c r="U216" s="517"/>
      <c r="V216" s="342">
        <f t="shared" si="6"/>
        <v>-1</v>
      </c>
      <c r="W216" s="518">
        <f t="shared" si="7"/>
        <v>-762</v>
      </c>
      <c r="X216" s="257"/>
    </row>
    <row r="217" spans="1:24" x14ac:dyDescent="0.25">
      <c r="A217">
        <v>212</v>
      </c>
      <c r="B217" t="s">
        <v>241</v>
      </c>
      <c r="C217" t="s">
        <v>242</v>
      </c>
      <c r="D217" t="s">
        <v>16</v>
      </c>
      <c r="F217" s="520">
        <v>0</v>
      </c>
      <c r="G217" s="521">
        <v>0</v>
      </c>
      <c r="H217" s="521">
        <v>0</v>
      </c>
      <c r="I217" s="517"/>
      <c r="J217" s="520">
        <v>0</v>
      </c>
      <c r="K217" s="520">
        <v>0</v>
      </c>
      <c r="L217" s="520">
        <v>0</v>
      </c>
      <c r="M217" s="517"/>
      <c r="N217" s="542">
        <v>0</v>
      </c>
      <c r="O217" s="518">
        <v>0</v>
      </c>
      <c r="P217" s="518">
        <v>0</v>
      </c>
      <c r="Q217" s="519"/>
      <c r="R217" s="516">
        <v>5</v>
      </c>
      <c r="S217" s="521">
        <v>8930</v>
      </c>
      <c r="T217" s="521">
        <v>125</v>
      </c>
      <c r="U217" s="517"/>
      <c r="V217" s="342">
        <f t="shared" si="6"/>
        <v>-5</v>
      </c>
      <c r="W217" s="518">
        <f t="shared" si="7"/>
        <v>-9055</v>
      </c>
      <c r="X217" s="257"/>
    </row>
    <row r="218" spans="1:24" x14ac:dyDescent="0.25">
      <c r="A218">
        <v>213</v>
      </c>
      <c r="B218" t="s">
        <v>243</v>
      </c>
      <c r="C218" t="s">
        <v>108</v>
      </c>
      <c r="D218" t="s">
        <v>16</v>
      </c>
      <c r="F218" s="520">
        <v>62</v>
      </c>
      <c r="G218" s="521">
        <v>50435.45</v>
      </c>
      <c r="H218" s="521">
        <v>310</v>
      </c>
      <c r="I218" s="517"/>
      <c r="J218" s="520">
        <v>0</v>
      </c>
      <c r="K218" s="520">
        <v>0</v>
      </c>
      <c r="L218" s="520">
        <v>0</v>
      </c>
      <c r="M218" s="517"/>
      <c r="N218" s="542">
        <v>62</v>
      </c>
      <c r="O218" s="518">
        <v>50435.45</v>
      </c>
      <c r="P218" s="518">
        <v>310</v>
      </c>
      <c r="Q218" s="519"/>
      <c r="R218" s="516">
        <v>2</v>
      </c>
      <c r="S218" s="521">
        <v>5464</v>
      </c>
      <c r="T218" s="521">
        <v>50</v>
      </c>
      <c r="U218" s="517"/>
      <c r="V218" s="342">
        <f t="shared" si="6"/>
        <v>60</v>
      </c>
      <c r="W218" s="518">
        <f t="shared" si="7"/>
        <v>44921.45</v>
      </c>
      <c r="X218" s="257"/>
    </row>
    <row r="219" spans="1:24" x14ac:dyDescent="0.25">
      <c r="A219">
        <v>214</v>
      </c>
      <c r="B219" t="s">
        <v>244</v>
      </c>
      <c r="C219" t="s">
        <v>92</v>
      </c>
      <c r="D219" t="s">
        <v>45</v>
      </c>
      <c r="F219" s="520">
        <v>472</v>
      </c>
      <c r="G219" s="521">
        <v>14740643.65</v>
      </c>
      <c r="H219" s="521">
        <v>14160</v>
      </c>
      <c r="I219" s="517"/>
      <c r="J219" s="520">
        <v>0</v>
      </c>
      <c r="K219" s="520">
        <v>0</v>
      </c>
      <c r="L219" s="520">
        <v>0</v>
      </c>
      <c r="M219" s="517"/>
      <c r="N219" s="542">
        <v>472</v>
      </c>
      <c r="O219" s="518">
        <v>14740643.65</v>
      </c>
      <c r="P219" s="518">
        <v>14160</v>
      </c>
      <c r="Q219" s="519"/>
      <c r="R219" s="516">
        <v>6</v>
      </c>
      <c r="S219" s="521">
        <v>6993.25</v>
      </c>
      <c r="T219" s="521">
        <v>150</v>
      </c>
      <c r="U219" s="517"/>
      <c r="V219" s="342">
        <f t="shared" si="6"/>
        <v>466</v>
      </c>
      <c r="W219" s="518">
        <f t="shared" si="7"/>
        <v>14733500.4</v>
      </c>
      <c r="X219" s="257"/>
    </row>
    <row r="220" spans="1:24" x14ac:dyDescent="0.25">
      <c r="A220">
        <v>215</v>
      </c>
      <c r="B220" t="s">
        <v>245</v>
      </c>
      <c r="C220" t="s">
        <v>15</v>
      </c>
      <c r="D220" t="s">
        <v>16</v>
      </c>
      <c r="F220" s="520">
        <v>74</v>
      </c>
      <c r="G220" s="521">
        <v>1230179</v>
      </c>
      <c r="H220" s="521">
        <v>1500</v>
      </c>
      <c r="I220" s="517"/>
      <c r="J220" s="520">
        <v>0</v>
      </c>
      <c r="K220" s="520">
        <v>0</v>
      </c>
      <c r="L220" s="520">
        <v>0</v>
      </c>
      <c r="M220" s="517"/>
      <c r="N220" s="542">
        <v>74</v>
      </c>
      <c r="O220" s="518">
        <v>1230179</v>
      </c>
      <c r="P220" s="518">
        <v>1500</v>
      </c>
      <c r="Q220" s="519"/>
      <c r="R220" s="516">
        <v>0</v>
      </c>
      <c r="S220" s="521">
        <v>0</v>
      </c>
      <c r="T220" s="521">
        <v>0</v>
      </c>
      <c r="U220" s="517"/>
      <c r="V220" s="342">
        <f t="shared" si="6"/>
        <v>74</v>
      </c>
      <c r="W220" s="518">
        <f t="shared" si="7"/>
        <v>1230179</v>
      </c>
      <c r="X220" s="257"/>
    </row>
    <row r="221" spans="1:24" x14ac:dyDescent="0.25">
      <c r="A221">
        <v>216</v>
      </c>
      <c r="B221" t="s">
        <v>246</v>
      </c>
      <c r="C221" t="s">
        <v>18</v>
      </c>
      <c r="D221" t="s">
        <v>16</v>
      </c>
      <c r="F221" s="520">
        <v>0</v>
      </c>
      <c r="G221" s="521">
        <v>0</v>
      </c>
      <c r="H221" s="521">
        <v>0</v>
      </c>
      <c r="I221" s="517"/>
      <c r="J221" s="520">
        <v>0</v>
      </c>
      <c r="K221" s="520">
        <v>0</v>
      </c>
      <c r="L221" s="520">
        <v>0</v>
      </c>
      <c r="M221" s="517"/>
      <c r="N221" s="542">
        <v>0</v>
      </c>
      <c r="O221" s="518">
        <v>0</v>
      </c>
      <c r="P221" s="518">
        <v>0</v>
      </c>
      <c r="Q221" s="519"/>
      <c r="R221" s="516">
        <v>0</v>
      </c>
      <c r="S221" s="521">
        <v>0</v>
      </c>
      <c r="T221" s="521">
        <v>0</v>
      </c>
      <c r="U221" s="517"/>
      <c r="V221" s="342">
        <f t="shared" si="6"/>
        <v>0</v>
      </c>
      <c r="W221" s="518">
        <f t="shared" si="7"/>
        <v>0</v>
      </c>
      <c r="X221" s="257"/>
    </row>
    <row r="222" spans="1:24" x14ac:dyDescent="0.25">
      <c r="A222">
        <v>217</v>
      </c>
      <c r="B222" t="s">
        <v>247</v>
      </c>
      <c r="C222" t="s">
        <v>15</v>
      </c>
      <c r="D222" t="s">
        <v>43</v>
      </c>
      <c r="F222" s="520">
        <v>111</v>
      </c>
      <c r="G222" s="521">
        <v>134314.97999999998</v>
      </c>
      <c r="H222" s="521">
        <v>1110</v>
      </c>
      <c r="I222" s="517"/>
      <c r="J222" s="520">
        <v>0</v>
      </c>
      <c r="K222" s="520">
        <v>0</v>
      </c>
      <c r="L222" s="520">
        <v>0</v>
      </c>
      <c r="M222" s="517"/>
      <c r="N222" s="542">
        <v>111</v>
      </c>
      <c r="O222" s="518">
        <v>134314.97999999998</v>
      </c>
      <c r="P222" s="518">
        <v>1110</v>
      </c>
      <c r="Q222" s="519"/>
      <c r="R222" s="516">
        <v>96</v>
      </c>
      <c r="S222" s="521">
        <v>45844.27</v>
      </c>
      <c r="T222" s="521">
        <v>0</v>
      </c>
      <c r="U222" s="517"/>
      <c r="V222" s="342">
        <f t="shared" si="6"/>
        <v>15</v>
      </c>
      <c r="W222" s="518">
        <f t="shared" si="7"/>
        <v>88470.709999999992</v>
      </c>
      <c r="X222" s="257"/>
    </row>
    <row r="223" spans="1:24" x14ac:dyDescent="0.25">
      <c r="A223">
        <v>218</v>
      </c>
      <c r="B223" t="s">
        <v>248</v>
      </c>
      <c r="C223" t="s">
        <v>15</v>
      </c>
      <c r="D223" t="s">
        <v>16</v>
      </c>
      <c r="F223" s="520">
        <v>0</v>
      </c>
      <c r="G223" s="521">
        <v>0</v>
      </c>
      <c r="H223" s="521">
        <v>0</v>
      </c>
      <c r="I223" s="517"/>
      <c r="J223" s="520">
        <v>0</v>
      </c>
      <c r="K223" s="520">
        <v>0</v>
      </c>
      <c r="L223" s="520">
        <v>0</v>
      </c>
      <c r="M223" s="517"/>
      <c r="N223" s="542">
        <v>0</v>
      </c>
      <c r="O223" s="518">
        <v>0</v>
      </c>
      <c r="P223" s="518">
        <v>0</v>
      </c>
      <c r="Q223" s="519"/>
      <c r="R223" s="516">
        <v>468</v>
      </c>
      <c r="S223" s="521">
        <v>15052592.640000001</v>
      </c>
      <c r="T223" s="521">
        <v>0</v>
      </c>
      <c r="U223" s="517"/>
      <c r="V223" s="342">
        <f t="shared" si="6"/>
        <v>-468</v>
      </c>
      <c r="W223" s="518">
        <f t="shared" si="7"/>
        <v>-15052592.640000001</v>
      </c>
      <c r="X223" s="257"/>
    </row>
    <row r="224" spans="1:24" x14ac:dyDescent="0.25">
      <c r="A224">
        <v>219</v>
      </c>
      <c r="B224" t="s">
        <v>249</v>
      </c>
      <c r="C224" t="s">
        <v>15</v>
      </c>
      <c r="D224" t="s">
        <v>16</v>
      </c>
      <c r="F224" s="520">
        <v>0</v>
      </c>
      <c r="G224" s="521">
        <v>0</v>
      </c>
      <c r="H224" s="521">
        <v>0</v>
      </c>
      <c r="I224" s="517"/>
      <c r="J224" s="520">
        <v>0</v>
      </c>
      <c r="K224" s="520">
        <v>0</v>
      </c>
      <c r="L224" s="520">
        <v>0</v>
      </c>
      <c r="M224" s="517"/>
      <c r="N224" s="542">
        <v>0</v>
      </c>
      <c r="O224" s="518">
        <v>0</v>
      </c>
      <c r="P224" s="518">
        <v>0</v>
      </c>
      <c r="Q224" s="519"/>
      <c r="R224" s="516">
        <v>146</v>
      </c>
      <c r="S224" s="521">
        <v>3179632.48</v>
      </c>
      <c r="T224" s="521">
        <v>0</v>
      </c>
      <c r="U224" s="517"/>
      <c r="V224" s="342">
        <f t="shared" si="6"/>
        <v>-146</v>
      </c>
      <c r="W224" s="518">
        <f t="shared" si="7"/>
        <v>-3179632.48</v>
      </c>
      <c r="X224" s="257"/>
    </row>
    <row r="225" spans="1:24" x14ac:dyDescent="0.25">
      <c r="A225">
        <v>220</v>
      </c>
      <c r="B225" t="s">
        <v>250</v>
      </c>
      <c r="C225" t="s">
        <v>18</v>
      </c>
      <c r="D225" t="s">
        <v>20</v>
      </c>
      <c r="F225" s="520">
        <v>20</v>
      </c>
      <c r="G225" s="521">
        <v>49095.189999999995</v>
      </c>
      <c r="H225" s="521">
        <v>400</v>
      </c>
      <c r="I225" s="517"/>
      <c r="J225" s="520">
        <v>0</v>
      </c>
      <c r="K225" s="520">
        <v>0</v>
      </c>
      <c r="L225" s="520">
        <v>0</v>
      </c>
      <c r="M225" s="517"/>
      <c r="N225" s="542">
        <v>20</v>
      </c>
      <c r="O225" s="518">
        <v>49095.189999999995</v>
      </c>
      <c r="P225" s="518">
        <v>400</v>
      </c>
      <c r="Q225" s="519"/>
      <c r="R225" s="516">
        <v>0</v>
      </c>
      <c r="S225" s="521">
        <v>0</v>
      </c>
      <c r="T225" s="521">
        <v>0</v>
      </c>
      <c r="U225" s="517"/>
      <c r="V225" s="342">
        <f t="shared" si="6"/>
        <v>20</v>
      </c>
      <c r="W225" s="518">
        <f t="shared" si="7"/>
        <v>49095.189999999995</v>
      </c>
      <c r="X225" s="257"/>
    </row>
    <row r="226" spans="1:24" x14ac:dyDescent="0.25">
      <c r="A226">
        <v>221</v>
      </c>
      <c r="B226" t="s">
        <v>251</v>
      </c>
      <c r="C226" t="s">
        <v>15</v>
      </c>
      <c r="D226" t="s">
        <v>16</v>
      </c>
      <c r="F226" s="520">
        <v>0</v>
      </c>
      <c r="G226" s="521">
        <v>0</v>
      </c>
      <c r="H226" s="521">
        <v>0</v>
      </c>
      <c r="I226" s="517"/>
      <c r="J226" s="520">
        <v>0</v>
      </c>
      <c r="K226" s="520">
        <v>0</v>
      </c>
      <c r="L226" s="520">
        <v>0</v>
      </c>
      <c r="M226" s="517"/>
      <c r="N226" s="542">
        <v>0</v>
      </c>
      <c r="O226" s="518">
        <v>0</v>
      </c>
      <c r="P226" s="518">
        <v>0</v>
      </c>
      <c r="Q226" s="519"/>
      <c r="R226" s="516">
        <v>256</v>
      </c>
      <c r="S226" s="521">
        <v>385038.63</v>
      </c>
      <c r="T226" s="521">
        <v>0</v>
      </c>
      <c r="U226" s="517"/>
      <c r="V226" s="342">
        <f t="shared" si="6"/>
        <v>-256</v>
      </c>
      <c r="W226" s="518">
        <f t="shared" si="7"/>
        <v>-385038.63</v>
      </c>
      <c r="X226" s="257"/>
    </row>
    <row r="227" spans="1:24" x14ac:dyDescent="0.25">
      <c r="A227">
        <v>222</v>
      </c>
      <c r="B227" t="s">
        <v>252</v>
      </c>
      <c r="C227" t="s">
        <v>18</v>
      </c>
      <c r="D227" t="s">
        <v>16</v>
      </c>
      <c r="F227" s="520">
        <v>0</v>
      </c>
      <c r="G227" s="521">
        <v>0</v>
      </c>
      <c r="H227" s="521">
        <v>0</v>
      </c>
      <c r="I227" s="517"/>
      <c r="J227" s="520">
        <v>0</v>
      </c>
      <c r="K227" s="520">
        <v>0</v>
      </c>
      <c r="L227" s="520">
        <v>0</v>
      </c>
      <c r="M227" s="517"/>
      <c r="N227" s="542">
        <v>0</v>
      </c>
      <c r="O227" s="518">
        <v>0</v>
      </c>
      <c r="P227" s="518">
        <v>0</v>
      </c>
      <c r="Q227" s="519"/>
      <c r="R227" s="516">
        <v>0</v>
      </c>
      <c r="S227" s="521">
        <v>0</v>
      </c>
      <c r="T227" s="521">
        <v>0</v>
      </c>
      <c r="U227" s="517"/>
      <c r="V227" s="342">
        <f t="shared" si="6"/>
        <v>0</v>
      </c>
      <c r="W227" s="518">
        <f t="shared" si="7"/>
        <v>0</v>
      </c>
      <c r="X227" s="257"/>
    </row>
    <row r="228" spans="1:24" x14ac:dyDescent="0.25">
      <c r="A228">
        <v>223</v>
      </c>
      <c r="B228" t="s">
        <v>253</v>
      </c>
      <c r="C228" t="s">
        <v>15</v>
      </c>
      <c r="D228" t="s">
        <v>45</v>
      </c>
      <c r="F228" s="520">
        <v>2</v>
      </c>
      <c r="G228" s="521">
        <v>1364.9099999999999</v>
      </c>
      <c r="H228" s="521">
        <v>16</v>
      </c>
      <c r="I228" s="517"/>
      <c r="J228" s="520">
        <v>0</v>
      </c>
      <c r="K228" s="520">
        <v>0</v>
      </c>
      <c r="L228" s="520">
        <v>0</v>
      </c>
      <c r="M228" s="517"/>
      <c r="N228" s="542">
        <v>2</v>
      </c>
      <c r="O228" s="518">
        <v>1364.9099999999999</v>
      </c>
      <c r="P228" s="518">
        <v>16</v>
      </c>
      <c r="Q228" s="519"/>
      <c r="R228" s="516">
        <v>0</v>
      </c>
      <c r="S228" s="521">
        <v>0</v>
      </c>
      <c r="T228" s="521">
        <v>0</v>
      </c>
      <c r="U228" s="517"/>
      <c r="V228" s="342">
        <f t="shared" si="6"/>
        <v>2</v>
      </c>
      <c r="W228" s="518">
        <f t="shared" si="7"/>
        <v>1364.9099999999999</v>
      </c>
      <c r="X228" s="257"/>
    </row>
    <row r="229" spans="1:24" x14ac:dyDescent="0.25">
      <c r="A229">
        <v>224</v>
      </c>
      <c r="B229" t="s">
        <v>254</v>
      </c>
      <c r="C229" t="s">
        <v>255</v>
      </c>
      <c r="D229" t="s">
        <v>16</v>
      </c>
      <c r="F229" s="520">
        <v>41</v>
      </c>
      <c r="G229" s="521">
        <v>232993.28999999998</v>
      </c>
      <c r="H229" s="521">
        <v>615</v>
      </c>
      <c r="I229" s="517"/>
      <c r="J229" s="520">
        <v>0</v>
      </c>
      <c r="K229" s="520">
        <v>0</v>
      </c>
      <c r="L229" s="520">
        <v>0</v>
      </c>
      <c r="M229" s="517"/>
      <c r="N229" s="542">
        <v>41</v>
      </c>
      <c r="O229" s="518">
        <v>232993.28999999998</v>
      </c>
      <c r="P229" s="518">
        <v>615</v>
      </c>
      <c r="Q229" s="519"/>
      <c r="R229" s="516">
        <v>61</v>
      </c>
      <c r="S229" s="521">
        <v>147459</v>
      </c>
      <c r="T229" s="521">
        <v>0</v>
      </c>
      <c r="U229" s="517"/>
      <c r="V229" s="342">
        <f t="shared" si="6"/>
        <v>-20</v>
      </c>
      <c r="W229" s="518">
        <f t="shared" si="7"/>
        <v>85534.289999999979</v>
      </c>
      <c r="X229" s="257"/>
    </row>
    <row r="230" spans="1:24" x14ac:dyDescent="0.25">
      <c r="A230">
        <v>225</v>
      </c>
      <c r="B230" t="s">
        <v>256</v>
      </c>
      <c r="D230" t="s">
        <v>16</v>
      </c>
      <c r="F230" s="520">
        <v>69</v>
      </c>
      <c r="G230" s="521">
        <v>96307.000000000015</v>
      </c>
      <c r="H230" s="521">
        <v>690</v>
      </c>
      <c r="I230" s="517"/>
      <c r="J230" s="520">
        <v>0</v>
      </c>
      <c r="K230" s="520">
        <v>0</v>
      </c>
      <c r="L230" s="520">
        <v>0</v>
      </c>
      <c r="M230" s="517"/>
      <c r="N230" s="542">
        <v>69</v>
      </c>
      <c r="O230" s="518">
        <v>96307.000000000015</v>
      </c>
      <c r="P230" s="518">
        <v>690</v>
      </c>
      <c r="Q230" s="519"/>
      <c r="R230" s="516">
        <v>0</v>
      </c>
      <c r="S230" s="521">
        <v>0</v>
      </c>
      <c r="T230" s="521">
        <v>0</v>
      </c>
      <c r="U230" s="517"/>
      <c r="V230" s="342">
        <f t="shared" si="6"/>
        <v>69</v>
      </c>
      <c r="W230" s="518">
        <f t="shared" si="7"/>
        <v>96307.000000000015</v>
      </c>
      <c r="X230" s="257"/>
    </row>
    <row r="231" spans="1:24" x14ac:dyDescent="0.25">
      <c r="A231">
        <v>226</v>
      </c>
      <c r="B231" t="s">
        <v>2229</v>
      </c>
      <c r="C231" t="s">
        <v>255</v>
      </c>
      <c r="D231" t="s">
        <v>16</v>
      </c>
      <c r="F231" s="520">
        <v>0</v>
      </c>
      <c r="G231" s="521">
        <v>0</v>
      </c>
      <c r="H231" s="521">
        <v>0</v>
      </c>
      <c r="I231" s="517"/>
      <c r="J231" s="520">
        <v>0</v>
      </c>
      <c r="K231" s="520">
        <v>0</v>
      </c>
      <c r="L231" s="520">
        <v>0</v>
      </c>
      <c r="M231" s="517"/>
      <c r="N231" s="542">
        <v>0</v>
      </c>
      <c r="O231" s="518">
        <v>0</v>
      </c>
      <c r="P231" s="518">
        <v>0</v>
      </c>
      <c r="Q231" s="519"/>
      <c r="R231" s="516">
        <v>0</v>
      </c>
      <c r="S231" s="521">
        <v>0</v>
      </c>
      <c r="T231" s="521">
        <v>0</v>
      </c>
      <c r="U231" s="517"/>
      <c r="V231" s="342">
        <f t="shared" si="6"/>
        <v>0</v>
      </c>
      <c r="W231" s="518">
        <f t="shared" si="7"/>
        <v>0</v>
      </c>
      <c r="X231" s="257"/>
    </row>
    <row r="232" spans="1:24" x14ac:dyDescent="0.25">
      <c r="A232">
        <v>227</v>
      </c>
      <c r="B232" t="s">
        <v>257</v>
      </c>
      <c r="C232" t="s">
        <v>258</v>
      </c>
      <c r="D232" t="s">
        <v>16</v>
      </c>
      <c r="F232" s="520">
        <v>0</v>
      </c>
      <c r="G232" s="521">
        <v>0</v>
      </c>
      <c r="H232" s="521">
        <v>0</v>
      </c>
      <c r="I232" s="517"/>
      <c r="J232" s="520">
        <v>0</v>
      </c>
      <c r="K232" s="520">
        <v>0</v>
      </c>
      <c r="L232" s="520">
        <v>0</v>
      </c>
      <c r="M232" s="517"/>
      <c r="N232" s="542">
        <v>0</v>
      </c>
      <c r="O232" s="518">
        <v>0</v>
      </c>
      <c r="P232" s="518">
        <v>0</v>
      </c>
      <c r="Q232" s="519"/>
      <c r="R232" s="516">
        <v>6</v>
      </c>
      <c r="S232" s="521">
        <v>10218.85</v>
      </c>
      <c r="T232" s="521">
        <v>0</v>
      </c>
      <c r="U232" s="517"/>
      <c r="V232" s="342">
        <f t="shared" si="6"/>
        <v>-6</v>
      </c>
      <c r="W232" s="518">
        <f t="shared" si="7"/>
        <v>-10218.85</v>
      </c>
      <c r="X232" s="257"/>
    </row>
    <row r="233" spans="1:24" x14ac:dyDescent="0.25">
      <c r="A233">
        <v>228</v>
      </c>
      <c r="B233" t="s">
        <v>259</v>
      </c>
      <c r="C233" t="s">
        <v>15</v>
      </c>
      <c r="D233" t="s">
        <v>45</v>
      </c>
      <c r="F233" s="520">
        <v>1</v>
      </c>
      <c r="G233" s="521">
        <v>449</v>
      </c>
      <c r="H233" s="521">
        <v>8</v>
      </c>
      <c r="I233" s="517"/>
      <c r="J233" s="520">
        <v>0</v>
      </c>
      <c r="K233" s="520">
        <v>0</v>
      </c>
      <c r="L233" s="520">
        <v>0</v>
      </c>
      <c r="M233" s="517"/>
      <c r="N233" s="542">
        <v>1</v>
      </c>
      <c r="O233" s="518">
        <v>449</v>
      </c>
      <c r="P233" s="518">
        <v>8</v>
      </c>
      <c r="Q233" s="519"/>
      <c r="R233" s="516">
        <v>75</v>
      </c>
      <c r="S233" s="521">
        <v>1446151.52</v>
      </c>
      <c r="T233" s="521">
        <v>0</v>
      </c>
      <c r="U233" s="517"/>
      <c r="V233" s="342">
        <f t="shared" si="6"/>
        <v>-74</v>
      </c>
      <c r="W233" s="518">
        <f t="shared" si="7"/>
        <v>-1445702.52</v>
      </c>
      <c r="X233" s="257"/>
    </row>
    <row r="234" spans="1:24" x14ac:dyDescent="0.25">
      <c r="A234">
        <v>229</v>
      </c>
      <c r="B234" t="s">
        <v>260</v>
      </c>
      <c r="C234" t="s">
        <v>18</v>
      </c>
      <c r="D234" t="s">
        <v>16</v>
      </c>
      <c r="F234" s="520">
        <v>0</v>
      </c>
      <c r="G234" s="521">
        <v>0</v>
      </c>
      <c r="H234" s="521">
        <v>0</v>
      </c>
      <c r="I234" s="517"/>
      <c r="J234" s="520">
        <v>0</v>
      </c>
      <c r="K234" s="520">
        <v>0</v>
      </c>
      <c r="L234" s="520">
        <v>0</v>
      </c>
      <c r="M234" s="517"/>
      <c r="N234" s="542">
        <v>0</v>
      </c>
      <c r="O234" s="518">
        <v>0</v>
      </c>
      <c r="P234" s="518">
        <v>0</v>
      </c>
      <c r="Q234" s="519"/>
      <c r="R234" s="516">
        <v>86</v>
      </c>
      <c r="S234" s="521">
        <v>139284.22</v>
      </c>
      <c r="T234" s="521">
        <v>0</v>
      </c>
      <c r="U234" s="517"/>
      <c r="V234" s="342">
        <f t="shared" si="6"/>
        <v>-86</v>
      </c>
      <c r="W234" s="518">
        <f t="shared" si="7"/>
        <v>-139284.22</v>
      </c>
      <c r="X234" s="257"/>
    </row>
    <row r="235" spans="1:24" x14ac:dyDescent="0.25">
      <c r="A235">
        <v>230</v>
      </c>
      <c r="B235" t="s">
        <v>261</v>
      </c>
      <c r="C235" t="s">
        <v>25</v>
      </c>
      <c r="D235" t="s">
        <v>16</v>
      </c>
      <c r="F235" s="520">
        <v>0</v>
      </c>
      <c r="G235" s="521">
        <v>0</v>
      </c>
      <c r="H235" s="521">
        <v>0</v>
      </c>
      <c r="I235" s="517"/>
      <c r="J235" s="520">
        <v>0</v>
      </c>
      <c r="K235" s="520">
        <v>0</v>
      </c>
      <c r="L235" s="520">
        <v>0</v>
      </c>
      <c r="M235" s="517"/>
      <c r="N235" s="542">
        <v>0</v>
      </c>
      <c r="O235" s="518">
        <v>0</v>
      </c>
      <c r="P235" s="518">
        <v>0</v>
      </c>
      <c r="Q235" s="519"/>
      <c r="R235" s="516">
        <v>0</v>
      </c>
      <c r="S235" s="521">
        <v>0</v>
      </c>
      <c r="T235" s="521">
        <v>0</v>
      </c>
      <c r="U235" s="517"/>
      <c r="V235" s="342">
        <f t="shared" si="6"/>
        <v>0</v>
      </c>
      <c r="W235" s="518">
        <f t="shared" si="7"/>
        <v>0</v>
      </c>
      <c r="X235" s="257"/>
    </row>
    <row r="236" spans="1:24" x14ac:dyDescent="0.25">
      <c r="A236">
        <v>231</v>
      </c>
      <c r="B236" t="s">
        <v>262</v>
      </c>
      <c r="C236" t="s">
        <v>25</v>
      </c>
      <c r="D236" t="s">
        <v>16</v>
      </c>
      <c r="F236" s="520">
        <v>0</v>
      </c>
      <c r="G236" s="521">
        <v>0</v>
      </c>
      <c r="H236" s="521">
        <v>0</v>
      </c>
      <c r="I236" s="517"/>
      <c r="J236" s="520">
        <v>0</v>
      </c>
      <c r="K236" s="520">
        <v>0</v>
      </c>
      <c r="L236" s="520">
        <v>0</v>
      </c>
      <c r="M236" s="517"/>
      <c r="N236" s="542">
        <v>0</v>
      </c>
      <c r="O236" s="518">
        <v>0</v>
      </c>
      <c r="P236" s="518">
        <v>0</v>
      </c>
      <c r="Q236" s="519"/>
      <c r="R236" s="516">
        <v>0</v>
      </c>
      <c r="S236" s="521">
        <v>0</v>
      </c>
      <c r="T236" s="521">
        <v>0</v>
      </c>
      <c r="U236" s="517"/>
      <c r="V236" s="342">
        <f t="shared" si="6"/>
        <v>0</v>
      </c>
      <c r="W236" s="518">
        <f t="shared" si="7"/>
        <v>0</v>
      </c>
      <c r="X236" s="257"/>
    </row>
    <row r="237" spans="1:24" x14ac:dyDescent="0.25">
      <c r="A237">
        <v>232</v>
      </c>
      <c r="B237" t="s">
        <v>263</v>
      </c>
      <c r="C237" t="s">
        <v>25</v>
      </c>
      <c r="D237" t="s">
        <v>16</v>
      </c>
      <c r="F237" s="520">
        <v>1</v>
      </c>
      <c r="G237" s="521">
        <v>200</v>
      </c>
      <c r="H237" s="521">
        <v>8</v>
      </c>
      <c r="I237" s="517"/>
      <c r="J237" s="520">
        <v>0</v>
      </c>
      <c r="K237" s="520">
        <v>0</v>
      </c>
      <c r="L237" s="520">
        <v>0</v>
      </c>
      <c r="M237" s="517"/>
      <c r="N237" s="542">
        <v>1</v>
      </c>
      <c r="O237" s="518">
        <v>200</v>
      </c>
      <c r="P237" s="518">
        <v>8</v>
      </c>
      <c r="Q237" s="519"/>
      <c r="R237" s="516">
        <v>3</v>
      </c>
      <c r="S237" s="521">
        <v>922.63</v>
      </c>
      <c r="T237" s="521">
        <v>0</v>
      </c>
      <c r="U237" s="517"/>
      <c r="V237" s="342">
        <f t="shared" si="6"/>
        <v>-2</v>
      </c>
      <c r="W237" s="518">
        <f t="shared" si="7"/>
        <v>-722.63</v>
      </c>
      <c r="X237" s="257"/>
    </row>
    <row r="238" spans="1:24" x14ac:dyDescent="0.25">
      <c r="A238">
        <v>233</v>
      </c>
      <c r="B238" t="s">
        <v>264</v>
      </c>
      <c r="D238" t="s">
        <v>16</v>
      </c>
      <c r="F238" s="520">
        <v>0</v>
      </c>
      <c r="G238" s="521">
        <v>0</v>
      </c>
      <c r="H238" s="521">
        <v>0</v>
      </c>
      <c r="I238" s="517"/>
      <c r="J238" s="520">
        <v>0</v>
      </c>
      <c r="K238" s="520">
        <v>0</v>
      </c>
      <c r="L238" s="520">
        <v>0</v>
      </c>
      <c r="M238" s="517"/>
      <c r="N238" s="542">
        <v>0</v>
      </c>
      <c r="O238" s="518">
        <v>0</v>
      </c>
      <c r="P238" s="518">
        <v>0</v>
      </c>
      <c r="Q238" s="519"/>
      <c r="R238" s="516">
        <v>0</v>
      </c>
      <c r="S238" s="521">
        <v>0</v>
      </c>
      <c r="T238" s="521">
        <v>0</v>
      </c>
      <c r="U238" s="517"/>
      <c r="V238" s="342">
        <f t="shared" si="6"/>
        <v>0</v>
      </c>
      <c r="W238" s="518">
        <f t="shared" si="7"/>
        <v>0</v>
      </c>
      <c r="X238" s="257"/>
    </row>
    <row r="239" spans="1:24" x14ac:dyDescent="0.25">
      <c r="A239">
        <v>234</v>
      </c>
      <c r="B239" t="s">
        <v>265</v>
      </c>
      <c r="C239" t="s">
        <v>25</v>
      </c>
      <c r="D239" t="s">
        <v>16</v>
      </c>
      <c r="F239" s="520">
        <v>0</v>
      </c>
      <c r="G239" s="521">
        <v>0</v>
      </c>
      <c r="H239" s="521">
        <v>0</v>
      </c>
      <c r="I239" s="517"/>
      <c r="J239" s="520">
        <v>0</v>
      </c>
      <c r="K239" s="520">
        <v>0</v>
      </c>
      <c r="L239" s="520">
        <v>0</v>
      </c>
      <c r="M239" s="517"/>
      <c r="N239" s="542">
        <v>0</v>
      </c>
      <c r="O239" s="518">
        <v>0</v>
      </c>
      <c r="P239" s="518">
        <v>0</v>
      </c>
      <c r="Q239" s="519"/>
      <c r="R239" s="516">
        <v>0</v>
      </c>
      <c r="S239" s="521">
        <v>0</v>
      </c>
      <c r="T239" s="521">
        <v>0</v>
      </c>
      <c r="U239" s="517"/>
      <c r="V239" s="342">
        <f t="shared" si="6"/>
        <v>0</v>
      </c>
      <c r="W239" s="518">
        <f t="shared" si="7"/>
        <v>0</v>
      </c>
      <c r="X239" s="257"/>
    </row>
    <row r="240" spans="1:24" x14ac:dyDescent="0.25">
      <c r="A240">
        <v>235</v>
      </c>
      <c r="B240" t="s">
        <v>266</v>
      </c>
      <c r="C240" t="s">
        <v>25</v>
      </c>
      <c r="D240" t="s">
        <v>16</v>
      </c>
      <c r="F240" s="520">
        <v>14</v>
      </c>
      <c r="G240" s="521">
        <v>9720</v>
      </c>
      <c r="H240" s="521">
        <v>112</v>
      </c>
      <c r="I240" s="517"/>
      <c r="J240" s="520">
        <v>0</v>
      </c>
      <c r="K240" s="520">
        <v>0</v>
      </c>
      <c r="L240" s="520">
        <v>0</v>
      </c>
      <c r="M240" s="517"/>
      <c r="N240" s="542">
        <v>14</v>
      </c>
      <c r="O240" s="518">
        <v>9720</v>
      </c>
      <c r="P240" s="518">
        <v>112</v>
      </c>
      <c r="Q240" s="519"/>
      <c r="R240" s="516">
        <v>0</v>
      </c>
      <c r="S240" s="521">
        <v>0</v>
      </c>
      <c r="T240" s="521">
        <v>0</v>
      </c>
      <c r="U240" s="517"/>
      <c r="V240" s="342">
        <f t="shared" si="6"/>
        <v>14</v>
      </c>
      <c r="W240" s="518">
        <f t="shared" si="7"/>
        <v>9720</v>
      </c>
      <c r="X240" s="257"/>
    </row>
    <row r="241" spans="1:24" x14ac:dyDescent="0.25">
      <c r="A241">
        <v>236</v>
      </c>
      <c r="B241" t="s">
        <v>267</v>
      </c>
      <c r="C241" t="s">
        <v>25</v>
      </c>
      <c r="D241" t="s">
        <v>16</v>
      </c>
      <c r="F241" s="520">
        <v>0</v>
      </c>
      <c r="G241" s="521">
        <v>0</v>
      </c>
      <c r="H241" s="521">
        <v>0</v>
      </c>
      <c r="I241" s="517"/>
      <c r="J241" s="520">
        <v>0</v>
      </c>
      <c r="K241" s="520">
        <v>0</v>
      </c>
      <c r="L241" s="520">
        <v>0</v>
      </c>
      <c r="M241" s="517"/>
      <c r="N241" s="542">
        <v>0</v>
      </c>
      <c r="O241" s="518">
        <v>0</v>
      </c>
      <c r="P241" s="518">
        <v>0</v>
      </c>
      <c r="Q241" s="519"/>
      <c r="R241" s="516">
        <v>4</v>
      </c>
      <c r="S241" s="521">
        <v>71906</v>
      </c>
      <c r="T241" s="521">
        <v>0</v>
      </c>
      <c r="U241" s="517"/>
      <c r="V241" s="342">
        <f t="shared" si="6"/>
        <v>-4</v>
      </c>
      <c r="W241" s="518">
        <f t="shared" si="7"/>
        <v>-71906</v>
      </c>
      <c r="X241" s="257"/>
    </row>
    <row r="242" spans="1:24" x14ac:dyDescent="0.25">
      <c r="A242">
        <v>237</v>
      </c>
      <c r="B242" t="s">
        <v>268</v>
      </c>
      <c r="C242" t="s">
        <v>25</v>
      </c>
      <c r="D242" t="s">
        <v>16</v>
      </c>
      <c r="F242" s="520">
        <v>40</v>
      </c>
      <c r="G242" s="521">
        <v>31280</v>
      </c>
      <c r="H242" s="521">
        <v>320</v>
      </c>
      <c r="I242" s="517"/>
      <c r="J242" s="520">
        <v>0</v>
      </c>
      <c r="K242" s="520">
        <v>0</v>
      </c>
      <c r="L242" s="520">
        <v>0</v>
      </c>
      <c r="M242" s="517"/>
      <c r="N242" s="542">
        <v>40</v>
      </c>
      <c r="O242" s="518">
        <v>31280</v>
      </c>
      <c r="P242" s="518">
        <v>320</v>
      </c>
      <c r="Q242" s="519"/>
      <c r="R242" s="516">
        <v>0</v>
      </c>
      <c r="S242" s="521">
        <v>0</v>
      </c>
      <c r="T242" s="521">
        <v>0</v>
      </c>
      <c r="U242" s="517"/>
      <c r="V242" s="342">
        <f t="shared" si="6"/>
        <v>40</v>
      </c>
      <c r="W242" s="518">
        <f t="shared" si="7"/>
        <v>31280</v>
      </c>
      <c r="X242" s="257"/>
    </row>
    <row r="243" spans="1:24" x14ac:dyDescent="0.25">
      <c r="A243">
        <v>238</v>
      </c>
      <c r="B243" t="s">
        <v>269</v>
      </c>
      <c r="C243" t="s">
        <v>25</v>
      </c>
      <c r="D243" t="s">
        <v>16</v>
      </c>
      <c r="F243" s="520">
        <v>3</v>
      </c>
      <c r="G243" s="521">
        <v>892</v>
      </c>
      <c r="H243" s="521">
        <v>24</v>
      </c>
      <c r="I243" s="517"/>
      <c r="J243" s="520">
        <v>0</v>
      </c>
      <c r="K243" s="520">
        <v>0</v>
      </c>
      <c r="L243" s="520">
        <v>0</v>
      </c>
      <c r="M243" s="517"/>
      <c r="N243" s="542">
        <v>3</v>
      </c>
      <c r="O243" s="518">
        <v>892</v>
      </c>
      <c r="P243" s="518">
        <v>24</v>
      </c>
      <c r="Q243" s="519"/>
      <c r="R243" s="516">
        <v>1</v>
      </c>
      <c r="S243" s="521">
        <v>220</v>
      </c>
      <c r="T243" s="521">
        <v>0</v>
      </c>
      <c r="U243" s="517"/>
      <c r="V243" s="342">
        <f t="shared" si="6"/>
        <v>2</v>
      </c>
      <c r="W243" s="518">
        <f t="shared" si="7"/>
        <v>672</v>
      </c>
      <c r="X243" s="257"/>
    </row>
    <row r="244" spans="1:24" x14ac:dyDescent="0.25">
      <c r="A244">
        <v>239</v>
      </c>
      <c r="B244" t="s">
        <v>270</v>
      </c>
      <c r="C244" t="s">
        <v>25</v>
      </c>
      <c r="D244" t="s">
        <v>16</v>
      </c>
      <c r="F244" s="520">
        <v>5</v>
      </c>
      <c r="G244" s="521">
        <v>5243</v>
      </c>
      <c r="H244" s="521">
        <v>40</v>
      </c>
      <c r="I244" s="517"/>
      <c r="J244" s="520">
        <v>0</v>
      </c>
      <c r="K244" s="520">
        <v>0</v>
      </c>
      <c r="L244" s="520">
        <v>0</v>
      </c>
      <c r="M244" s="517"/>
      <c r="N244" s="542">
        <v>5</v>
      </c>
      <c r="O244" s="518">
        <v>5243</v>
      </c>
      <c r="P244" s="518">
        <v>40</v>
      </c>
      <c r="Q244" s="519"/>
      <c r="R244" s="516">
        <v>11</v>
      </c>
      <c r="S244" s="521">
        <v>27919.57</v>
      </c>
      <c r="T244" s="521">
        <v>0</v>
      </c>
      <c r="U244" s="517"/>
      <c r="V244" s="342">
        <f t="shared" si="6"/>
        <v>-6</v>
      </c>
      <c r="W244" s="518">
        <f t="shared" si="7"/>
        <v>-22676.57</v>
      </c>
      <c r="X244" s="257"/>
    </row>
    <row r="245" spans="1:24" x14ac:dyDescent="0.25">
      <c r="A245">
        <v>240</v>
      </c>
      <c r="B245" t="s">
        <v>271</v>
      </c>
      <c r="C245" t="s">
        <v>25</v>
      </c>
      <c r="D245" t="s">
        <v>16</v>
      </c>
      <c r="F245" s="520">
        <v>4</v>
      </c>
      <c r="G245" s="521">
        <v>1735</v>
      </c>
      <c r="H245" s="521">
        <v>32</v>
      </c>
      <c r="I245" s="517"/>
      <c r="J245" s="520">
        <v>0</v>
      </c>
      <c r="K245" s="520">
        <v>0</v>
      </c>
      <c r="L245" s="520">
        <v>0</v>
      </c>
      <c r="M245" s="517"/>
      <c r="N245" s="542">
        <v>4</v>
      </c>
      <c r="O245" s="518">
        <v>1735</v>
      </c>
      <c r="P245" s="518">
        <v>32</v>
      </c>
      <c r="Q245" s="519"/>
      <c r="R245" s="516">
        <v>1</v>
      </c>
      <c r="S245" s="521">
        <v>1200</v>
      </c>
      <c r="T245" s="521">
        <v>0</v>
      </c>
      <c r="U245" s="517"/>
      <c r="V245" s="342">
        <f t="shared" si="6"/>
        <v>3</v>
      </c>
      <c r="W245" s="518">
        <f t="shared" si="7"/>
        <v>535</v>
      </c>
      <c r="X245" s="257"/>
    </row>
    <row r="246" spans="1:24" x14ac:dyDescent="0.25">
      <c r="A246">
        <v>241</v>
      </c>
      <c r="B246" t="s">
        <v>272</v>
      </c>
      <c r="C246" t="s">
        <v>25</v>
      </c>
      <c r="D246" t="s">
        <v>16</v>
      </c>
      <c r="F246" s="520">
        <v>1</v>
      </c>
      <c r="G246" s="521">
        <v>150</v>
      </c>
      <c r="H246" s="521">
        <v>8</v>
      </c>
      <c r="I246" s="517"/>
      <c r="J246" s="520">
        <v>0</v>
      </c>
      <c r="K246" s="520">
        <v>0</v>
      </c>
      <c r="L246" s="520">
        <v>0</v>
      </c>
      <c r="M246" s="517"/>
      <c r="N246" s="542">
        <v>1</v>
      </c>
      <c r="O246" s="518">
        <v>150</v>
      </c>
      <c r="P246" s="518">
        <v>8</v>
      </c>
      <c r="Q246" s="519"/>
      <c r="R246" s="516">
        <v>55</v>
      </c>
      <c r="S246" s="521">
        <v>38148.43</v>
      </c>
      <c r="T246" s="521">
        <v>0</v>
      </c>
      <c r="U246" s="517"/>
      <c r="V246" s="342">
        <f t="shared" si="6"/>
        <v>-54</v>
      </c>
      <c r="W246" s="518">
        <f t="shared" si="7"/>
        <v>-37998.43</v>
      </c>
      <c r="X246" s="257"/>
    </row>
    <row r="247" spans="1:24" x14ac:dyDescent="0.25">
      <c r="A247">
        <v>242</v>
      </c>
      <c r="B247" t="s">
        <v>273</v>
      </c>
      <c r="C247" t="s">
        <v>25</v>
      </c>
      <c r="D247" t="s">
        <v>16</v>
      </c>
      <c r="F247" s="520">
        <v>1</v>
      </c>
      <c r="G247" s="521">
        <v>303</v>
      </c>
      <c r="H247" s="521">
        <v>8</v>
      </c>
      <c r="I247" s="517"/>
      <c r="J247" s="520">
        <v>0</v>
      </c>
      <c r="K247" s="520">
        <v>0</v>
      </c>
      <c r="L247" s="520">
        <v>0</v>
      </c>
      <c r="M247" s="517"/>
      <c r="N247" s="542">
        <v>1</v>
      </c>
      <c r="O247" s="518">
        <v>303</v>
      </c>
      <c r="P247" s="518">
        <v>8</v>
      </c>
      <c r="Q247" s="519"/>
      <c r="R247" s="516">
        <v>17</v>
      </c>
      <c r="S247" s="521">
        <v>8732</v>
      </c>
      <c r="T247" s="521">
        <v>0</v>
      </c>
      <c r="U247" s="517"/>
      <c r="V247" s="342">
        <f t="shared" si="6"/>
        <v>-16</v>
      </c>
      <c r="W247" s="518">
        <f t="shared" si="7"/>
        <v>-8429</v>
      </c>
      <c r="X247" s="257"/>
    </row>
    <row r="248" spans="1:24" x14ac:dyDescent="0.25">
      <c r="A248">
        <v>243</v>
      </c>
      <c r="B248" t="s">
        <v>274</v>
      </c>
      <c r="C248" t="s">
        <v>25</v>
      </c>
      <c r="D248" t="s">
        <v>16</v>
      </c>
      <c r="F248" s="520">
        <v>7</v>
      </c>
      <c r="G248" s="521">
        <v>5452</v>
      </c>
      <c r="H248" s="521">
        <v>56</v>
      </c>
      <c r="I248" s="517"/>
      <c r="J248" s="520">
        <v>0</v>
      </c>
      <c r="K248" s="520">
        <v>0</v>
      </c>
      <c r="L248" s="520">
        <v>0</v>
      </c>
      <c r="M248" s="517"/>
      <c r="N248" s="542">
        <v>7</v>
      </c>
      <c r="O248" s="518">
        <v>5452</v>
      </c>
      <c r="P248" s="518">
        <v>56</v>
      </c>
      <c r="Q248" s="519"/>
      <c r="R248" s="516">
        <v>5</v>
      </c>
      <c r="S248" s="521">
        <v>4435</v>
      </c>
      <c r="T248" s="521">
        <v>0</v>
      </c>
      <c r="U248" s="517"/>
      <c r="V248" s="342">
        <f t="shared" si="6"/>
        <v>2</v>
      </c>
      <c r="W248" s="518">
        <f t="shared" si="7"/>
        <v>1017</v>
      </c>
      <c r="X248" s="257"/>
    </row>
    <row r="249" spans="1:24" x14ac:dyDescent="0.25">
      <c r="A249">
        <v>244</v>
      </c>
      <c r="B249" t="s">
        <v>275</v>
      </c>
      <c r="C249" t="s">
        <v>25</v>
      </c>
      <c r="D249" t="s">
        <v>16</v>
      </c>
      <c r="F249" s="520">
        <v>0</v>
      </c>
      <c r="G249" s="521">
        <v>0</v>
      </c>
      <c r="H249" s="521">
        <v>0</v>
      </c>
      <c r="I249" s="517"/>
      <c r="J249" s="520">
        <v>0</v>
      </c>
      <c r="K249" s="520">
        <v>0</v>
      </c>
      <c r="L249" s="520">
        <v>0</v>
      </c>
      <c r="M249" s="517"/>
      <c r="N249" s="542">
        <v>0</v>
      </c>
      <c r="O249" s="518">
        <v>0</v>
      </c>
      <c r="P249" s="518">
        <v>0</v>
      </c>
      <c r="Q249" s="519"/>
      <c r="R249" s="516">
        <v>4</v>
      </c>
      <c r="S249" s="521">
        <v>2850</v>
      </c>
      <c r="T249" s="521">
        <v>0</v>
      </c>
      <c r="U249" s="517"/>
      <c r="V249" s="342">
        <f t="shared" si="6"/>
        <v>-4</v>
      </c>
      <c r="W249" s="518">
        <f t="shared" si="7"/>
        <v>-2850</v>
      </c>
      <c r="X249" s="257"/>
    </row>
    <row r="250" spans="1:24" x14ac:dyDescent="0.25">
      <c r="A250">
        <v>245</v>
      </c>
      <c r="B250" t="s">
        <v>276</v>
      </c>
      <c r="C250" t="s">
        <v>154</v>
      </c>
      <c r="D250" t="s">
        <v>20</v>
      </c>
      <c r="F250" s="520">
        <v>3</v>
      </c>
      <c r="G250" s="521">
        <v>97524</v>
      </c>
      <c r="H250" s="521">
        <v>420</v>
      </c>
      <c r="I250" s="517"/>
      <c r="J250" s="520">
        <v>0</v>
      </c>
      <c r="K250" s="520">
        <v>0</v>
      </c>
      <c r="L250" s="520">
        <v>0</v>
      </c>
      <c r="M250" s="517"/>
      <c r="N250" s="542">
        <v>3</v>
      </c>
      <c r="O250" s="518">
        <v>97524</v>
      </c>
      <c r="P250" s="518">
        <v>420</v>
      </c>
      <c r="Q250" s="519"/>
      <c r="R250" s="516">
        <v>4</v>
      </c>
      <c r="S250" s="521">
        <v>4119.5</v>
      </c>
      <c r="T250" s="521">
        <v>0</v>
      </c>
      <c r="U250" s="517"/>
      <c r="V250" s="342">
        <f t="shared" si="6"/>
        <v>-1</v>
      </c>
      <c r="W250" s="518">
        <f t="shared" si="7"/>
        <v>93404.5</v>
      </c>
      <c r="X250" s="257"/>
    </row>
    <row r="251" spans="1:24" x14ac:dyDescent="0.25">
      <c r="A251">
        <v>246</v>
      </c>
      <c r="B251" t="s">
        <v>277</v>
      </c>
      <c r="C251" t="s">
        <v>154</v>
      </c>
      <c r="D251" t="s">
        <v>16</v>
      </c>
      <c r="F251" s="520">
        <v>0</v>
      </c>
      <c r="G251" s="521">
        <v>0</v>
      </c>
      <c r="H251" s="521">
        <v>0</v>
      </c>
      <c r="I251" s="517"/>
      <c r="J251" s="520">
        <v>0</v>
      </c>
      <c r="K251" s="520">
        <v>0</v>
      </c>
      <c r="L251" s="520">
        <v>0</v>
      </c>
      <c r="M251" s="517"/>
      <c r="N251" s="542">
        <v>0</v>
      </c>
      <c r="O251" s="518">
        <v>0</v>
      </c>
      <c r="P251" s="518">
        <v>0</v>
      </c>
      <c r="Q251" s="519"/>
      <c r="R251" s="516">
        <v>1</v>
      </c>
      <c r="S251" s="521">
        <v>2030</v>
      </c>
      <c r="T251" s="521">
        <v>0</v>
      </c>
      <c r="U251" s="517"/>
      <c r="V251" s="342">
        <f t="shared" si="6"/>
        <v>-1</v>
      </c>
      <c r="W251" s="518">
        <f t="shared" si="7"/>
        <v>-2030</v>
      </c>
      <c r="X251" s="257"/>
    </row>
    <row r="252" spans="1:24" x14ac:dyDescent="0.25">
      <c r="A252">
        <v>247</v>
      </c>
      <c r="B252" t="s">
        <v>278</v>
      </c>
      <c r="C252" t="s">
        <v>24</v>
      </c>
      <c r="D252" t="s">
        <v>16</v>
      </c>
      <c r="F252" s="520">
        <v>49</v>
      </c>
      <c r="G252" s="521">
        <v>2528197</v>
      </c>
      <c r="H252" s="521">
        <v>2075</v>
      </c>
      <c r="I252" s="517"/>
      <c r="J252" s="520">
        <v>0</v>
      </c>
      <c r="K252" s="520">
        <v>0</v>
      </c>
      <c r="L252" s="520">
        <v>0</v>
      </c>
      <c r="M252" s="517"/>
      <c r="N252" s="542">
        <v>49</v>
      </c>
      <c r="O252" s="518">
        <v>2528197</v>
      </c>
      <c r="P252" s="518">
        <v>2075</v>
      </c>
      <c r="Q252" s="519"/>
      <c r="R252" s="516">
        <v>8</v>
      </c>
      <c r="S252" s="521">
        <v>6013</v>
      </c>
      <c r="T252" s="521">
        <v>0</v>
      </c>
      <c r="U252" s="517"/>
      <c r="V252" s="342">
        <f t="shared" si="6"/>
        <v>41</v>
      </c>
      <c r="W252" s="518">
        <f t="shared" si="7"/>
        <v>2522184</v>
      </c>
      <c r="X252" s="257"/>
    </row>
    <row r="253" spans="1:24" x14ac:dyDescent="0.25">
      <c r="A253">
        <v>248</v>
      </c>
      <c r="B253" t="s">
        <v>279</v>
      </c>
      <c r="C253" t="s">
        <v>41</v>
      </c>
      <c r="D253" t="s">
        <v>20</v>
      </c>
      <c r="F253" s="520">
        <v>0</v>
      </c>
      <c r="G253" s="521">
        <v>0</v>
      </c>
      <c r="H253" s="521">
        <v>0</v>
      </c>
      <c r="I253" s="517"/>
      <c r="J253" s="520">
        <v>0</v>
      </c>
      <c r="K253" s="520">
        <v>0</v>
      </c>
      <c r="L253" s="520">
        <v>0</v>
      </c>
      <c r="M253" s="517"/>
      <c r="N253" s="542">
        <v>0</v>
      </c>
      <c r="O253" s="518">
        <v>0</v>
      </c>
      <c r="P253" s="518">
        <v>0</v>
      </c>
      <c r="Q253" s="519"/>
      <c r="R253" s="516">
        <v>0</v>
      </c>
      <c r="S253" s="521">
        <v>0</v>
      </c>
      <c r="T253" s="521">
        <v>0</v>
      </c>
      <c r="U253" s="517"/>
      <c r="V253" s="342">
        <f t="shared" si="6"/>
        <v>0</v>
      </c>
      <c r="W253" s="518">
        <f t="shared" si="7"/>
        <v>0</v>
      </c>
      <c r="X253" s="257"/>
    </row>
    <row r="254" spans="1:24" x14ac:dyDescent="0.25">
      <c r="A254">
        <v>249</v>
      </c>
      <c r="B254" t="s">
        <v>280</v>
      </c>
      <c r="C254" t="s">
        <v>25</v>
      </c>
      <c r="D254" t="s">
        <v>16</v>
      </c>
      <c r="F254" s="520">
        <v>0</v>
      </c>
      <c r="G254" s="521">
        <v>0</v>
      </c>
      <c r="H254" s="521">
        <v>0</v>
      </c>
      <c r="I254" s="517"/>
      <c r="J254" s="520">
        <v>0</v>
      </c>
      <c r="K254" s="520">
        <v>0</v>
      </c>
      <c r="L254" s="520">
        <v>0</v>
      </c>
      <c r="M254" s="517"/>
      <c r="N254" s="542">
        <v>0</v>
      </c>
      <c r="O254" s="518">
        <v>0</v>
      </c>
      <c r="P254" s="518">
        <v>0</v>
      </c>
      <c r="Q254" s="519"/>
      <c r="R254" s="516">
        <v>2</v>
      </c>
      <c r="S254" s="521">
        <v>3330</v>
      </c>
      <c r="T254" s="521">
        <v>40</v>
      </c>
      <c r="U254" s="517"/>
      <c r="V254" s="342">
        <f t="shared" si="6"/>
        <v>-2</v>
      </c>
      <c r="W254" s="518">
        <f t="shared" si="7"/>
        <v>-3370</v>
      </c>
      <c r="X254" s="257"/>
    </row>
    <row r="255" spans="1:24" x14ac:dyDescent="0.25">
      <c r="A255">
        <v>250</v>
      </c>
      <c r="B255" t="s">
        <v>281</v>
      </c>
      <c r="C255" t="s">
        <v>148</v>
      </c>
      <c r="D255" t="s">
        <v>16</v>
      </c>
      <c r="F255" s="520">
        <v>1</v>
      </c>
      <c r="G255" s="521">
        <v>18700</v>
      </c>
      <c r="H255" s="521">
        <v>30</v>
      </c>
      <c r="I255" s="517"/>
      <c r="J255" s="520">
        <v>0</v>
      </c>
      <c r="K255" s="520">
        <v>0</v>
      </c>
      <c r="L255" s="520">
        <v>0</v>
      </c>
      <c r="M255" s="517"/>
      <c r="N255" s="542">
        <v>1</v>
      </c>
      <c r="O255" s="518">
        <v>18700</v>
      </c>
      <c r="P255" s="518">
        <v>30</v>
      </c>
      <c r="Q255" s="519"/>
      <c r="R255" s="516">
        <v>0</v>
      </c>
      <c r="S255" s="521">
        <v>0</v>
      </c>
      <c r="T255" s="521">
        <v>0</v>
      </c>
      <c r="U255" s="517"/>
      <c r="V255" s="342">
        <f t="shared" si="6"/>
        <v>1</v>
      </c>
      <c r="W255" s="518">
        <f t="shared" si="7"/>
        <v>18700</v>
      </c>
      <c r="X255" s="257"/>
    </row>
    <row r="256" spans="1:24" x14ac:dyDescent="0.25">
      <c r="A256">
        <v>251</v>
      </c>
      <c r="B256" t="s">
        <v>282</v>
      </c>
      <c r="C256" t="s">
        <v>27</v>
      </c>
      <c r="D256" t="s">
        <v>16</v>
      </c>
      <c r="F256" s="520">
        <v>0</v>
      </c>
      <c r="G256" s="521">
        <v>0</v>
      </c>
      <c r="H256" s="521">
        <v>0</v>
      </c>
      <c r="I256" s="517"/>
      <c r="J256" s="520">
        <v>0</v>
      </c>
      <c r="K256" s="520">
        <v>0</v>
      </c>
      <c r="L256" s="520">
        <v>0</v>
      </c>
      <c r="M256" s="517"/>
      <c r="N256" s="542">
        <v>0</v>
      </c>
      <c r="O256" s="518">
        <v>0</v>
      </c>
      <c r="P256" s="518">
        <v>0</v>
      </c>
      <c r="Q256" s="519"/>
      <c r="R256" s="516">
        <v>53</v>
      </c>
      <c r="S256" s="521">
        <v>3685252.68</v>
      </c>
      <c r="T256" s="521">
        <v>0</v>
      </c>
      <c r="U256" s="517"/>
      <c r="V256" s="342">
        <f t="shared" si="6"/>
        <v>-53</v>
      </c>
      <c r="W256" s="518">
        <f t="shared" si="7"/>
        <v>-3685252.68</v>
      </c>
      <c r="X256" s="257"/>
    </row>
    <row r="257" spans="1:24" x14ac:dyDescent="0.25">
      <c r="A257">
        <v>252</v>
      </c>
      <c r="B257" t="s">
        <v>283</v>
      </c>
      <c r="C257" t="s">
        <v>135</v>
      </c>
      <c r="D257" t="s">
        <v>16</v>
      </c>
      <c r="F257" s="520">
        <v>0</v>
      </c>
      <c r="G257" s="521">
        <v>0</v>
      </c>
      <c r="H257" s="521">
        <v>0</v>
      </c>
      <c r="I257" s="517"/>
      <c r="J257" s="520">
        <v>0</v>
      </c>
      <c r="K257" s="520">
        <v>0</v>
      </c>
      <c r="L257" s="520">
        <v>0</v>
      </c>
      <c r="M257" s="517"/>
      <c r="N257" s="542">
        <v>0</v>
      </c>
      <c r="O257" s="518">
        <v>0</v>
      </c>
      <c r="P257" s="518">
        <v>0</v>
      </c>
      <c r="Q257" s="519"/>
      <c r="R257" s="516">
        <v>0</v>
      </c>
      <c r="S257" s="521">
        <v>0</v>
      </c>
      <c r="T257" s="521">
        <v>0</v>
      </c>
      <c r="U257" s="517"/>
      <c r="V257" s="342">
        <f t="shared" si="6"/>
        <v>0</v>
      </c>
      <c r="W257" s="518">
        <f t="shared" si="7"/>
        <v>0</v>
      </c>
      <c r="X257" s="257"/>
    </row>
    <row r="258" spans="1:24" x14ac:dyDescent="0.25">
      <c r="A258">
        <v>253</v>
      </c>
      <c r="B258" t="s">
        <v>284</v>
      </c>
      <c r="C258" t="s">
        <v>15</v>
      </c>
      <c r="D258" t="s">
        <v>16</v>
      </c>
      <c r="F258" s="520">
        <v>3384</v>
      </c>
      <c r="G258" s="521">
        <v>9076499.5600000005</v>
      </c>
      <c r="H258" s="521">
        <v>50760</v>
      </c>
      <c r="I258" s="517"/>
      <c r="J258" s="520">
        <v>0</v>
      </c>
      <c r="K258" s="520">
        <v>0</v>
      </c>
      <c r="L258" s="520">
        <v>0</v>
      </c>
      <c r="M258" s="517"/>
      <c r="N258" s="542">
        <v>3384</v>
      </c>
      <c r="O258" s="518">
        <v>9076499.5600000005</v>
      </c>
      <c r="P258" s="518">
        <v>50760</v>
      </c>
      <c r="Q258" s="519"/>
      <c r="R258" s="516">
        <v>0</v>
      </c>
      <c r="S258" s="521">
        <v>0</v>
      </c>
      <c r="T258" s="521">
        <v>0</v>
      </c>
      <c r="U258" s="517"/>
      <c r="V258" s="342">
        <f t="shared" si="6"/>
        <v>3384</v>
      </c>
      <c r="W258" s="518">
        <f t="shared" si="7"/>
        <v>9076499.5600000005</v>
      </c>
      <c r="X258" s="257"/>
    </row>
    <row r="259" spans="1:24" x14ac:dyDescent="0.25">
      <c r="A259">
        <v>254</v>
      </c>
      <c r="B259" t="s">
        <v>285</v>
      </c>
      <c r="C259" t="s">
        <v>18</v>
      </c>
      <c r="D259" t="s">
        <v>20</v>
      </c>
      <c r="F259" s="520">
        <v>0</v>
      </c>
      <c r="G259" s="521">
        <v>0</v>
      </c>
      <c r="H259" s="521">
        <v>0</v>
      </c>
      <c r="I259" s="517"/>
      <c r="J259" s="520">
        <v>0</v>
      </c>
      <c r="K259" s="520">
        <v>0</v>
      </c>
      <c r="L259" s="520">
        <v>0</v>
      </c>
      <c r="M259" s="517"/>
      <c r="N259" s="542">
        <v>0</v>
      </c>
      <c r="O259" s="518">
        <v>0</v>
      </c>
      <c r="P259" s="518">
        <v>0</v>
      </c>
      <c r="Q259" s="519"/>
      <c r="R259" s="516">
        <v>0</v>
      </c>
      <c r="S259" s="521">
        <v>0</v>
      </c>
      <c r="T259" s="521">
        <v>0</v>
      </c>
      <c r="U259" s="517"/>
      <c r="V259" s="342">
        <f t="shared" si="6"/>
        <v>0</v>
      </c>
      <c r="W259" s="518">
        <f t="shared" si="7"/>
        <v>0</v>
      </c>
      <c r="X259" s="257"/>
    </row>
    <row r="260" spans="1:24" x14ac:dyDescent="0.25">
      <c r="A260">
        <v>255</v>
      </c>
      <c r="B260" t="s">
        <v>286</v>
      </c>
      <c r="C260" t="s">
        <v>24</v>
      </c>
      <c r="D260" t="s">
        <v>16</v>
      </c>
      <c r="F260" s="520">
        <v>7</v>
      </c>
      <c r="G260" s="521">
        <v>170010</v>
      </c>
      <c r="H260" s="521">
        <v>225</v>
      </c>
      <c r="I260" s="517"/>
      <c r="J260" s="520">
        <v>0</v>
      </c>
      <c r="K260" s="520">
        <v>0</v>
      </c>
      <c r="L260" s="520">
        <v>0</v>
      </c>
      <c r="M260" s="517"/>
      <c r="N260" s="542">
        <v>7</v>
      </c>
      <c r="O260" s="518">
        <v>170010</v>
      </c>
      <c r="P260" s="518">
        <v>225</v>
      </c>
      <c r="Q260" s="519"/>
      <c r="R260" s="516">
        <v>0</v>
      </c>
      <c r="S260" s="521">
        <v>0</v>
      </c>
      <c r="T260" s="521">
        <v>0</v>
      </c>
      <c r="U260" s="517"/>
      <c r="V260" s="342">
        <f t="shared" si="6"/>
        <v>7</v>
      </c>
      <c r="W260" s="518">
        <f t="shared" si="7"/>
        <v>170010</v>
      </c>
      <c r="X260" s="257"/>
    </row>
    <row r="261" spans="1:24" x14ac:dyDescent="0.25">
      <c r="A261">
        <v>256</v>
      </c>
      <c r="B261" t="s">
        <v>287</v>
      </c>
      <c r="C261" t="s">
        <v>15</v>
      </c>
      <c r="D261" t="s">
        <v>16</v>
      </c>
      <c r="F261" s="520">
        <v>4</v>
      </c>
      <c r="G261" s="521">
        <v>6492.5999999999995</v>
      </c>
      <c r="H261" s="521">
        <v>32</v>
      </c>
      <c r="I261" s="517"/>
      <c r="J261" s="520">
        <v>0</v>
      </c>
      <c r="K261" s="520">
        <v>0</v>
      </c>
      <c r="L261" s="520">
        <v>0</v>
      </c>
      <c r="M261" s="517"/>
      <c r="N261" s="542">
        <v>4</v>
      </c>
      <c r="O261" s="518">
        <v>6492.5999999999995</v>
      </c>
      <c r="P261" s="518">
        <v>32</v>
      </c>
      <c r="Q261" s="519"/>
      <c r="R261" s="516">
        <v>1</v>
      </c>
      <c r="S261" s="521">
        <v>8064</v>
      </c>
      <c r="T261" s="521">
        <v>0</v>
      </c>
      <c r="U261" s="517"/>
      <c r="V261" s="342">
        <f t="shared" si="6"/>
        <v>3</v>
      </c>
      <c r="W261" s="518">
        <f t="shared" si="7"/>
        <v>-1571.4000000000005</v>
      </c>
      <c r="X261" s="257"/>
    </row>
    <row r="262" spans="1:24" x14ac:dyDescent="0.25">
      <c r="A262">
        <v>257</v>
      </c>
      <c r="B262" t="s">
        <v>288</v>
      </c>
      <c r="C262" t="s">
        <v>15</v>
      </c>
      <c r="D262" t="s">
        <v>16</v>
      </c>
      <c r="F262" s="520">
        <v>5</v>
      </c>
      <c r="G262" s="521">
        <v>7823.3</v>
      </c>
      <c r="H262" s="521">
        <v>40</v>
      </c>
      <c r="I262" s="517"/>
      <c r="J262" s="520">
        <v>0</v>
      </c>
      <c r="K262" s="520">
        <v>0</v>
      </c>
      <c r="L262" s="520">
        <v>0</v>
      </c>
      <c r="M262" s="517"/>
      <c r="N262" s="542">
        <v>5</v>
      </c>
      <c r="O262" s="518">
        <v>7823.3</v>
      </c>
      <c r="P262" s="518">
        <v>40</v>
      </c>
      <c r="Q262" s="519"/>
      <c r="R262" s="516">
        <v>3956</v>
      </c>
      <c r="S262" s="521">
        <v>10633028.25</v>
      </c>
      <c r="T262" s="521">
        <v>0</v>
      </c>
      <c r="U262" s="517"/>
      <c r="V262" s="342">
        <f t="shared" ref="V262:V325" si="8">N262-R262</f>
        <v>-3951</v>
      </c>
      <c r="W262" s="518">
        <f t="shared" ref="W262:W325" si="9">O262-S262-T262</f>
        <v>-10625204.949999999</v>
      </c>
      <c r="X262" s="257"/>
    </row>
    <row r="263" spans="1:24" x14ac:dyDescent="0.25">
      <c r="A263">
        <v>258</v>
      </c>
      <c r="B263" t="s">
        <v>289</v>
      </c>
      <c r="C263" t="s">
        <v>15</v>
      </c>
      <c r="D263" t="s">
        <v>16</v>
      </c>
      <c r="F263" s="520">
        <v>32</v>
      </c>
      <c r="G263" s="521">
        <v>55534.7</v>
      </c>
      <c r="H263" s="521">
        <v>256</v>
      </c>
      <c r="I263" s="517"/>
      <c r="J263" s="520">
        <v>0</v>
      </c>
      <c r="K263" s="520">
        <v>0</v>
      </c>
      <c r="L263" s="520">
        <v>0</v>
      </c>
      <c r="M263" s="517"/>
      <c r="N263" s="542">
        <v>32</v>
      </c>
      <c r="O263" s="518">
        <v>55534.7</v>
      </c>
      <c r="P263" s="518">
        <v>256</v>
      </c>
      <c r="Q263" s="519"/>
      <c r="R263" s="516">
        <v>0</v>
      </c>
      <c r="S263" s="521">
        <v>0</v>
      </c>
      <c r="T263" s="521">
        <v>0</v>
      </c>
      <c r="U263" s="517"/>
      <c r="V263" s="342">
        <f t="shared" si="8"/>
        <v>32</v>
      </c>
      <c r="W263" s="518">
        <f t="shared" si="9"/>
        <v>55534.7</v>
      </c>
      <c r="X263" s="257"/>
    </row>
    <row r="264" spans="1:24" x14ac:dyDescent="0.25">
      <c r="A264">
        <v>259</v>
      </c>
      <c r="B264" t="s">
        <v>290</v>
      </c>
      <c r="C264" t="s">
        <v>15</v>
      </c>
      <c r="D264" t="s">
        <v>16</v>
      </c>
      <c r="F264" s="520">
        <v>5</v>
      </c>
      <c r="G264" s="521">
        <v>8287.6</v>
      </c>
      <c r="H264" s="521">
        <v>40</v>
      </c>
      <c r="I264" s="517"/>
      <c r="J264" s="520">
        <v>0</v>
      </c>
      <c r="K264" s="520">
        <v>0</v>
      </c>
      <c r="L264" s="520">
        <v>0</v>
      </c>
      <c r="M264" s="517"/>
      <c r="N264" s="542">
        <v>5</v>
      </c>
      <c r="O264" s="518">
        <v>8287.6</v>
      </c>
      <c r="P264" s="518">
        <v>40</v>
      </c>
      <c r="Q264" s="519"/>
      <c r="R264" s="516">
        <v>8</v>
      </c>
      <c r="S264" s="521">
        <v>238222.5</v>
      </c>
      <c r="T264" s="521">
        <v>0</v>
      </c>
      <c r="U264" s="517"/>
      <c r="V264" s="342">
        <f t="shared" si="8"/>
        <v>-3</v>
      </c>
      <c r="W264" s="518">
        <f t="shared" si="9"/>
        <v>-229934.9</v>
      </c>
      <c r="X264" s="257"/>
    </row>
    <row r="265" spans="1:24" x14ac:dyDescent="0.25">
      <c r="A265">
        <v>260</v>
      </c>
      <c r="B265" t="s">
        <v>3303</v>
      </c>
      <c r="C265" t="s">
        <v>136</v>
      </c>
      <c r="D265" t="s">
        <v>16</v>
      </c>
      <c r="F265" s="520">
        <v>0</v>
      </c>
      <c r="G265" s="521">
        <v>0</v>
      </c>
      <c r="H265" s="521">
        <v>0</v>
      </c>
      <c r="I265" s="517"/>
      <c r="J265" s="520">
        <v>0</v>
      </c>
      <c r="K265" s="520">
        <v>0</v>
      </c>
      <c r="L265" s="520">
        <v>0</v>
      </c>
      <c r="M265" s="517"/>
      <c r="N265" s="542">
        <v>0</v>
      </c>
      <c r="O265" s="518">
        <v>0</v>
      </c>
      <c r="P265" s="518">
        <v>0</v>
      </c>
      <c r="Q265" s="519"/>
      <c r="R265" s="520">
        <v>4</v>
      </c>
      <c r="S265" s="521">
        <v>330430</v>
      </c>
      <c r="T265" s="521">
        <v>0</v>
      </c>
      <c r="U265" s="517"/>
      <c r="V265" s="342">
        <f t="shared" si="8"/>
        <v>-4</v>
      </c>
      <c r="W265" s="518">
        <f t="shared" si="9"/>
        <v>-330430</v>
      </c>
      <c r="X265" s="257"/>
    </row>
    <row r="266" spans="1:24" x14ac:dyDescent="0.25">
      <c r="A266">
        <v>261</v>
      </c>
      <c r="B266" t="s">
        <v>291</v>
      </c>
      <c r="C266" t="s">
        <v>25</v>
      </c>
      <c r="D266" t="s">
        <v>16</v>
      </c>
      <c r="F266" s="520">
        <v>71</v>
      </c>
      <c r="G266" s="521">
        <v>69322.119999999981</v>
      </c>
      <c r="H266" s="521">
        <v>497</v>
      </c>
      <c r="I266" s="517"/>
      <c r="J266" s="520">
        <v>0</v>
      </c>
      <c r="K266" s="520">
        <v>0</v>
      </c>
      <c r="L266" s="520">
        <v>0</v>
      </c>
      <c r="M266" s="517"/>
      <c r="N266" s="542">
        <v>71</v>
      </c>
      <c r="O266" s="518">
        <v>69322.119999999981</v>
      </c>
      <c r="P266" s="518">
        <v>497</v>
      </c>
      <c r="Q266" s="519"/>
      <c r="R266" s="516">
        <v>3</v>
      </c>
      <c r="S266" s="521">
        <v>7700</v>
      </c>
      <c r="T266" s="521">
        <v>0</v>
      </c>
      <c r="U266" s="517"/>
      <c r="V266" s="342">
        <f t="shared" si="8"/>
        <v>68</v>
      </c>
      <c r="W266" s="518">
        <f t="shared" si="9"/>
        <v>61622.119999999981</v>
      </c>
      <c r="X266" s="257"/>
    </row>
    <row r="267" spans="1:24" x14ac:dyDescent="0.25">
      <c r="A267">
        <v>262</v>
      </c>
      <c r="B267" t="s">
        <v>3088</v>
      </c>
      <c r="C267" t="s">
        <v>255</v>
      </c>
      <c r="D267" t="s">
        <v>16</v>
      </c>
      <c r="F267" s="520">
        <v>35</v>
      </c>
      <c r="G267" s="521">
        <v>70087.820000000007</v>
      </c>
      <c r="H267" s="521">
        <v>350</v>
      </c>
      <c r="I267" s="517"/>
      <c r="J267" s="520">
        <v>0</v>
      </c>
      <c r="K267" s="520">
        <v>0</v>
      </c>
      <c r="L267" s="520">
        <v>0</v>
      </c>
      <c r="M267" s="517"/>
      <c r="N267" s="542">
        <v>35</v>
      </c>
      <c r="O267" s="518">
        <v>70087.820000000007</v>
      </c>
      <c r="P267" s="518">
        <v>350</v>
      </c>
      <c r="Q267" s="519"/>
      <c r="R267" s="516">
        <v>9</v>
      </c>
      <c r="S267" s="521">
        <v>25834.400000000001</v>
      </c>
      <c r="T267" s="521">
        <v>0</v>
      </c>
      <c r="U267" s="517"/>
      <c r="V267" s="342">
        <f t="shared" si="8"/>
        <v>26</v>
      </c>
      <c r="W267" s="518">
        <f t="shared" si="9"/>
        <v>44253.420000000006</v>
      </c>
      <c r="X267" s="257"/>
    </row>
    <row r="268" spans="1:24" x14ac:dyDescent="0.25">
      <c r="A268">
        <v>263</v>
      </c>
      <c r="B268" t="s">
        <v>292</v>
      </c>
      <c r="C268" t="s">
        <v>41</v>
      </c>
      <c r="D268" t="s">
        <v>16</v>
      </c>
      <c r="F268" s="520">
        <v>5</v>
      </c>
      <c r="G268" s="521">
        <v>10570</v>
      </c>
      <c r="H268" s="521">
        <v>75</v>
      </c>
      <c r="I268" s="517"/>
      <c r="J268" s="520">
        <v>0</v>
      </c>
      <c r="K268" s="520">
        <v>0</v>
      </c>
      <c r="L268" s="520">
        <v>0</v>
      </c>
      <c r="M268" s="517"/>
      <c r="N268" s="542">
        <v>5</v>
      </c>
      <c r="O268" s="518">
        <v>10570</v>
      </c>
      <c r="P268" s="518">
        <v>75</v>
      </c>
      <c r="Q268" s="519"/>
      <c r="R268" s="516">
        <v>51</v>
      </c>
      <c r="S268" s="521">
        <v>208156.2</v>
      </c>
      <c r="T268" s="521">
        <v>0</v>
      </c>
      <c r="U268" s="517"/>
      <c r="V268" s="342">
        <f t="shared" si="8"/>
        <v>-46</v>
      </c>
      <c r="W268" s="518">
        <f t="shared" si="9"/>
        <v>-197586.2</v>
      </c>
      <c r="X268" s="257"/>
    </row>
    <row r="269" spans="1:24" x14ac:dyDescent="0.25">
      <c r="A269">
        <v>264</v>
      </c>
      <c r="B269" t="s">
        <v>293</v>
      </c>
      <c r="C269" t="s">
        <v>294</v>
      </c>
      <c r="D269" t="s">
        <v>87</v>
      </c>
      <c r="F269" s="520">
        <v>0</v>
      </c>
      <c r="G269" s="521">
        <v>0</v>
      </c>
      <c r="H269" s="521">
        <v>0</v>
      </c>
      <c r="I269" s="517"/>
      <c r="J269" s="520">
        <v>0</v>
      </c>
      <c r="K269" s="520">
        <v>0</v>
      </c>
      <c r="L269" s="520">
        <v>0</v>
      </c>
      <c r="M269" s="517"/>
      <c r="N269" s="542">
        <v>0</v>
      </c>
      <c r="O269" s="518">
        <v>0</v>
      </c>
      <c r="P269" s="518">
        <v>0</v>
      </c>
      <c r="Q269" s="519"/>
      <c r="R269" s="516">
        <v>10</v>
      </c>
      <c r="S269" s="521">
        <v>49941.3</v>
      </c>
      <c r="T269" s="521">
        <v>0</v>
      </c>
      <c r="U269" s="517"/>
      <c r="V269" s="342">
        <f t="shared" si="8"/>
        <v>-10</v>
      </c>
      <c r="W269" s="518">
        <f t="shared" si="9"/>
        <v>-49941.3</v>
      </c>
      <c r="X269" s="257"/>
    </row>
    <row r="270" spans="1:24" x14ac:dyDescent="0.25">
      <c r="A270">
        <v>265</v>
      </c>
      <c r="B270" t="s">
        <v>295</v>
      </c>
      <c r="C270" t="s">
        <v>158</v>
      </c>
      <c r="D270" t="s">
        <v>16</v>
      </c>
      <c r="F270" s="520">
        <v>1</v>
      </c>
      <c r="G270" s="521">
        <v>17333</v>
      </c>
      <c r="H270" s="521">
        <v>40</v>
      </c>
      <c r="I270" s="517"/>
      <c r="J270" s="520">
        <v>0</v>
      </c>
      <c r="K270" s="520">
        <v>0</v>
      </c>
      <c r="L270" s="520">
        <v>0</v>
      </c>
      <c r="M270" s="517"/>
      <c r="N270" s="542">
        <v>1</v>
      </c>
      <c r="O270" s="518">
        <v>17333</v>
      </c>
      <c r="P270" s="518">
        <v>40</v>
      </c>
      <c r="Q270" s="519"/>
      <c r="R270" s="516">
        <v>0</v>
      </c>
      <c r="S270" s="521">
        <v>0</v>
      </c>
      <c r="T270" s="521">
        <v>0</v>
      </c>
      <c r="U270" s="517"/>
      <c r="V270" s="342">
        <f t="shared" si="8"/>
        <v>1</v>
      </c>
      <c r="W270" s="518">
        <f t="shared" si="9"/>
        <v>17333</v>
      </c>
      <c r="X270" s="257"/>
    </row>
    <row r="271" spans="1:24" x14ac:dyDescent="0.25">
      <c r="A271">
        <v>266</v>
      </c>
      <c r="B271" t="s">
        <v>296</v>
      </c>
      <c r="C271" t="s">
        <v>15</v>
      </c>
      <c r="D271" t="s">
        <v>43</v>
      </c>
      <c r="F271" s="520">
        <v>221</v>
      </c>
      <c r="G271" s="521">
        <v>357674.73</v>
      </c>
      <c r="H271" s="521">
        <v>2210</v>
      </c>
      <c r="I271" s="517"/>
      <c r="J271" s="520">
        <v>0</v>
      </c>
      <c r="K271" s="520">
        <v>0</v>
      </c>
      <c r="L271" s="520">
        <v>0</v>
      </c>
      <c r="M271" s="517"/>
      <c r="N271" s="542">
        <v>221</v>
      </c>
      <c r="O271" s="518">
        <v>357674.73</v>
      </c>
      <c r="P271" s="518">
        <v>2210</v>
      </c>
      <c r="Q271" s="519"/>
      <c r="R271" s="516">
        <v>79</v>
      </c>
      <c r="S271" s="521">
        <v>98368.15</v>
      </c>
      <c r="T271" s="521">
        <v>0</v>
      </c>
      <c r="U271" s="517"/>
      <c r="V271" s="342">
        <f t="shared" si="8"/>
        <v>142</v>
      </c>
      <c r="W271" s="518">
        <f t="shared" si="9"/>
        <v>259306.58</v>
      </c>
      <c r="X271" s="257"/>
    </row>
    <row r="272" spans="1:24" x14ac:dyDescent="0.25">
      <c r="A272">
        <v>267</v>
      </c>
      <c r="B272" t="s">
        <v>297</v>
      </c>
      <c r="C272" t="s">
        <v>24</v>
      </c>
      <c r="D272" t="s">
        <v>16</v>
      </c>
      <c r="F272" s="520">
        <v>1</v>
      </c>
      <c r="G272" s="521">
        <v>13685</v>
      </c>
      <c r="H272" s="521">
        <v>40</v>
      </c>
      <c r="I272" s="517"/>
      <c r="J272" s="520">
        <v>0</v>
      </c>
      <c r="K272" s="520">
        <v>0</v>
      </c>
      <c r="L272" s="520">
        <v>0</v>
      </c>
      <c r="M272" s="517"/>
      <c r="N272" s="542">
        <v>1</v>
      </c>
      <c r="O272" s="518">
        <v>13685</v>
      </c>
      <c r="P272" s="518">
        <v>40</v>
      </c>
      <c r="Q272" s="519"/>
      <c r="R272" s="516">
        <v>2</v>
      </c>
      <c r="S272" s="521">
        <v>2880</v>
      </c>
      <c r="T272" s="521">
        <v>0</v>
      </c>
      <c r="U272" s="517"/>
      <c r="V272" s="342">
        <f t="shared" si="8"/>
        <v>-1</v>
      </c>
      <c r="W272" s="518">
        <f t="shared" si="9"/>
        <v>10805</v>
      </c>
      <c r="X272" s="257"/>
    </row>
    <row r="273" spans="1:24" x14ac:dyDescent="0.25">
      <c r="A273">
        <v>268</v>
      </c>
      <c r="B273" t="s">
        <v>298</v>
      </c>
      <c r="C273" t="s">
        <v>24</v>
      </c>
      <c r="D273" t="s">
        <v>16</v>
      </c>
      <c r="F273" s="520">
        <v>2</v>
      </c>
      <c r="G273" s="521">
        <v>4120.51</v>
      </c>
      <c r="H273" s="521">
        <v>80</v>
      </c>
      <c r="I273" s="517"/>
      <c r="J273" s="520">
        <v>0</v>
      </c>
      <c r="K273" s="520">
        <v>0</v>
      </c>
      <c r="L273" s="520">
        <v>0</v>
      </c>
      <c r="M273" s="517"/>
      <c r="N273" s="542">
        <v>2</v>
      </c>
      <c r="O273" s="518">
        <v>4120.51</v>
      </c>
      <c r="P273" s="518">
        <v>80</v>
      </c>
      <c r="Q273" s="519"/>
      <c r="R273" s="516">
        <v>0</v>
      </c>
      <c r="S273" s="521">
        <v>0</v>
      </c>
      <c r="T273" s="521">
        <v>0</v>
      </c>
      <c r="U273" s="517"/>
      <c r="V273" s="342">
        <f t="shared" si="8"/>
        <v>2</v>
      </c>
      <c r="W273" s="518">
        <f t="shared" si="9"/>
        <v>4120.51</v>
      </c>
      <c r="X273" s="257"/>
    </row>
    <row r="274" spans="1:24" x14ac:dyDescent="0.25">
      <c r="A274">
        <v>269</v>
      </c>
      <c r="B274" t="s">
        <v>299</v>
      </c>
      <c r="C274" t="s">
        <v>24</v>
      </c>
      <c r="D274" t="s">
        <v>16</v>
      </c>
      <c r="F274" s="520">
        <v>15</v>
      </c>
      <c r="G274" s="521">
        <v>1389420.5</v>
      </c>
      <c r="H274" s="521">
        <v>1400</v>
      </c>
      <c r="I274" s="517"/>
      <c r="J274" s="520">
        <v>0</v>
      </c>
      <c r="K274" s="520">
        <v>0</v>
      </c>
      <c r="L274" s="520">
        <v>0</v>
      </c>
      <c r="M274" s="517"/>
      <c r="N274" s="542">
        <v>15</v>
      </c>
      <c r="O274" s="518">
        <v>1389420.5</v>
      </c>
      <c r="P274" s="518">
        <v>1400</v>
      </c>
      <c r="Q274" s="519"/>
      <c r="R274" s="516">
        <v>0</v>
      </c>
      <c r="S274" s="521">
        <v>0</v>
      </c>
      <c r="T274" s="521">
        <v>0</v>
      </c>
      <c r="U274" s="517"/>
      <c r="V274" s="342">
        <f t="shared" si="8"/>
        <v>15</v>
      </c>
      <c r="W274" s="518">
        <f t="shared" si="9"/>
        <v>1389420.5</v>
      </c>
      <c r="X274" s="257"/>
    </row>
    <row r="275" spans="1:24" x14ac:dyDescent="0.25">
      <c r="A275">
        <v>270</v>
      </c>
      <c r="B275" t="s">
        <v>300</v>
      </c>
      <c r="C275" t="s">
        <v>24</v>
      </c>
      <c r="D275" t="s">
        <v>16</v>
      </c>
      <c r="F275" s="520">
        <v>0</v>
      </c>
      <c r="G275" s="521">
        <v>0</v>
      </c>
      <c r="H275" s="521">
        <v>0</v>
      </c>
      <c r="I275" s="517"/>
      <c r="J275" s="520">
        <v>0</v>
      </c>
      <c r="K275" s="520">
        <v>0</v>
      </c>
      <c r="L275" s="520">
        <v>0</v>
      </c>
      <c r="M275" s="517"/>
      <c r="N275" s="542">
        <v>0</v>
      </c>
      <c r="O275" s="518">
        <v>0</v>
      </c>
      <c r="P275" s="518">
        <v>0</v>
      </c>
      <c r="Q275" s="519"/>
      <c r="R275" s="520">
        <v>381</v>
      </c>
      <c r="S275" s="521">
        <v>709995.19</v>
      </c>
      <c r="T275" s="521">
        <v>0</v>
      </c>
      <c r="U275" s="517"/>
      <c r="V275" s="342">
        <f t="shared" si="8"/>
        <v>-381</v>
      </c>
      <c r="W275" s="518">
        <f t="shared" si="9"/>
        <v>-709995.19</v>
      </c>
      <c r="X275" s="257"/>
    </row>
    <row r="276" spans="1:24" x14ac:dyDescent="0.25">
      <c r="A276">
        <v>271</v>
      </c>
      <c r="B276" t="s">
        <v>301</v>
      </c>
      <c r="C276" t="s">
        <v>24</v>
      </c>
      <c r="D276" t="s">
        <v>16</v>
      </c>
      <c r="F276" s="520">
        <v>0</v>
      </c>
      <c r="G276" s="521">
        <v>0</v>
      </c>
      <c r="H276" s="521">
        <v>0</v>
      </c>
      <c r="I276" s="517"/>
      <c r="J276" s="520">
        <v>0</v>
      </c>
      <c r="K276" s="520">
        <v>0</v>
      </c>
      <c r="L276" s="520">
        <v>0</v>
      </c>
      <c r="M276" s="517"/>
      <c r="N276" s="542">
        <v>0</v>
      </c>
      <c r="O276" s="518">
        <v>0</v>
      </c>
      <c r="P276" s="518">
        <v>0</v>
      </c>
      <c r="Q276" s="519"/>
      <c r="R276" s="516">
        <v>37</v>
      </c>
      <c r="S276" s="521">
        <v>60965.8</v>
      </c>
      <c r="T276" s="521">
        <v>0</v>
      </c>
      <c r="U276" s="517"/>
      <c r="V276" s="342">
        <f t="shared" si="8"/>
        <v>-37</v>
      </c>
      <c r="W276" s="518">
        <f t="shared" si="9"/>
        <v>-60965.8</v>
      </c>
      <c r="X276" s="257"/>
    </row>
    <row r="277" spans="1:24" x14ac:dyDescent="0.25">
      <c r="A277">
        <v>272</v>
      </c>
      <c r="B277" t="s">
        <v>302</v>
      </c>
      <c r="C277" t="s">
        <v>24</v>
      </c>
      <c r="D277" t="s">
        <v>16</v>
      </c>
      <c r="F277" s="520">
        <v>0</v>
      </c>
      <c r="G277" s="521">
        <v>0</v>
      </c>
      <c r="H277" s="521">
        <v>0</v>
      </c>
      <c r="I277" s="517"/>
      <c r="J277" s="520">
        <v>0</v>
      </c>
      <c r="K277" s="520">
        <v>0</v>
      </c>
      <c r="L277" s="520">
        <v>0</v>
      </c>
      <c r="M277" s="517"/>
      <c r="N277" s="542">
        <v>0</v>
      </c>
      <c r="O277" s="518">
        <v>0</v>
      </c>
      <c r="P277" s="518">
        <v>0</v>
      </c>
      <c r="Q277" s="519"/>
      <c r="R277" s="516">
        <v>2</v>
      </c>
      <c r="S277" s="521">
        <v>82730.5</v>
      </c>
      <c r="T277" s="521">
        <v>0</v>
      </c>
      <c r="U277" s="517"/>
      <c r="V277" s="342">
        <f t="shared" si="8"/>
        <v>-2</v>
      </c>
      <c r="W277" s="518">
        <f t="shared" si="9"/>
        <v>-82730.5</v>
      </c>
      <c r="X277" s="257"/>
    </row>
    <row r="278" spans="1:24" x14ac:dyDescent="0.25">
      <c r="A278">
        <v>273</v>
      </c>
      <c r="B278" t="s">
        <v>303</v>
      </c>
      <c r="C278" t="s">
        <v>24</v>
      </c>
      <c r="D278" t="s">
        <v>16</v>
      </c>
      <c r="F278" s="520">
        <v>0</v>
      </c>
      <c r="G278" s="521">
        <v>0</v>
      </c>
      <c r="H278" s="521">
        <v>0</v>
      </c>
      <c r="I278" s="517"/>
      <c r="J278" s="520">
        <v>0</v>
      </c>
      <c r="K278" s="520">
        <v>0</v>
      </c>
      <c r="L278" s="520">
        <v>0</v>
      </c>
      <c r="M278" s="517"/>
      <c r="N278" s="542">
        <v>0</v>
      </c>
      <c r="O278" s="518">
        <v>0</v>
      </c>
      <c r="P278" s="518">
        <v>0</v>
      </c>
      <c r="Q278" s="519"/>
      <c r="R278" s="516">
        <v>0</v>
      </c>
      <c r="S278" s="521">
        <v>0</v>
      </c>
      <c r="T278" s="521">
        <v>0</v>
      </c>
      <c r="U278" s="517"/>
      <c r="V278" s="342">
        <f t="shared" si="8"/>
        <v>0</v>
      </c>
      <c r="W278" s="518">
        <f t="shared" si="9"/>
        <v>0</v>
      </c>
      <c r="X278" s="257"/>
    </row>
    <row r="279" spans="1:24" x14ac:dyDescent="0.25">
      <c r="A279">
        <v>274</v>
      </c>
      <c r="B279" t="s">
        <v>304</v>
      </c>
      <c r="C279" t="s">
        <v>24</v>
      </c>
      <c r="D279" t="s">
        <v>16</v>
      </c>
      <c r="F279" s="520">
        <v>0</v>
      </c>
      <c r="G279" s="521">
        <v>0</v>
      </c>
      <c r="H279" s="521">
        <v>0</v>
      </c>
      <c r="I279" s="517"/>
      <c r="J279" s="520">
        <v>0</v>
      </c>
      <c r="K279" s="520">
        <v>0</v>
      </c>
      <c r="L279" s="520">
        <v>0</v>
      </c>
      <c r="M279" s="517"/>
      <c r="N279" s="542">
        <v>0</v>
      </c>
      <c r="O279" s="518">
        <v>0</v>
      </c>
      <c r="P279" s="518">
        <v>0</v>
      </c>
      <c r="Q279" s="519"/>
      <c r="R279" s="516">
        <v>20</v>
      </c>
      <c r="S279" s="521">
        <v>1263755.22</v>
      </c>
      <c r="T279" s="521">
        <v>0</v>
      </c>
      <c r="U279" s="517"/>
      <c r="V279" s="342">
        <f t="shared" si="8"/>
        <v>-20</v>
      </c>
      <c r="W279" s="518">
        <f t="shared" si="9"/>
        <v>-1263755.22</v>
      </c>
      <c r="X279" s="257"/>
    </row>
    <row r="280" spans="1:24" x14ac:dyDescent="0.25">
      <c r="A280">
        <v>275</v>
      </c>
      <c r="B280" t="s">
        <v>305</v>
      </c>
      <c r="C280" t="s">
        <v>24</v>
      </c>
      <c r="D280" t="s">
        <v>16</v>
      </c>
      <c r="F280" s="520">
        <v>0</v>
      </c>
      <c r="G280" s="521">
        <v>0</v>
      </c>
      <c r="H280" s="521">
        <v>0</v>
      </c>
      <c r="I280" s="517"/>
      <c r="J280" s="520">
        <v>0</v>
      </c>
      <c r="K280" s="520">
        <v>0</v>
      </c>
      <c r="L280" s="520">
        <v>0</v>
      </c>
      <c r="M280" s="517"/>
      <c r="N280" s="542">
        <v>0</v>
      </c>
      <c r="O280" s="518">
        <v>0</v>
      </c>
      <c r="P280" s="518">
        <v>0</v>
      </c>
      <c r="Q280" s="519"/>
      <c r="R280" s="516">
        <v>0</v>
      </c>
      <c r="S280" s="521">
        <v>0</v>
      </c>
      <c r="T280" s="521">
        <v>0</v>
      </c>
      <c r="U280" s="517"/>
      <c r="V280" s="342">
        <f t="shared" si="8"/>
        <v>0</v>
      </c>
      <c r="W280" s="518">
        <f t="shared" si="9"/>
        <v>0</v>
      </c>
      <c r="X280" s="257"/>
    </row>
    <row r="281" spans="1:24" x14ac:dyDescent="0.25">
      <c r="A281">
        <v>276</v>
      </c>
      <c r="B281" t="s">
        <v>306</v>
      </c>
      <c r="C281" t="s">
        <v>24</v>
      </c>
      <c r="D281" t="s">
        <v>16</v>
      </c>
      <c r="F281" s="520">
        <v>0</v>
      </c>
      <c r="G281" s="521">
        <v>0</v>
      </c>
      <c r="H281" s="521">
        <v>0</v>
      </c>
      <c r="I281" s="517"/>
      <c r="J281" s="520">
        <v>0</v>
      </c>
      <c r="K281" s="520">
        <v>0</v>
      </c>
      <c r="L281" s="520">
        <v>0</v>
      </c>
      <c r="M281" s="517"/>
      <c r="N281" s="542">
        <v>0</v>
      </c>
      <c r="O281" s="518">
        <v>0</v>
      </c>
      <c r="P281" s="518">
        <v>0</v>
      </c>
      <c r="Q281" s="519"/>
      <c r="R281" s="516">
        <v>1</v>
      </c>
      <c r="S281" s="521">
        <v>49363.49</v>
      </c>
      <c r="T281" s="521">
        <v>0</v>
      </c>
      <c r="U281" s="517"/>
      <c r="V281" s="342">
        <f t="shared" si="8"/>
        <v>-1</v>
      </c>
      <c r="W281" s="518">
        <f t="shared" si="9"/>
        <v>-49363.49</v>
      </c>
      <c r="X281" s="257"/>
    </row>
    <row r="282" spans="1:24" x14ac:dyDescent="0.25">
      <c r="A282">
        <v>277</v>
      </c>
      <c r="B282" t="s">
        <v>307</v>
      </c>
      <c r="C282" t="s">
        <v>24</v>
      </c>
      <c r="D282" t="s">
        <v>16</v>
      </c>
      <c r="F282" s="520">
        <v>0</v>
      </c>
      <c r="G282" s="521">
        <v>0</v>
      </c>
      <c r="H282" s="521">
        <v>0</v>
      </c>
      <c r="I282" s="517"/>
      <c r="J282" s="520">
        <v>0</v>
      </c>
      <c r="K282" s="520">
        <v>0</v>
      </c>
      <c r="L282" s="520">
        <v>0</v>
      </c>
      <c r="M282" s="517"/>
      <c r="N282" s="542">
        <v>0</v>
      </c>
      <c r="O282" s="518">
        <v>0</v>
      </c>
      <c r="P282" s="518">
        <v>0</v>
      </c>
      <c r="Q282" s="519"/>
      <c r="R282" s="516">
        <v>0</v>
      </c>
      <c r="S282" s="521">
        <v>0</v>
      </c>
      <c r="T282" s="521">
        <v>0</v>
      </c>
      <c r="U282" s="517"/>
      <c r="V282" s="342">
        <f t="shared" si="8"/>
        <v>0</v>
      </c>
      <c r="W282" s="518">
        <f t="shared" si="9"/>
        <v>0</v>
      </c>
      <c r="X282" s="257"/>
    </row>
    <row r="283" spans="1:24" x14ac:dyDescent="0.25">
      <c r="A283">
        <v>278</v>
      </c>
      <c r="B283" t="s">
        <v>308</v>
      </c>
      <c r="C283" t="s">
        <v>255</v>
      </c>
      <c r="D283" t="s">
        <v>16</v>
      </c>
      <c r="F283" s="520">
        <v>0</v>
      </c>
      <c r="G283" s="521">
        <v>0</v>
      </c>
      <c r="H283" s="521">
        <v>0</v>
      </c>
      <c r="I283" s="517"/>
      <c r="J283" s="520">
        <v>0</v>
      </c>
      <c r="K283" s="520">
        <v>0</v>
      </c>
      <c r="L283" s="520">
        <v>0</v>
      </c>
      <c r="M283" s="517"/>
      <c r="N283" s="542">
        <v>0</v>
      </c>
      <c r="O283" s="518">
        <v>0</v>
      </c>
      <c r="P283" s="518">
        <v>0</v>
      </c>
      <c r="Q283" s="519"/>
      <c r="R283" s="516">
        <v>0</v>
      </c>
      <c r="S283" s="521">
        <v>0</v>
      </c>
      <c r="T283" s="521">
        <v>0</v>
      </c>
      <c r="U283" s="517"/>
      <c r="V283" s="342">
        <f t="shared" si="8"/>
        <v>0</v>
      </c>
      <c r="W283" s="518">
        <f t="shared" si="9"/>
        <v>0</v>
      </c>
      <c r="X283" s="257"/>
    </row>
    <row r="284" spans="1:24" x14ac:dyDescent="0.25">
      <c r="A284">
        <v>279</v>
      </c>
      <c r="B284" t="s">
        <v>309</v>
      </c>
      <c r="C284" t="s">
        <v>18</v>
      </c>
      <c r="D284" t="s">
        <v>20</v>
      </c>
      <c r="F284" s="520">
        <v>2</v>
      </c>
      <c r="G284" s="521">
        <v>3105</v>
      </c>
      <c r="H284" s="521">
        <v>50</v>
      </c>
      <c r="I284" s="517"/>
      <c r="J284" s="520">
        <v>0</v>
      </c>
      <c r="K284" s="520">
        <v>0</v>
      </c>
      <c r="L284" s="520">
        <v>0</v>
      </c>
      <c r="M284" s="517"/>
      <c r="N284" s="542">
        <v>2</v>
      </c>
      <c r="O284" s="518">
        <v>3105</v>
      </c>
      <c r="P284" s="518">
        <v>50</v>
      </c>
      <c r="Q284" s="519"/>
      <c r="R284" s="516">
        <v>0</v>
      </c>
      <c r="S284" s="521">
        <v>0</v>
      </c>
      <c r="T284" s="521">
        <v>0</v>
      </c>
      <c r="U284" s="517"/>
      <c r="V284" s="342">
        <f t="shared" si="8"/>
        <v>2</v>
      </c>
      <c r="W284" s="518">
        <f t="shared" si="9"/>
        <v>3105</v>
      </c>
      <c r="X284" s="257"/>
    </row>
    <row r="285" spans="1:24" x14ac:dyDescent="0.25">
      <c r="A285">
        <v>280</v>
      </c>
      <c r="B285" t="s">
        <v>311</v>
      </c>
      <c r="C285" t="s">
        <v>18</v>
      </c>
      <c r="D285" t="s">
        <v>16</v>
      </c>
      <c r="F285" s="520">
        <v>0</v>
      </c>
      <c r="G285" s="521">
        <v>0</v>
      </c>
      <c r="H285" s="521">
        <v>0</v>
      </c>
      <c r="I285" s="517"/>
      <c r="J285" s="520">
        <v>0</v>
      </c>
      <c r="K285" s="520">
        <v>0</v>
      </c>
      <c r="L285" s="520">
        <v>0</v>
      </c>
      <c r="M285" s="517"/>
      <c r="N285" s="542">
        <v>0</v>
      </c>
      <c r="O285" s="518">
        <v>0</v>
      </c>
      <c r="P285" s="518">
        <v>0</v>
      </c>
      <c r="Q285" s="519"/>
      <c r="R285" s="516">
        <v>0</v>
      </c>
      <c r="S285" s="521">
        <v>0</v>
      </c>
      <c r="T285" s="521">
        <v>0</v>
      </c>
      <c r="U285" s="517"/>
      <c r="V285" s="342">
        <f t="shared" si="8"/>
        <v>0</v>
      </c>
      <c r="W285" s="518">
        <f t="shared" si="9"/>
        <v>0</v>
      </c>
      <c r="X285" s="257"/>
    </row>
    <row r="286" spans="1:24" x14ac:dyDescent="0.25">
      <c r="A286">
        <v>281</v>
      </c>
      <c r="B286" t="s">
        <v>310</v>
      </c>
      <c r="C286" t="s">
        <v>18</v>
      </c>
      <c r="D286" t="s">
        <v>16</v>
      </c>
      <c r="F286" s="520">
        <v>0</v>
      </c>
      <c r="G286" s="521">
        <v>0</v>
      </c>
      <c r="H286" s="521">
        <v>0</v>
      </c>
      <c r="I286" s="517"/>
      <c r="J286" s="520">
        <v>0</v>
      </c>
      <c r="K286" s="520">
        <v>0</v>
      </c>
      <c r="L286" s="520">
        <v>0</v>
      </c>
      <c r="M286" s="517"/>
      <c r="N286" s="542">
        <v>0</v>
      </c>
      <c r="O286" s="518">
        <v>0</v>
      </c>
      <c r="P286" s="518">
        <v>0</v>
      </c>
      <c r="Q286" s="519"/>
      <c r="R286" s="516">
        <v>0</v>
      </c>
      <c r="S286" s="521">
        <v>0</v>
      </c>
      <c r="T286" s="521">
        <v>0</v>
      </c>
      <c r="U286" s="517"/>
      <c r="V286" s="342">
        <f t="shared" si="8"/>
        <v>0</v>
      </c>
      <c r="W286" s="518">
        <f t="shared" si="9"/>
        <v>0</v>
      </c>
      <c r="X286" s="257"/>
    </row>
    <row r="287" spans="1:24" x14ac:dyDescent="0.25">
      <c r="A287">
        <v>282</v>
      </c>
      <c r="B287" t="s">
        <v>312</v>
      </c>
      <c r="C287" t="s">
        <v>313</v>
      </c>
      <c r="D287" t="s">
        <v>16</v>
      </c>
      <c r="F287" s="520">
        <v>0</v>
      </c>
      <c r="G287" s="521">
        <v>0</v>
      </c>
      <c r="H287" s="521">
        <v>0</v>
      </c>
      <c r="I287" s="517"/>
      <c r="J287" s="520">
        <v>0</v>
      </c>
      <c r="K287" s="520">
        <v>0</v>
      </c>
      <c r="L287" s="520">
        <v>0</v>
      </c>
      <c r="M287" s="517"/>
      <c r="N287" s="542">
        <v>0</v>
      </c>
      <c r="O287" s="518">
        <v>0</v>
      </c>
      <c r="P287" s="518">
        <v>0</v>
      </c>
      <c r="Q287" s="519"/>
      <c r="R287" s="516">
        <v>0</v>
      </c>
      <c r="S287" s="521">
        <v>0</v>
      </c>
      <c r="T287" s="521">
        <v>0</v>
      </c>
      <c r="U287" s="517"/>
      <c r="V287" s="342">
        <f t="shared" si="8"/>
        <v>0</v>
      </c>
      <c r="W287" s="518">
        <f t="shared" si="9"/>
        <v>0</v>
      </c>
      <c r="X287" s="257"/>
    </row>
    <row r="288" spans="1:24" x14ac:dyDescent="0.25">
      <c r="A288">
        <v>283</v>
      </c>
      <c r="B288" t="s">
        <v>314</v>
      </c>
      <c r="C288" t="s">
        <v>15</v>
      </c>
      <c r="D288" t="s">
        <v>20</v>
      </c>
      <c r="F288" s="520">
        <v>0</v>
      </c>
      <c r="G288" s="521">
        <v>0</v>
      </c>
      <c r="H288" s="521">
        <v>0</v>
      </c>
      <c r="I288" s="517"/>
      <c r="J288" s="520">
        <v>0</v>
      </c>
      <c r="K288" s="520">
        <v>0</v>
      </c>
      <c r="L288" s="520">
        <v>0</v>
      </c>
      <c r="M288" s="517"/>
      <c r="N288" s="542">
        <v>0</v>
      </c>
      <c r="O288" s="518">
        <v>0</v>
      </c>
      <c r="P288" s="518">
        <v>0</v>
      </c>
      <c r="Q288" s="519"/>
      <c r="R288" s="516">
        <v>15</v>
      </c>
      <c r="S288" s="521">
        <v>8432</v>
      </c>
      <c r="T288" s="521">
        <v>0</v>
      </c>
      <c r="U288" s="517"/>
      <c r="V288" s="342">
        <f t="shared" si="8"/>
        <v>-15</v>
      </c>
      <c r="W288" s="518">
        <f t="shared" si="9"/>
        <v>-8432</v>
      </c>
      <c r="X288" s="257"/>
    </row>
    <row r="289" spans="1:24" x14ac:dyDescent="0.25">
      <c r="A289">
        <v>284</v>
      </c>
      <c r="B289" t="s">
        <v>315</v>
      </c>
      <c r="C289" t="s">
        <v>15</v>
      </c>
      <c r="D289" t="s">
        <v>16</v>
      </c>
      <c r="F289" s="520">
        <v>1</v>
      </c>
      <c r="G289" s="521">
        <v>13357</v>
      </c>
      <c r="H289" s="521">
        <v>25</v>
      </c>
      <c r="I289" s="517"/>
      <c r="J289" s="520">
        <v>0</v>
      </c>
      <c r="K289" s="520">
        <v>0</v>
      </c>
      <c r="L289" s="520">
        <v>0</v>
      </c>
      <c r="M289" s="517"/>
      <c r="N289" s="542">
        <v>1</v>
      </c>
      <c r="O289" s="518">
        <v>13357</v>
      </c>
      <c r="P289" s="518">
        <v>25</v>
      </c>
      <c r="Q289" s="519"/>
      <c r="R289" s="516">
        <v>37</v>
      </c>
      <c r="S289" s="521">
        <v>145040</v>
      </c>
      <c r="T289" s="521">
        <v>925</v>
      </c>
      <c r="U289" s="517"/>
      <c r="V289" s="342">
        <f t="shared" si="8"/>
        <v>-36</v>
      </c>
      <c r="W289" s="518">
        <f t="shared" si="9"/>
        <v>-132608</v>
      </c>
      <c r="X289" s="257"/>
    </row>
    <row r="290" spans="1:24" x14ac:dyDescent="0.25">
      <c r="A290">
        <v>285</v>
      </c>
      <c r="B290" t="s">
        <v>316</v>
      </c>
      <c r="C290" t="s">
        <v>18</v>
      </c>
      <c r="D290" t="s">
        <v>16</v>
      </c>
      <c r="F290" s="520">
        <v>0</v>
      </c>
      <c r="G290" s="521">
        <v>0</v>
      </c>
      <c r="H290" s="521">
        <v>0</v>
      </c>
      <c r="I290" s="517"/>
      <c r="J290" s="520">
        <v>0</v>
      </c>
      <c r="K290" s="520">
        <v>0</v>
      </c>
      <c r="L290" s="520">
        <v>0</v>
      </c>
      <c r="M290" s="517"/>
      <c r="N290" s="542">
        <v>0</v>
      </c>
      <c r="O290" s="518">
        <v>0</v>
      </c>
      <c r="P290" s="518">
        <v>0</v>
      </c>
      <c r="Q290" s="519"/>
      <c r="R290" s="516">
        <v>0</v>
      </c>
      <c r="S290" s="521">
        <v>0</v>
      </c>
      <c r="T290" s="521">
        <v>0</v>
      </c>
      <c r="U290" s="517"/>
      <c r="V290" s="342">
        <f t="shared" si="8"/>
        <v>0</v>
      </c>
      <c r="W290" s="518">
        <f t="shared" si="9"/>
        <v>0</v>
      </c>
      <c r="X290" s="257"/>
    </row>
    <row r="291" spans="1:24" x14ac:dyDescent="0.25">
      <c r="A291">
        <v>286</v>
      </c>
      <c r="B291" t="s">
        <v>317</v>
      </c>
      <c r="C291" t="s">
        <v>148</v>
      </c>
      <c r="D291" t="s">
        <v>16</v>
      </c>
      <c r="F291" s="520">
        <v>0</v>
      </c>
      <c r="G291" s="521">
        <v>0</v>
      </c>
      <c r="H291" s="521">
        <v>0</v>
      </c>
      <c r="I291" s="517"/>
      <c r="J291" s="520">
        <v>0</v>
      </c>
      <c r="K291" s="520">
        <v>0</v>
      </c>
      <c r="L291" s="520">
        <v>0</v>
      </c>
      <c r="M291" s="517"/>
      <c r="N291" s="542">
        <v>0</v>
      </c>
      <c r="O291" s="518">
        <v>0</v>
      </c>
      <c r="P291" s="518">
        <v>0</v>
      </c>
      <c r="Q291" s="519"/>
      <c r="R291" s="516">
        <v>0</v>
      </c>
      <c r="S291" s="521">
        <v>0</v>
      </c>
      <c r="T291" s="521">
        <v>0</v>
      </c>
      <c r="U291" s="517"/>
      <c r="V291" s="342">
        <f t="shared" si="8"/>
        <v>0</v>
      </c>
      <c r="W291" s="518">
        <f t="shared" si="9"/>
        <v>0</v>
      </c>
      <c r="X291" s="257"/>
    </row>
    <row r="292" spans="1:24" x14ac:dyDescent="0.25">
      <c r="A292">
        <v>287</v>
      </c>
      <c r="B292" t="s">
        <v>318</v>
      </c>
      <c r="C292" t="s">
        <v>18</v>
      </c>
      <c r="D292" t="s">
        <v>16</v>
      </c>
      <c r="F292" s="520">
        <v>0</v>
      </c>
      <c r="G292" s="521">
        <v>0</v>
      </c>
      <c r="H292" s="521">
        <v>0</v>
      </c>
      <c r="I292" s="517"/>
      <c r="J292" s="520">
        <v>0</v>
      </c>
      <c r="K292" s="520">
        <v>0</v>
      </c>
      <c r="L292" s="520">
        <v>0</v>
      </c>
      <c r="M292" s="517"/>
      <c r="N292" s="542">
        <v>0</v>
      </c>
      <c r="O292" s="518">
        <v>0</v>
      </c>
      <c r="P292" s="518">
        <v>0</v>
      </c>
      <c r="Q292" s="519"/>
      <c r="R292" s="516">
        <v>0</v>
      </c>
      <c r="S292" s="521">
        <v>0</v>
      </c>
      <c r="T292" s="521">
        <v>0</v>
      </c>
      <c r="U292" s="517"/>
      <c r="V292" s="342">
        <f t="shared" si="8"/>
        <v>0</v>
      </c>
      <c r="W292" s="518">
        <f t="shared" si="9"/>
        <v>0</v>
      </c>
      <c r="X292" s="257"/>
    </row>
    <row r="293" spans="1:24" x14ac:dyDescent="0.25">
      <c r="A293">
        <v>288</v>
      </c>
      <c r="B293" t="s">
        <v>319</v>
      </c>
      <c r="C293" t="s">
        <v>18</v>
      </c>
      <c r="D293" t="s">
        <v>20</v>
      </c>
      <c r="F293" s="520">
        <v>0</v>
      </c>
      <c r="G293" s="521">
        <v>0</v>
      </c>
      <c r="H293" s="521">
        <v>0</v>
      </c>
      <c r="I293" s="517"/>
      <c r="J293" s="520">
        <v>0</v>
      </c>
      <c r="K293" s="520">
        <v>0</v>
      </c>
      <c r="L293" s="520">
        <v>0</v>
      </c>
      <c r="M293" s="517"/>
      <c r="N293" s="542">
        <v>0</v>
      </c>
      <c r="O293" s="518">
        <v>0</v>
      </c>
      <c r="P293" s="518">
        <v>0</v>
      </c>
      <c r="Q293" s="519"/>
      <c r="R293" s="516">
        <v>0</v>
      </c>
      <c r="S293" s="521">
        <v>0</v>
      </c>
      <c r="T293" s="521">
        <v>0</v>
      </c>
      <c r="U293" s="517"/>
      <c r="V293" s="342">
        <f t="shared" si="8"/>
        <v>0</v>
      </c>
      <c r="W293" s="518">
        <f t="shared" si="9"/>
        <v>0</v>
      </c>
      <c r="X293" s="257"/>
    </row>
    <row r="294" spans="1:24" x14ac:dyDescent="0.25">
      <c r="A294">
        <v>289</v>
      </c>
      <c r="B294" t="s">
        <v>320</v>
      </c>
      <c r="C294" t="s">
        <v>18</v>
      </c>
      <c r="D294" t="s">
        <v>20</v>
      </c>
      <c r="F294" s="520">
        <v>0</v>
      </c>
      <c r="G294" s="521">
        <v>0</v>
      </c>
      <c r="H294" s="521">
        <v>0</v>
      </c>
      <c r="I294" s="517"/>
      <c r="J294" s="520">
        <v>0</v>
      </c>
      <c r="K294" s="520">
        <v>0</v>
      </c>
      <c r="L294" s="520">
        <v>0</v>
      </c>
      <c r="M294" s="517"/>
      <c r="N294" s="542">
        <v>0</v>
      </c>
      <c r="O294" s="518">
        <v>0</v>
      </c>
      <c r="P294" s="518">
        <v>0</v>
      </c>
      <c r="Q294" s="519"/>
      <c r="R294" s="516">
        <v>0</v>
      </c>
      <c r="S294" s="521">
        <v>0</v>
      </c>
      <c r="T294" s="521">
        <v>0</v>
      </c>
      <c r="U294" s="517"/>
      <c r="V294" s="342">
        <f t="shared" si="8"/>
        <v>0</v>
      </c>
      <c r="W294" s="518">
        <f t="shared" si="9"/>
        <v>0</v>
      </c>
      <c r="X294" s="257"/>
    </row>
    <row r="295" spans="1:24" x14ac:dyDescent="0.25">
      <c r="A295">
        <v>290</v>
      </c>
      <c r="B295" t="s">
        <v>321</v>
      </c>
      <c r="C295" t="s">
        <v>18</v>
      </c>
      <c r="D295" t="s">
        <v>20</v>
      </c>
      <c r="F295" s="520">
        <v>0</v>
      </c>
      <c r="G295" s="521">
        <v>0</v>
      </c>
      <c r="H295" s="521">
        <v>0</v>
      </c>
      <c r="I295" s="517"/>
      <c r="J295" s="520">
        <v>0</v>
      </c>
      <c r="K295" s="520">
        <v>0</v>
      </c>
      <c r="L295" s="520">
        <v>0</v>
      </c>
      <c r="M295" s="517"/>
      <c r="N295" s="542">
        <v>0</v>
      </c>
      <c r="O295" s="518">
        <v>0</v>
      </c>
      <c r="P295" s="518">
        <v>0</v>
      </c>
      <c r="Q295" s="519"/>
      <c r="R295" s="516">
        <v>5</v>
      </c>
      <c r="S295" s="521">
        <v>59715</v>
      </c>
      <c r="T295" s="521">
        <v>0</v>
      </c>
      <c r="U295" s="517"/>
      <c r="V295" s="342">
        <f t="shared" si="8"/>
        <v>-5</v>
      </c>
      <c r="W295" s="518">
        <f t="shared" si="9"/>
        <v>-59715</v>
      </c>
      <c r="X295" s="257"/>
    </row>
    <row r="296" spans="1:24" x14ac:dyDescent="0.25">
      <c r="A296">
        <v>291</v>
      </c>
      <c r="B296" t="s">
        <v>322</v>
      </c>
      <c r="C296" t="s">
        <v>18</v>
      </c>
      <c r="D296" t="s">
        <v>20</v>
      </c>
      <c r="F296" s="520">
        <v>0</v>
      </c>
      <c r="G296" s="521">
        <v>0</v>
      </c>
      <c r="H296" s="521">
        <v>0</v>
      </c>
      <c r="I296" s="517"/>
      <c r="J296" s="520">
        <v>0</v>
      </c>
      <c r="K296" s="520">
        <v>0</v>
      </c>
      <c r="L296" s="520">
        <v>0</v>
      </c>
      <c r="M296" s="517"/>
      <c r="N296" s="542">
        <v>0</v>
      </c>
      <c r="O296" s="518">
        <v>0</v>
      </c>
      <c r="P296" s="518">
        <v>0</v>
      </c>
      <c r="Q296" s="519"/>
      <c r="R296" s="516">
        <v>0</v>
      </c>
      <c r="S296" s="521">
        <v>0</v>
      </c>
      <c r="T296" s="521">
        <v>0</v>
      </c>
      <c r="U296" s="517"/>
      <c r="V296" s="342">
        <f t="shared" si="8"/>
        <v>0</v>
      </c>
      <c r="W296" s="518">
        <f t="shared" si="9"/>
        <v>0</v>
      </c>
      <c r="X296" s="257"/>
    </row>
    <row r="297" spans="1:24" x14ac:dyDescent="0.25">
      <c r="A297">
        <v>292</v>
      </c>
      <c r="B297" t="s">
        <v>323</v>
      </c>
      <c r="C297" t="s">
        <v>18</v>
      </c>
      <c r="D297" t="s">
        <v>20</v>
      </c>
      <c r="F297" s="520">
        <v>0</v>
      </c>
      <c r="G297" s="521">
        <v>0</v>
      </c>
      <c r="H297" s="521">
        <v>0</v>
      </c>
      <c r="I297" s="517"/>
      <c r="J297" s="520">
        <v>0</v>
      </c>
      <c r="K297" s="520">
        <v>0</v>
      </c>
      <c r="L297" s="520">
        <v>0</v>
      </c>
      <c r="M297" s="517"/>
      <c r="N297" s="542">
        <v>0</v>
      </c>
      <c r="O297" s="518">
        <v>0</v>
      </c>
      <c r="P297" s="518">
        <v>0</v>
      </c>
      <c r="Q297" s="519"/>
      <c r="R297" s="516">
        <v>0</v>
      </c>
      <c r="S297" s="521">
        <v>0</v>
      </c>
      <c r="T297" s="521">
        <v>0</v>
      </c>
      <c r="U297" s="517"/>
      <c r="V297" s="342">
        <f t="shared" si="8"/>
        <v>0</v>
      </c>
      <c r="W297" s="518">
        <f t="shared" si="9"/>
        <v>0</v>
      </c>
      <c r="X297" s="257"/>
    </row>
    <row r="298" spans="1:24" x14ac:dyDescent="0.25">
      <c r="A298">
        <v>293</v>
      </c>
      <c r="B298" t="s">
        <v>324</v>
      </c>
      <c r="C298" t="s">
        <v>18</v>
      </c>
      <c r="D298" t="s">
        <v>20</v>
      </c>
      <c r="F298" s="520">
        <v>0</v>
      </c>
      <c r="G298" s="521">
        <v>0</v>
      </c>
      <c r="H298" s="521">
        <v>0</v>
      </c>
      <c r="I298" s="517"/>
      <c r="J298" s="520">
        <v>0</v>
      </c>
      <c r="K298" s="520">
        <v>0</v>
      </c>
      <c r="L298" s="520">
        <v>0</v>
      </c>
      <c r="M298" s="517"/>
      <c r="N298" s="542">
        <v>0</v>
      </c>
      <c r="O298" s="518">
        <v>0</v>
      </c>
      <c r="P298" s="518">
        <v>0</v>
      </c>
      <c r="Q298" s="519"/>
      <c r="R298" s="516">
        <v>13</v>
      </c>
      <c r="S298" s="521">
        <v>171103.8</v>
      </c>
      <c r="T298" s="521">
        <v>0</v>
      </c>
      <c r="U298" s="517"/>
      <c r="V298" s="342">
        <f t="shared" si="8"/>
        <v>-13</v>
      </c>
      <c r="W298" s="518">
        <f t="shared" si="9"/>
        <v>-171103.8</v>
      </c>
      <c r="X298" s="257"/>
    </row>
    <row r="299" spans="1:24" x14ac:dyDescent="0.25">
      <c r="A299">
        <v>294</v>
      </c>
      <c r="B299" t="s">
        <v>325</v>
      </c>
      <c r="C299" t="s">
        <v>326</v>
      </c>
      <c r="D299" t="s">
        <v>327</v>
      </c>
      <c r="F299" s="520">
        <v>0</v>
      </c>
      <c r="G299" s="521">
        <v>0</v>
      </c>
      <c r="H299" s="521">
        <v>0</v>
      </c>
      <c r="I299" s="517"/>
      <c r="J299" s="520">
        <v>0</v>
      </c>
      <c r="K299" s="520">
        <v>0</v>
      </c>
      <c r="L299" s="520">
        <v>0</v>
      </c>
      <c r="M299" s="517"/>
      <c r="N299" s="542">
        <v>0</v>
      </c>
      <c r="O299" s="518">
        <v>0</v>
      </c>
      <c r="P299" s="518">
        <v>0</v>
      </c>
      <c r="Q299" s="519"/>
      <c r="R299" s="516">
        <v>0</v>
      </c>
      <c r="S299" s="521">
        <v>0</v>
      </c>
      <c r="T299" s="521">
        <v>0</v>
      </c>
      <c r="U299" s="517"/>
      <c r="V299" s="342">
        <f t="shared" si="8"/>
        <v>0</v>
      </c>
      <c r="W299" s="518">
        <f t="shared" si="9"/>
        <v>0</v>
      </c>
      <c r="X299" s="257"/>
    </row>
    <row r="300" spans="1:24" x14ac:dyDescent="0.25">
      <c r="A300">
        <v>295</v>
      </c>
      <c r="B300" t="s">
        <v>3079</v>
      </c>
      <c r="C300" t="s">
        <v>136</v>
      </c>
      <c r="D300" t="s">
        <v>516</v>
      </c>
      <c r="F300" s="520">
        <v>4</v>
      </c>
      <c r="G300" s="521">
        <v>91625</v>
      </c>
      <c r="H300" s="521">
        <v>120</v>
      </c>
      <c r="I300" s="517"/>
      <c r="J300" s="520">
        <v>0</v>
      </c>
      <c r="K300" s="520">
        <v>0</v>
      </c>
      <c r="L300" s="520">
        <v>0</v>
      </c>
      <c r="M300" s="517"/>
      <c r="N300" s="542">
        <v>4</v>
      </c>
      <c r="O300" s="518">
        <v>91625</v>
      </c>
      <c r="P300" s="518">
        <v>120</v>
      </c>
      <c r="Q300" s="519"/>
      <c r="R300" s="516">
        <v>13</v>
      </c>
      <c r="S300" s="521">
        <v>265506.46999999997</v>
      </c>
      <c r="T300" s="521">
        <v>0</v>
      </c>
      <c r="U300" s="517"/>
      <c r="V300" s="342">
        <f t="shared" si="8"/>
        <v>-9</v>
      </c>
      <c r="W300" s="518">
        <f t="shared" si="9"/>
        <v>-173881.46999999997</v>
      </c>
      <c r="X300" s="257"/>
    </row>
    <row r="301" spans="1:24" x14ac:dyDescent="0.25">
      <c r="A301">
        <v>296</v>
      </c>
      <c r="B301" t="s">
        <v>330</v>
      </c>
      <c r="D301" t="s">
        <v>16</v>
      </c>
      <c r="F301" s="520">
        <v>0</v>
      </c>
      <c r="G301" s="521">
        <v>0</v>
      </c>
      <c r="H301" s="521">
        <v>0</v>
      </c>
      <c r="I301" s="517"/>
      <c r="J301" s="520">
        <v>0</v>
      </c>
      <c r="K301" s="520">
        <v>0</v>
      </c>
      <c r="L301" s="520">
        <v>0</v>
      </c>
      <c r="M301" s="517"/>
      <c r="N301" s="542">
        <v>0</v>
      </c>
      <c r="O301" s="518">
        <v>0</v>
      </c>
      <c r="P301" s="518">
        <v>0</v>
      </c>
      <c r="Q301" s="519"/>
      <c r="R301" s="516">
        <v>6</v>
      </c>
      <c r="S301" s="521">
        <v>102648.44</v>
      </c>
      <c r="T301" s="521">
        <v>0</v>
      </c>
      <c r="U301" s="517"/>
      <c r="V301" s="342">
        <f t="shared" si="8"/>
        <v>-6</v>
      </c>
      <c r="W301" s="518">
        <f t="shared" si="9"/>
        <v>-102648.44</v>
      </c>
      <c r="X301" s="257"/>
    </row>
    <row r="302" spans="1:24" x14ac:dyDescent="0.25">
      <c r="A302">
        <v>297</v>
      </c>
      <c r="B302" t="s">
        <v>331</v>
      </c>
      <c r="C302" t="s">
        <v>242</v>
      </c>
      <c r="D302" t="s">
        <v>332</v>
      </c>
      <c r="F302" s="520">
        <v>0</v>
      </c>
      <c r="G302" s="521">
        <v>0</v>
      </c>
      <c r="H302" s="521">
        <v>0</v>
      </c>
      <c r="I302" s="517"/>
      <c r="J302" s="520">
        <v>0</v>
      </c>
      <c r="K302" s="520">
        <v>0</v>
      </c>
      <c r="L302" s="520">
        <v>0</v>
      </c>
      <c r="M302" s="517"/>
      <c r="N302" s="542">
        <v>0</v>
      </c>
      <c r="O302" s="518">
        <v>0</v>
      </c>
      <c r="P302" s="518">
        <v>0</v>
      </c>
      <c r="Q302" s="519"/>
      <c r="R302" s="516">
        <v>8</v>
      </c>
      <c r="S302" s="521">
        <v>126301.01</v>
      </c>
      <c r="T302" s="521">
        <v>0</v>
      </c>
      <c r="U302" s="517"/>
      <c r="V302" s="342">
        <f t="shared" si="8"/>
        <v>-8</v>
      </c>
      <c r="W302" s="518">
        <f t="shared" si="9"/>
        <v>-126301.01</v>
      </c>
      <c r="X302" s="257"/>
    </row>
    <row r="303" spans="1:24" x14ac:dyDescent="0.25">
      <c r="A303">
        <v>298</v>
      </c>
      <c r="B303" t="s">
        <v>328</v>
      </c>
      <c r="C303" t="s">
        <v>329</v>
      </c>
      <c r="D303" t="s">
        <v>16</v>
      </c>
      <c r="F303" s="520">
        <v>0</v>
      </c>
      <c r="G303" s="521">
        <v>0</v>
      </c>
      <c r="H303" s="521">
        <v>0</v>
      </c>
      <c r="I303" s="517"/>
      <c r="J303" s="520">
        <v>0</v>
      </c>
      <c r="K303" s="520">
        <v>0</v>
      </c>
      <c r="L303" s="520">
        <v>0</v>
      </c>
      <c r="M303" s="517"/>
      <c r="N303" s="542">
        <v>0</v>
      </c>
      <c r="O303" s="518">
        <v>0</v>
      </c>
      <c r="P303" s="518">
        <v>0</v>
      </c>
      <c r="Q303" s="519"/>
      <c r="R303" s="516">
        <v>0</v>
      </c>
      <c r="S303" s="521">
        <v>0</v>
      </c>
      <c r="T303" s="521">
        <v>0</v>
      </c>
      <c r="U303" s="517"/>
      <c r="V303" s="342">
        <f t="shared" si="8"/>
        <v>0</v>
      </c>
      <c r="W303" s="518">
        <f t="shared" si="9"/>
        <v>0</v>
      </c>
      <c r="X303" s="257"/>
    </row>
    <row r="304" spans="1:24" x14ac:dyDescent="0.25">
      <c r="A304">
        <v>299</v>
      </c>
      <c r="B304" t="s">
        <v>333</v>
      </c>
      <c r="F304" s="520">
        <v>0</v>
      </c>
      <c r="G304" s="521">
        <v>0</v>
      </c>
      <c r="H304" s="521">
        <v>0</v>
      </c>
      <c r="I304" s="517"/>
      <c r="J304" s="520">
        <v>0</v>
      </c>
      <c r="K304" s="520">
        <v>0</v>
      </c>
      <c r="L304" s="520">
        <v>0</v>
      </c>
      <c r="M304" s="517"/>
      <c r="N304" s="542">
        <v>0</v>
      </c>
      <c r="O304" s="518">
        <v>0</v>
      </c>
      <c r="P304" s="518">
        <v>0</v>
      </c>
      <c r="Q304" s="519"/>
      <c r="R304" s="516">
        <v>0</v>
      </c>
      <c r="S304" s="521">
        <v>0</v>
      </c>
      <c r="T304" s="521">
        <v>0</v>
      </c>
      <c r="U304" s="517"/>
      <c r="V304" s="342">
        <f t="shared" si="8"/>
        <v>0</v>
      </c>
      <c r="W304" s="518">
        <f t="shared" si="9"/>
        <v>0</v>
      </c>
      <c r="X304" s="257"/>
    </row>
    <row r="305" spans="1:24" x14ac:dyDescent="0.25">
      <c r="A305">
        <v>300</v>
      </c>
      <c r="B305" t="s">
        <v>334</v>
      </c>
      <c r="C305" t="s">
        <v>18</v>
      </c>
      <c r="D305" t="s">
        <v>16</v>
      </c>
      <c r="F305" s="520">
        <v>22</v>
      </c>
      <c r="G305" s="521">
        <v>269268.45</v>
      </c>
      <c r="H305" s="521">
        <v>660</v>
      </c>
      <c r="I305" s="517"/>
      <c r="J305" s="520">
        <v>0</v>
      </c>
      <c r="K305" s="520">
        <v>0</v>
      </c>
      <c r="L305" s="520">
        <v>0</v>
      </c>
      <c r="M305" s="517"/>
      <c r="N305" s="542">
        <v>22</v>
      </c>
      <c r="O305" s="518">
        <v>269268.45</v>
      </c>
      <c r="P305" s="518">
        <v>660</v>
      </c>
      <c r="Q305" s="519"/>
      <c r="R305" s="516">
        <v>0</v>
      </c>
      <c r="S305" s="521">
        <v>0</v>
      </c>
      <c r="T305" s="521">
        <v>0</v>
      </c>
      <c r="U305" s="517"/>
      <c r="V305" s="342">
        <f t="shared" si="8"/>
        <v>22</v>
      </c>
      <c r="W305" s="518">
        <f t="shared" si="9"/>
        <v>269268.45</v>
      </c>
      <c r="X305" s="257"/>
    </row>
    <row r="306" spans="1:24" x14ac:dyDescent="0.25">
      <c r="A306">
        <v>301</v>
      </c>
      <c r="B306" t="s">
        <v>2230</v>
      </c>
      <c r="C306" t="s">
        <v>18</v>
      </c>
      <c r="D306" t="s">
        <v>20</v>
      </c>
      <c r="F306" s="520">
        <v>0</v>
      </c>
      <c r="G306" s="521">
        <v>0</v>
      </c>
      <c r="H306" s="521">
        <v>0</v>
      </c>
      <c r="I306" s="517"/>
      <c r="J306" s="520">
        <v>0</v>
      </c>
      <c r="K306" s="520">
        <v>0</v>
      </c>
      <c r="L306" s="520">
        <v>0</v>
      </c>
      <c r="M306" s="517"/>
      <c r="N306" s="542">
        <v>0</v>
      </c>
      <c r="O306" s="518">
        <v>0</v>
      </c>
      <c r="P306" s="518">
        <v>0</v>
      </c>
      <c r="Q306" s="519"/>
      <c r="R306" s="516">
        <v>0</v>
      </c>
      <c r="S306" s="521">
        <v>0</v>
      </c>
      <c r="T306" s="521">
        <v>0</v>
      </c>
      <c r="U306" s="517"/>
      <c r="V306" s="342">
        <f t="shared" si="8"/>
        <v>0</v>
      </c>
      <c r="W306" s="518">
        <f t="shared" si="9"/>
        <v>0</v>
      </c>
      <c r="X306" s="257"/>
    </row>
    <row r="307" spans="1:24" x14ac:dyDescent="0.25">
      <c r="A307">
        <v>302</v>
      </c>
      <c r="B307" t="s">
        <v>335</v>
      </c>
      <c r="C307" t="s">
        <v>18</v>
      </c>
      <c r="D307" t="s">
        <v>20</v>
      </c>
      <c r="F307" s="520">
        <v>0</v>
      </c>
      <c r="G307" s="521">
        <v>0</v>
      </c>
      <c r="H307" s="521">
        <v>0</v>
      </c>
      <c r="I307" s="517"/>
      <c r="J307" s="520">
        <v>0</v>
      </c>
      <c r="K307" s="520">
        <v>0</v>
      </c>
      <c r="L307" s="520">
        <v>0</v>
      </c>
      <c r="M307" s="517"/>
      <c r="N307" s="542">
        <v>0</v>
      </c>
      <c r="O307" s="518">
        <v>0</v>
      </c>
      <c r="P307" s="518">
        <v>0</v>
      </c>
      <c r="Q307" s="519"/>
      <c r="R307" s="516">
        <v>0</v>
      </c>
      <c r="S307" s="521">
        <v>0</v>
      </c>
      <c r="T307" s="521">
        <v>0</v>
      </c>
      <c r="U307" s="517"/>
      <c r="V307" s="342">
        <f t="shared" si="8"/>
        <v>0</v>
      </c>
      <c r="W307" s="518">
        <f t="shared" si="9"/>
        <v>0</v>
      </c>
      <c r="X307" s="257"/>
    </row>
    <row r="308" spans="1:24" x14ac:dyDescent="0.25">
      <c r="A308">
        <v>303</v>
      </c>
      <c r="B308" t="s">
        <v>2231</v>
      </c>
      <c r="C308" t="s">
        <v>18</v>
      </c>
      <c r="D308" t="s">
        <v>20</v>
      </c>
      <c r="F308" s="520">
        <v>0</v>
      </c>
      <c r="G308" s="521">
        <v>0</v>
      </c>
      <c r="H308" s="521">
        <v>0</v>
      </c>
      <c r="I308" s="517"/>
      <c r="J308" s="520">
        <v>0</v>
      </c>
      <c r="K308" s="520">
        <v>0</v>
      </c>
      <c r="L308" s="520">
        <v>0</v>
      </c>
      <c r="M308" s="517"/>
      <c r="N308" s="542">
        <v>0</v>
      </c>
      <c r="O308" s="518">
        <v>0</v>
      </c>
      <c r="P308" s="518">
        <v>0</v>
      </c>
      <c r="Q308" s="519"/>
      <c r="R308" s="516">
        <v>4</v>
      </c>
      <c r="S308" s="521">
        <v>5598</v>
      </c>
      <c r="T308" s="521">
        <v>0</v>
      </c>
      <c r="U308" s="517"/>
      <c r="V308" s="342">
        <f t="shared" si="8"/>
        <v>-4</v>
      </c>
      <c r="W308" s="518">
        <f t="shared" si="9"/>
        <v>-5598</v>
      </c>
      <c r="X308" s="257"/>
    </row>
    <row r="309" spans="1:24" x14ac:dyDescent="0.25">
      <c r="A309">
        <v>304</v>
      </c>
      <c r="B309" t="s">
        <v>2232</v>
      </c>
      <c r="C309" t="s">
        <v>18</v>
      </c>
      <c r="D309" t="s">
        <v>20</v>
      </c>
      <c r="F309" s="520">
        <v>0</v>
      </c>
      <c r="G309" s="521">
        <v>0</v>
      </c>
      <c r="H309" s="521">
        <v>0</v>
      </c>
      <c r="I309" s="517"/>
      <c r="J309" s="520">
        <v>0</v>
      </c>
      <c r="K309" s="520">
        <v>0</v>
      </c>
      <c r="L309" s="520">
        <v>0</v>
      </c>
      <c r="M309" s="517"/>
      <c r="N309" s="542">
        <v>0</v>
      </c>
      <c r="O309" s="518">
        <v>0</v>
      </c>
      <c r="P309" s="518">
        <v>0</v>
      </c>
      <c r="Q309" s="519"/>
      <c r="R309" s="516">
        <v>30</v>
      </c>
      <c r="S309" s="521">
        <v>281382.25</v>
      </c>
      <c r="T309" s="521">
        <v>900</v>
      </c>
      <c r="U309" s="517"/>
      <c r="V309" s="342">
        <f t="shared" si="8"/>
        <v>-30</v>
      </c>
      <c r="W309" s="518">
        <f t="shared" si="9"/>
        <v>-282282.25</v>
      </c>
      <c r="X309" s="257"/>
    </row>
    <row r="310" spans="1:24" x14ac:dyDescent="0.25">
      <c r="A310">
        <v>305</v>
      </c>
      <c r="B310" t="s">
        <v>336</v>
      </c>
      <c r="C310" t="s">
        <v>18</v>
      </c>
      <c r="D310" t="s">
        <v>16</v>
      </c>
      <c r="F310" s="520">
        <v>0</v>
      </c>
      <c r="G310" s="521">
        <v>0</v>
      </c>
      <c r="H310" s="521">
        <v>0</v>
      </c>
      <c r="I310" s="517"/>
      <c r="J310" s="520">
        <v>0</v>
      </c>
      <c r="K310" s="520">
        <v>0</v>
      </c>
      <c r="L310" s="520">
        <v>0</v>
      </c>
      <c r="M310" s="517"/>
      <c r="N310" s="542">
        <v>0</v>
      </c>
      <c r="O310" s="518">
        <v>0</v>
      </c>
      <c r="P310" s="518">
        <v>0</v>
      </c>
      <c r="Q310" s="519"/>
      <c r="R310" s="516">
        <v>0</v>
      </c>
      <c r="S310" s="521">
        <v>0</v>
      </c>
      <c r="T310" s="521">
        <v>0</v>
      </c>
      <c r="U310" s="517"/>
      <c r="V310" s="342">
        <f t="shared" si="8"/>
        <v>0</v>
      </c>
      <c r="W310" s="518">
        <f t="shared" si="9"/>
        <v>0</v>
      </c>
      <c r="X310" s="257"/>
    </row>
    <row r="311" spans="1:24" x14ac:dyDescent="0.25">
      <c r="A311">
        <v>306</v>
      </c>
      <c r="B311" t="s">
        <v>337</v>
      </c>
      <c r="C311" t="s">
        <v>39</v>
      </c>
      <c r="D311" t="s">
        <v>16</v>
      </c>
      <c r="F311" s="520">
        <v>0</v>
      </c>
      <c r="G311" s="521">
        <v>0</v>
      </c>
      <c r="H311" s="521">
        <v>0</v>
      </c>
      <c r="I311" s="517"/>
      <c r="J311" s="520">
        <v>0</v>
      </c>
      <c r="K311" s="520">
        <v>0</v>
      </c>
      <c r="L311" s="520">
        <v>0</v>
      </c>
      <c r="M311" s="517"/>
      <c r="N311" s="542">
        <v>0</v>
      </c>
      <c r="O311" s="518">
        <v>0</v>
      </c>
      <c r="P311" s="518">
        <v>0</v>
      </c>
      <c r="Q311" s="519"/>
      <c r="R311" s="516">
        <v>0</v>
      </c>
      <c r="S311" s="521">
        <v>0</v>
      </c>
      <c r="T311" s="521">
        <v>0</v>
      </c>
      <c r="U311" s="517"/>
      <c r="V311" s="342">
        <f t="shared" si="8"/>
        <v>0</v>
      </c>
      <c r="W311" s="518">
        <f t="shared" si="9"/>
        <v>0</v>
      </c>
      <c r="X311" s="257"/>
    </row>
    <row r="312" spans="1:24" x14ac:dyDescent="0.25">
      <c r="A312">
        <v>307</v>
      </c>
      <c r="B312" t="s">
        <v>338</v>
      </c>
      <c r="C312" t="s">
        <v>18</v>
      </c>
      <c r="D312" t="s">
        <v>16</v>
      </c>
      <c r="F312" s="520">
        <v>0</v>
      </c>
      <c r="G312" s="521">
        <v>0</v>
      </c>
      <c r="H312" s="521">
        <v>0</v>
      </c>
      <c r="I312" s="517"/>
      <c r="J312" s="520">
        <v>0</v>
      </c>
      <c r="K312" s="520">
        <v>0</v>
      </c>
      <c r="L312" s="520">
        <v>0</v>
      </c>
      <c r="M312" s="517"/>
      <c r="N312" s="542">
        <v>0</v>
      </c>
      <c r="O312" s="518">
        <v>0</v>
      </c>
      <c r="P312" s="518">
        <v>0</v>
      </c>
      <c r="Q312" s="519"/>
      <c r="R312" s="516">
        <v>0</v>
      </c>
      <c r="S312" s="521">
        <v>0</v>
      </c>
      <c r="T312" s="521">
        <v>0</v>
      </c>
      <c r="U312" s="517"/>
      <c r="V312" s="342">
        <f t="shared" si="8"/>
        <v>0</v>
      </c>
      <c r="W312" s="518">
        <f t="shared" si="9"/>
        <v>0</v>
      </c>
      <c r="X312" s="257"/>
    </row>
    <row r="313" spans="1:24" x14ac:dyDescent="0.25">
      <c r="A313">
        <v>308</v>
      </c>
      <c r="B313" t="s">
        <v>339</v>
      </c>
      <c r="C313" t="s">
        <v>39</v>
      </c>
      <c r="D313" t="s">
        <v>16</v>
      </c>
      <c r="F313" s="520">
        <v>0</v>
      </c>
      <c r="G313" s="521">
        <v>0</v>
      </c>
      <c r="H313" s="521">
        <v>0</v>
      </c>
      <c r="I313" s="517"/>
      <c r="J313" s="520">
        <v>0</v>
      </c>
      <c r="K313" s="520">
        <v>0</v>
      </c>
      <c r="L313" s="520">
        <v>0</v>
      </c>
      <c r="M313" s="517"/>
      <c r="N313" s="542">
        <v>0</v>
      </c>
      <c r="O313" s="518">
        <v>0</v>
      </c>
      <c r="P313" s="518">
        <v>0</v>
      </c>
      <c r="Q313" s="519"/>
      <c r="R313" s="516">
        <v>0</v>
      </c>
      <c r="S313" s="521">
        <v>0</v>
      </c>
      <c r="T313" s="521">
        <v>0</v>
      </c>
      <c r="U313" s="517"/>
      <c r="V313" s="342">
        <f t="shared" si="8"/>
        <v>0</v>
      </c>
      <c r="W313" s="518">
        <f t="shared" si="9"/>
        <v>0</v>
      </c>
      <c r="X313" s="257"/>
    </row>
    <row r="314" spans="1:24" x14ac:dyDescent="0.25">
      <c r="A314">
        <v>309</v>
      </c>
      <c r="B314" t="s">
        <v>340</v>
      </c>
      <c r="C314" t="s">
        <v>15</v>
      </c>
      <c r="D314" t="s">
        <v>20</v>
      </c>
      <c r="F314" s="520">
        <v>0</v>
      </c>
      <c r="G314" s="521">
        <v>0</v>
      </c>
      <c r="H314" s="521">
        <v>0</v>
      </c>
      <c r="I314" s="517"/>
      <c r="J314" s="520">
        <v>0</v>
      </c>
      <c r="K314" s="520">
        <v>0</v>
      </c>
      <c r="L314" s="520">
        <v>0</v>
      </c>
      <c r="M314" s="517"/>
      <c r="N314" s="542">
        <v>0</v>
      </c>
      <c r="O314" s="518">
        <v>0</v>
      </c>
      <c r="P314" s="518">
        <v>0</v>
      </c>
      <c r="Q314" s="519"/>
      <c r="R314" s="520">
        <v>1</v>
      </c>
      <c r="S314" s="521">
        <v>1350</v>
      </c>
      <c r="T314" s="521">
        <v>0</v>
      </c>
      <c r="U314" s="517"/>
      <c r="V314" s="342">
        <f t="shared" si="8"/>
        <v>-1</v>
      </c>
      <c r="W314" s="518">
        <f t="shared" si="9"/>
        <v>-1350</v>
      </c>
      <c r="X314" s="257"/>
    </row>
    <row r="315" spans="1:24" x14ac:dyDescent="0.25">
      <c r="A315">
        <v>310</v>
      </c>
      <c r="B315" t="s">
        <v>3190</v>
      </c>
      <c r="C315" t="s">
        <v>39</v>
      </c>
      <c r="D315" t="s">
        <v>16</v>
      </c>
      <c r="F315" s="520">
        <v>0</v>
      </c>
      <c r="G315" s="521">
        <v>0</v>
      </c>
      <c r="H315" s="521">
        <v>0</v>
      </c>
      <c r="I315" s="517"/>
      <c r="J315" s="520">
        <v>0</v>
      </c>
      <c r="K315" s="520">
        <v>0</v>
      </c>
      <c r="L315" s="520">
        <v>0</v>
      </c>
      <c r="M315" s="517"/>
      <c r="N315" s="542">
        <v>0</v>
      </c>
      <c r="O315" s="518">
        <v>0</v>
      </c>
      <c r="P315" s="518">
        <v>0</v>
      </c>
      <c r="Q315" s="519"/>
      <c r="R315" s="516">
        <v>0</v>
      </c>
      <c r="S315" s="521">
        <v>0</v>
      </c>
      <c r="T315" s="521">
        <v>0</v>
      </c>
      <c r="U315" s="517"/>
      <c r="V315" s="342">
        <f t="shared" si="8"/>
        <v>0</v>
      </c>
      <c r="W315" s="518">
        <f t="shared" si="9"/>
        <v>0</v>
      </c>
      <c r="X315" s="257"/>
    </row>
    <row r="316" spans="1:24" x14ac:dyDescent="0.25">
      <c r="A316">
        <v>311</v>
      </c>
      <c r="B316" t="s">
        <v>341</v>
      </c>
      <c r="D316" t="s">
        <v>16</v>
      </c>
      <c r="F316" s="520">
        <v>2</v>
      </c>
      <c r="G316" s="521">
        <v>10389.439999999999</v>
      </c>
      <c r="H316" s="521">
        <v>40</v>
      </c>
      <c r="I316" s="517"/>
      <c r="J316" s="520">
        <v>0</v>
      </c>
      <c r="K316" s="520">
        <v>0</v>
      </c>
      <c r="L316" s="520">
        <v>0</v>
      </c>
      <c r="M316" s="517"/>
      <c r="N316" s="542">
        <v>2</v>
      </c>
      <c r="O316" s="518">
        <v>10389.439999999999</v>
      </c>
      <c r="P316" s="518">
        <v>40</v>
      </c>
      <c r="Q316" s="519"/>
      <c r="R316" s="516">
        <v>9</v>
      </c>
      <c r="S316" s="521">
        <v>16685.88</v>
      </c>
      <c r="T316" s="521">
        <v>0</v>
      </c>
      <c r="U316" s="517"/>
      <c r="V316" s="342">
        <f t="shared" si="8"/>
        <v>-7</v>
      </c>
      <c r="W316" s="518">
        <f t="shared" si="9"/>
        <v>-6296.4400000000023</v>
      </c>
      <c r="X316" s="257"/>
    </row>
    <row r="317" spans="1:24" x14ac:dyDescent="0.25">
      <c r="A317">
        <v>312</v>
      </c>
      <c r="B317" t="s">
        <v>342</v>
      </c>
      <c r="D317" t="s">
        <v>16</v>
      </c>
      <c r="F317" s="520">
        <v>2</v>
      </c>
      <c r="G317" s="521">
        <v>81468.740000000005</v>
      </c>
      <c r="H317" s="521">
        <v>100</v>
      </c>
      <c r="I317" s="517"/>
      <c r="J317" s="520">
        <v>0</v>
      </c>
      <c r="K317" s="520">
        <v>0</v>
      </c>
      <c r="L317" s="520">
        <v>0</v>
      </c>
      <c r="M317" s="517"/>
      <c r="N317" s="542">
        <v>2</v>
      </c>
      <c r="O317" s="518">
        <v>81468.740000000005</v>
      </c>
      <c r="P317" s="518">
        <v>100</v>
      </c>
      <c r="Q317" s="519"/>
      <c r="R317" s="516">
        <v>3</v>
      </c>
      <c r="S317" s="521">
        <v>507194.09</v>
      </c>
      <c r="T317" s="521">
        <v>0</v>
      </c>
      <c r="U317" s="517"/>
      <c r="V317" s="342">
        <f t="shared" si="8"/>
        <v>-1</v>
      </c>
      <c r="W317" s="518">
        <f t="shared" si="9"/>
        <v>-425725.35000000003</v>
      </c>
      <c r="X317" s="257"/>
    </row>
    <row r="318" spans="1:24" x14ac:dyDescent="0.25">
      <c r="A318">
        <v>313</v>
      </c>
      <c r="B318" t="s">
        <v>343</v>
      </c>
      <c r="C318" t="s">
        <v>148</v>
      </c>
      <c r="D318" t="s">
        <v>16</v>
      </c>
      <c r="F318" s="520">
        <v>0</v>
      </c>
      <c r="G318" s="521">
        <v>0</v>
      </c>
      <c r="H318" s="521">
        <v>0</v>
      </c>
      <c r="I318" s="517"/>
      <c r="J318" s="520">
        <v>0</v>
      </c>
      <c r="K318" s="520">
        <v>0</v>
      </c>
      <c r="L318" s="520">
        <v>0</v>
      </c>
      <c r="M318" s="517"/>
      <c r="N318" s="542">
        <v>0</v>
      </c>
      <c r="O318" s="518">
        <v>0</v>
      </c>
      <c r="P318" s="518">
        <v>0</v>
      </c>
      <c r="Q318" s="519"/>
      <c r="R318" s="516">
        <v>0</v>
      </c>
      <c r="S318" s="521">
        <v>0</v>
      </c>
      <c r="T318" s="521">
        <v>0</v>
      </c>
      <c r="U318" s="517"/>
      <c r="V318" s="342">
        <f t="shared" si="8"/>
        <v>0</v>
      </c>
      <c r="W318" s="518">
        <f t="shared" si="9"/>
        <v>0</v>
      </c>
      <c r="X318" s="257"/>
    </row>
    <row r="319" spans="1:24" x14ac:dyDescent="0.25">
      <c r="A319">
        <v>314</v>
      </c>
      <c r="B319" t="s">
        <v>344</v>
      </c>
      <c r="C319" t="s">
        <v>15</v>
      </c>
      <c r="D319" t="s">
        <v>16</v>
      </c>
      <c r="F319" s="520">
        <v>0</v>
      </c>
      <c r="G319" s="521">
        <v>0</v>
      </c>
      <c r="H319" s="521">
        <v>0</v>
      </c>
      <c r="I319" s="517"/>
      <c r="J319" s="520">
        <v>0</v>
      </c>
      <c r="K319" s="520">
        <v>0</v>
      </c>
      <c r="L319" s="520">
        <v>0</v>
      </c>
      <c r="M319" s="517"/>
      <c r="N319" s="542">
        <v>0</v>
      </c>
      <c r="O319" s="518">
        <v>0</v>
      </c>
      <c r="P319" s="518">
        <v>0</v>
      </c>
      <c r="Q319" s="519"/>
      <c r="R319" s="516">
        <v>0</v>
      </c>
      <c r="S319" s="521">
        <v>0</v>
      </c>
      <c r="T319" s="521">
        <v>0</v>
      </c>
      <c r="U319" s="517"/>
      <c r="V319" s="342">
        <f t="shared" si="8"/>
        <v>0</v>
      </c>
      <c r="W319" s="518">
        <f t="shared" si="9"/>
        <v>0</v>
      </c>
      <c r="X319" s="257"/>
    </row>
    <row r="320" spans="1:24" x14ac:dyDescent="0.25">
      <c r="A320">
        <v>315</v>
      </c>
      <c r="B320" t="s">
        <v>345</v>
      </c>
      <c r="C320" t="s">
        <v>329</v>
      </c>
      <c r="D320" t="s">
        <v>16</v>
      </c>
      <c r="F320" s="520">
        <v>0</v>
      </c>
      <c r="G320" s="521">
        <v>0</v>
      </c>
      <c r="H320" s="521">
        <v>0</v>
      </c>
      <c r="I320" s="517"/>
      <c r="J320" s="520">
        <v>0</v>
      </c>
      <c r="K320" s="520">
        <v>0</v>
      </c>
      <c r="L320" s="520">
        <v>0</v>
      </c>
      <c r="M320" s="517"/>
      <c r="N320" s="542">
        <v>0</v>
      </c>
      <c r="O320" s="518">
        <v>0</v>
      </c>
      <c r="P320" s="518">
        <v>0</v>
      </c>
      <c r="Q320" s="519"/>
      <c r="R320" s="516">
        <v>0</v>
      </c>
      <c r="S320" s="521">
        <v>0</v>
      </c>
      <c r="T320" s="521">
        <v>0</v>
      </c>
      <c r="U320" s="517"/>
      <c r="V320" s="342">
        <f t="shared" si="8"/>
        <v>0</v>
      </c>
      <c r="W320" s="518">
        <f t="shared" si="9"/>
        <v>0</v>
      </c>
      <c r="X320" s="257"/>
    </row>
    <row r="321" spans="1:24" x14ac:dyDescent="0.25">
      <c r="A321">
        <v>316</v>
      </c>
      <c r="B321" t="s">
        <v>346</v>
      </c>
      <c r="C321" t="s">
        <v>27</v>
      </c>
      <c r="D321" t="s">
        <v>16</v>
      </c>
      <c r="F321" s="520">
        <v>0</v>
      </c>
      <c r="G321" s="521">
        <v>0</v>
      </c>
      <c r="H321" s="521">
        <v>0</v>
      </c>
      <c r="I321" s="517"/>
      <c r="J321" s="520">
        <v>0</v>
      </c>
      <c r="K321" s="520">
        <v>0</v>
      </c>
      <c r="L321" s="520">
        <v>0</v>
      </c>
      <c r="M321" s="517"/>
      <c r="N321" s="542">
        <v>0</v>
      </c>
      <c r="O321" s="518">
        <v>0</v>
      </c>
      <c r="P321" s="518">
        <v>0</v>
      </c>
      <c r="Q321" s="519"/>
      <c r="R321" s="516">
        <v>0</v>
      </c>
      <c r="S321" s="521">
        <v>0</v>
      </c>
      <c r="T321" s="521">
        <v>0</v>
      </c>
      <c r="U321" s="517"/>
      <c r="V321" s="342">
        <f t="shared" si="8"/>
        <v>0</v>
      </c>
      <c r="W321" s="518">
        <f t="shared" si="9"/>
        <v>0</v>
      </c>
      <c r="X321" s="257"/>
    </row>
    <row r="322" spans="1:24" x14ac:dyDescent="0.25">
      <c r="A322">
        <v>317</v>
      </c>
      <c r="B322" t="s">
        <v>347</v>
      </c>
      <c r="C322" t="s">
        <v>25</v>
      </c>
      <c r="D322" t="s">
        <v>16</v>
      </c>
      <c r="F322" s="520">
        <v>0</v>
      </c>
      <c r="G322" s="521">
        <v>0</v>
      </c>
      <c r="H322" s="521">
        <v>0</v>
      </c>
      <c r="I322" s="517"/>
      <c r="J322" s="520">
        <v>0</v>
      </c>
      <c r="K322" s="520">
        <v>0</v>
      </c>
      <c r="L322" s="520">
        <v>0</v>
      </c>
      <c r="M322" s="517"/>
      <c r="N322" s="542">
        <v>0</v>
      </c>
      <c r="O322" s="518">
        <v>0</v>
      </c>
      <c r="P322" s="518">
        <v>0</v>
      </c>
      <c r="Q322" s="519"/>
      <c r="R322" s="516">
        <v>0</v>
      </c>
      <c r="S322" s="521">
        <v>0</v>
      </c>
      <c r="T322" s="521">
        <v>0</v>
      </c>
      <c r="U322" s="517"/>
      <c r="V322" s="342">
        <f t="shared" si="8"/>
        <v>0</v>
      </c>
      <c r="W322" s="518">
        <f t="shared" si="9"/>
        <v>0</v>
      </c>
      <c r="X322" s="257"/>
    </row>
    <row r="323" spans="1:24" x14ac:dyDescent="0.25">
      <c r="A323">
        <v>318</v>
      </c>
      <c r="B323" t="s">
        <v>348</v>
      </c>
      <c r="C323" t="s">
        <v>25</v>
      </c>
      <c r="D323" t="s">
        <v>16</v>
      </c>
      <c r="F323" s="520">
        <v>0</v>
      </c>
      <c r="G323" s="521">
        <v>0</v>
      </c>
      <c r="H323" s="521">
        <v>0</v>
      </c>
      <c r="I323" s="517"/>
      <c r="J323" s="520">
        <v>0</v>
      </c>
      <c r="K323" s="520">
        <v>0</v>
      </c>
      <c r="L323" s="520">
        <v>0</v>
      </c>
      <c r="M323" s="517"/>
      <c r="N323" s="542">
        <v>0</v>
      </c>
      <c r="O323" s="518">
        <v>0</v>
      </c>
      <c r="P323" s="518">
        <v>0</v>
      </c>
      <c r="Q323" s="519"/>
      <c r="R323" s="516">
        <v>3</v>
      </c>
      <c r="S323" s="521">
        <v>32218.75</v>
      </c>
      <c r="T323" s="521">
        <v>0</v>
      </c>
      <c r="U323" s="517"/>
      <c r="V323" s="342">
        <f t="shared" si="8"/>
        <v>-3</v>
      </c>
      <c r="W323" s="518">
        <f t="shared" si="9"/>
        <v>-32218.75</v>
      </c>
      <c r="X323" s="257"/>
    </row>
    <row r="324" spans="1:24" x14ac:dyDescent="0.25">
      <c r="A324">
        <v>319</v>
      </c>
      <c r="B324" t="s">
        <v>350</v>
      </c>
      <c r="C324" t="s">
        <v>351</v>
      </c>
      <c r="D324" t="s">
        <v>20</v>
      </c>
      <c r="F324" s="520">
        <v>0</v>
      </c>
      <c r="G324" s="521">
        <v>0</v>
      </c>
      <c r="H324" s="521">
        <v>0</v>
      </c>
      <c r="I324" s="517"/>
      <c r="J324" s="520">
        <v>0</v>
      </c>
      <c r="K324" s="520">
        <v>0</v>
      </c>
      <c r="L324" s="520">
        <v>0</v>
      </c>
      <c r="M324" s="517"/>
      <c r="N324" s="542">
        <v>0</v>
      </c>
      <c r="O324" s="518">
        <v>0</v>
      </c>
      <c r="P324" s="518">
        <v>0</v>
      </c>
      <c r="Q324" s="519"/>
      <c r="R324" s="516">
        <v>0</v>
      </c>
      <c r="S324" s="521">
        <v>0</v>
      </c>
      <c r="T324" s="521">
        <v>0</v>
      </c>
      <c r="U324" s="517"/>
      <c r="V324" s="342">
        <f t="shared" si="8"/>
        <v>0</v>
      </c>
      <c r="W324" s="518">
        <f t="shared" si="9"/>
        <v>0</v>
      </c>
      <c r="X324" s="257"/>
    </row>
    <row r="325" spans="1:24" x14ac:dyDescent="0.25">
      <c r="A325">
        <v>320</v>
      </c>
      <c r="B325" t="s">
        <v>352</v>
      </c>
      <c r="D325" t="s">
        <v>20</v>
      </c>
      <c r="F325" s="520">
        <v>0</v>
      </c>
      <c r="G325" s="521">
        <v>0</v>
      </c>
      <c r="H325" s="521">
        <v>0</v>
      </c>
      <c r="I325" s="517"/>
      <c r="J325" s="520">
        <v>0</v>
      </c>
      <c r="K325" s="520">
        <v>0</v>
      </c>
      <c r="L325" s="520">
        <v>0</v>
      </c>
      <c r="M325" s="517"/>
      <c r="N325" s="542">
        <v>0</v>
      </c>
      <c r="O325" s="518">
        <v>0</v>
      </c>
      <c r="P325" s="518">
        <v>0</v>
      </c>
      <c r="Q325" s="519"/>
      <c r="R325" s="516">
        <v>1</v>
      </c>
      <c r="S325" s="521">
        <v>9500</v>
      </c>
      <c r="T325" s="521">
        <v>0</v>
      </c>
      <c r="U325" s="517"/>
      <c r="V325" s="342">
        <f t="shared" si="8"/>
        <v>-1</v>
      </c>
      <c r="W325" s="518">
        <f t="shared" si="9"/>
        <v>-9500</v>
      </c>
      <c r="X325" s="257"/>
    </row>
    <row r="326" spans="1:24" x14ac:dyDescent="0.25">
      <c r="A326">
        <v>321</v>
      </c>
      <c r="B326" t="s">
        <v>353</v>
      </c>
      <c r="C326" t="s">
        <v>25</v>
      </c>
      <c r="D326" t="s">
        <v>20</v>
      </c>
      <c r="F326" s="520">
        <v>9</v>
      </c>
      <c r="G326" s="521">
        <v>121760</v>
      </c>
      <c r="H326" s="521">
        <v>270</v>
      </c>
      <c r="I326" s="517"/>
      <c r="J326" s="520">
        <v>0</v>
      </c>
      <c r="K326" s="520">
        <v>0</v>
      </c>
      <c r="L326" s="520">
        <v>0</v>
      </c>
      <c r="M326" s="517"/>
      <c r="N326" s="542">
        <v>9</v>
      </c>
      <c r="O326" s="518">
        <v>121760</v>
      </c>
      <c r="P326" s="518">
        <v>270</v>
      </c>
      <c r="Q326" s="519"/>
      <c r="R326" s="516">
        <v>0</v>
      </c>
      <c r="S326" s="521">
        <v>0</v>
      </c>
      <c r="T326" s="521">
        <v>0</v>
      </c>
      <c r="U326" s="517"/>
      <c r="V326" s="342">
        <f t="shared" ref="V326:V389" si="10">N326-R326</f>
        <v>9</v>
      </c>
      <c r="W326" s="518">
        <f t="shared" ref="W326:W389" si="11">O326-S326-T326</f>
        <v>121760</v>
      </c>
      <c r="X326" s="257"/>
    </row>
    <row r="327" spans="1:24" x14ac:dyDescent="0.25">
      <c r="A327">
        <v>322</v>
      </c>
      <c r="B327" t="s">
        <v>356</v>
      </c>
      <c r="C327" t="s">
        <v>15</v>
      </c>
      <c r="D327" t="s">
        <v>16</v>
      </c>
      <c r="F327" s="520">
        <v>0</v>
      </c>
      <c r="G327" s="521">
        <v>0</v>
      </c>
      <c r="H327" s="521">
        <v>0</v>
      </c>
      <c r="I327" s="517"/>
      <c r="J327" s="520">
        <v>0</v>
      </c>
      <c r="K327" s="520">
        <v>0</v>
      </c>
      <c r="L327" s="520">
        <v>0</v>
      </c>
      <c r="M327" s="517"/>
      <c r="N327" s="542">
        <v>0</v>
      </c>
      <c r="O327" s="518">
        <v>0</v>
      </c>
      <c r="P327" s="518">
        <v>0</v>
      </c>
      <c r="Q327" s="519"/>
      <c r="R327" s="516">
        <v>0</v>
      </c>
      <c r="S327" s="521">
        <v>0</v>
      </c>
      <c r="T327" s="521">
        <v>0</v>
      </c>
      <c r="U327" s="517"/>
      <c r="V327" s="342">
        <f t="shared" si="10"/>
        <v>0</v>
      </c>
      <c r="W327" s="518">
        <f t="shared" si="11"/>
        <v>0</v>
      </c>
      <c r="X327" s="257"/>
    </row>
    <row r="328" spans="1:24" x14ac:dyDescent="0.25">
      <c r="A328">
        <v>323</v>
      </c>
      <c r="B328" t="s">
        <v>357</v>
      </c>
      <c r="C328" t="s">
        <v>18</v>
      </c>
      <c r="D328" t="s">
        <v>20</v>
      </c>
      <c r="F328" s="520">
        <v>8</v>
      </c>
      <c r="G328" s="521">
        <v>221029.76000000001</v>
      </c>
      <c r="H328" s="521">
        <v>240</v>
      </c>
      <c r="I328" s="517"/>
      <c r="J328" s="520">
        <v>0</v>
      </c>
      <c r="K328" s="520">
        <v>0</v>
      </c>
      <c r="L328" s="520">
        <v>0</v>
      </c>
      <c r="M328" s="517"/>
      <c r="N328" s="542">
        <v>8</v>
      </c>
      <c r="O328" s="518">
        <v>221029.76000000001</v>
      </c>
      <c r="P328" s="518">
        <v>240</v>
      </c>
      <c r="Q328" s="519"/>
      <c r="R328" s="516">
        <v>0</v>
      </c>
      <c r="S328" s="521">
        <v>0</v>
      </c>
      <c r="T328" s="521">
        <v>0</v>
      </c>
      <c r="U328" s="517"/>
      <c r="V328" s="342">
        <f t="shared" si="10"/>
        <v>8</v>
      </c>
      <c r="W328" s="518">
        <f t="shared" si="11"/>
        <v>221029.76000000001</v>
      </c>
      <c r="X328" s="257"/>
    </row>
    <row r="329" spans="1:24" x14ac:dyDescent="0.25">
      <c r="A329">
        <v>324</v>
      </c>
      <c r="B329" t="s">
        <v>358</v>
      </c>
      <c r="C329" t="s">
        <v>18</v>
      </c>
      <c r="D329" t="s">
        <v>20</v>
      </c>
      <c r="F329" s="520">
        <v>5</v>
      </c>
      <c r="G329" s="521">
        <v>223243.38</v>
      </c>
      <c r="H329" s="521">
        <v>150</v>
      </c>
      <c r="I329" s="517"/>
      <c r="J329" s="520">
        <v>0</v>
      </c>
      <c r="K329" s="520">
        <v>0</v>
      </c>
      <c r="L329" s="520">
        <v>0</v>
      </c>
      <c r="M329" s="517"/>
      <c r="N329" s="542">
        <v>5</v>
      </c>
      <c r="O329" s="518">
        <v>223243.38</v>
      </c>
      <c r="P329" s="518">
        <v>150</v>
      </c>
      <c r="Q329" s="519"/>
      <c r="R329" s="516">
        <v>0</v>
      </c>
      <c r="S329" s="521">
        <v>0</v>
      </c>
      <c r="T329" s="521">
        <v>0</v>
      </c>
      <c r="U329" s="517"/>
      <c r="V329" s="342">
        <f t="shared" si="10"/>
        <v>5</v>
      </c>
      <c r="W329" s="518">
        <f t="shared" si="11"/>
        <v>223243.38</v>
      </c>
      <c r="X329" s="257"/>
    </row>
    <row r="330" spans="1:24" x14ac:dyDescent="0.25">
      <c r="A330">
        <v>325</v>
      </c>
      <c r="B330" t="s">
        <v>2233</v>
      </c>
      <c r="C330" t="s">
        <v>18</v>
      </c>
      <c r="D330" t="s">
        <v>20</v>
      </c>
      <c r="F330" s="520">
        <v>2</v>
      </c>
      <c r="G330" s="521">
        <v>47510</v>
      </c>
      <c r="H330" s="521">
        <v>60</v>
      </c>
      <c r="I330" s="517"/>
      <c r="J330" s="520">
        <v>0</v>
      </c>
      <c r="K330" s="520">
        <v>0</v>
      </c>
      <c r="L330" s="520">
        <v>0</v>
      </c>
      <c r="M330" s="517"/>
      <c r="N330" s="542">
        <v>2</v>
      </c>
      <c r="O330" s="518">
        <v>47510</v>
      </c>
      <c r="P330" s="518">
        <v>60</v>
      </c>
      <c r="Q330" s="519"/>
      <c r="R330" s="516">
        <v>0</v>
      </c>
      <c r="S330" s="521">
        <v>0</v>
      </c>
      <c r="T330" s="521">
        <v>0</v>
      </c>
      <c r="U330" s="517"/>
      <c r="V330" s="342">
        <f t="shared" si="10"/>
        <v>2</v>
      </c>
      <c r="W330" s="518">
        <f t="shared" si="11"/>
        <v>47510</v>
      </c>
      <c r="X330" s="257"/>
    </row>
    <row r="331" spans="1:24" x14ac:dyDescent="0.25">
      <c r="A331">
        <v>326</v>
      </c>
      <c r="B331" t="s">
        <v>2234</v>
      </c>
      <c r="C331" t="s">
        <v>18</v>
      </c>
      <c r="D331" t="s">
        <v>20</v>
      </c>
      <c r="F331" s="520">
        <v>9</v>
      </c>
      <c r="G331" s="521">
        <v>418830.75</v>
      </c>
      <c r="H331" s="521">
        <v>270</v>
      </c>
      <c r="I331" s="517"/>
      <c r="J331" s="520">
        <v>0</v>
      </c>
      <c r="K331" s="520">
        <v>0</v>
      </c>
      <c r="L331" s="520">
        <v>0</v>
      </c>
      <c r="M331" s="517"/>
      <c r="N331" s="542">
        <v>9</v>
      </c>
      <c r="O331" s="518">
        <v>418830.75</v>
      </c>
      <c r="P331" s="518">
        <v>270</v>
      </c>
      <c r="Q331" s="519"/>
      <c r="R331" s="516">
        <v>0</v>
      </c>
      <c r="S331" s="521">
        <v>0</v>
      </c>
      <c r="T331" s="521">
        <v>0</v>
      </c>
      <c r="U331" s="517"/>
      <c r="V331" s="342">
        <f t="shared" si="10"/>
        <v>9</v>
      </c>
      <c r="W331" s="518">
        <f t="shared" si="11"/>
        <v>418830.75</v>
      </c>
      <c r="X331" s="257"/>
    </row>
    <row r="332" spans="1:24" x14ac:dyDescent="0.25">
      <c r="A332">
        <v>327</v>
      </c>
      <c r="B332" t="s">
        <v>359</v>
      </c>
      <c r="C332" t="s">
        <v>18</v>
      </c>
      <c r="D332" t="s">
        <v>20</v>
      </c>
      <c r="F332" s="520">
        <v>1</v>
      </c>
      <c r="G332" s="521">
        <v>47416.5</v>
      </c>
      <c r="H332" s="521">
        <v>30</v>
      </c>
      <c r="I332" s="517"/>
      <c r="J332" s="520">
        <v>0</v>
      </c>
      <c r="K332" s="520">
        <v>0</v>
      </c>
      <c r="L332" s="520">
        <v>0</v>
      </c>
      <c r="M332" s="517"/>
      <c r="N332" s="542">
        <v>1</v>
      </c>
      <c r="O332" s="518">
        <v>47416.5</v>
      </c>
      <c r="P332" s="518">
        <v>30</v>
      </c>
      <c r="Q332" s="519"/>
      <c r="R332" s="516">
        <v>0</v>
      </c>
      <c r="S332" s="521">
        <v>0</v>
      </c>
      <c r="T332" s="521">
        <v>0</v>
      </c>
      <c r="U332" s="517"/>
      <c r="V332" s="342">
        <f t="shared" si="10"/>
        <v>1</v>
      </c>
      <c r="W332" s="518">
        <f t="shared" si="11"/>
        <v>47416.5</v>
      </c>
      <c r="X332" s="257"/>
    </row>
    <row r="333" spans="1:24" x14ac:dyDescent="0.25">
      <c r="A333">
        <v>328</v>
      </c>
      <c r="B333" t="s">
        <v>2423</v>
      </c>
      <c r="C333" t="s">
        <v>24</v>
      </c>
      <c r="D333" t="s">
        <v>20</v>
      </c>
      <c r="F333" s="520">
        <v>9</v>
      </c>
      <c r="G333" s="521">
        <v>560838.85</v>
      </c>
      <c r="H333" s="521">
        <v>270</v>
      </c>
      <c r="I333" s="517"/>
      <c r="J333" s="520">
        <v>0</v>
      </c>
      <c r="K333" s="520">
        <v>0</v>
      </c>
      <c r="L333" s="520">
        <v>0</v>
      </c>
      <c r="M333" s="517"/>
      <c r="N333" s="542">
        <v>9</v>
      </c>
      <c r="O333" s="518">
        <v>560838.85</v>
      </c>
      <c r="P333" s="518">
        <v>270</v>
      </c>
      <c r="Q333" s="519"/>
      <c r="R333" s="516">
        <v>0</v>
      </c>
      <c r="S333" s="521">
        <v>0</v>
      </c>
      <c r="T333" s="521">
        <v>0</v>
      </c>
      <c r="U333" s="517"/>
      <c r="V333" s="342">
        <f t="shared" si="10"/>
        <v>9</v>
      </c>
      <c r="W333" s="518">
        <f t="shared" si="11"/>
        <v>560838.85</v>
      </c>
      <c r="X333" s="257"/>
    </row>
    <row r="334" spans="1:24" x14ac:dyDescent="0.25">
      <c r="A334">
        <v>329</v>
      </c>
      <c r="B334" t="s">
        <v>2424</v>
      </c>
      <c r="C334" t="s">
        <v>24</v>
      </c>
      <c r="D334" t="s">
        <v>20</v>
      </c>
      <c r="F334" s="520">
        <v>0</v>
      </c>
      <c r="G334" s="521">
        <v>0</v>
      </c>
      <c r="H334" s="521">
        <v>0</v>
      </c>
      <c r="I334" s="517"/>
      <c r="J334" s="520">
        <v>0</v>
      </c>
      <c r="K334" s="520">
        <v>0</v>
      </c>
      <c r="L334" s="520">
        <v>0</v>
      </c>
      <c r="M334" s="517"/>
      <c r="N334" s="542">
        <v>0</v>
      </c>
      <c r="O334" s="518">
        <v>0</v>
      </c>
      <c r="P334" s="518">
        <v>0</v>
      </c>
      <c r="Q334" s="519"/>
      <c r="R334" s="516">
        <v>9</v>
      </c>
      <c r="S334" s="521">
        <v>131807</v>
      </c>
      <c r="T334" s="521">
        <v>270</v>
      </c>
      <c r="U334" s="517"/>
      <c r="V334" s="342">
        <f t="shared" si="10"/>
        <v>-9</v>
      </c>
      <c r="W334" s="518">
        <f t="shared" si="11"/>
        <v>-132077</v>
      </c>
      <c r="X334" s="257"/>
    </row>
    <row r="335" spans="1:24" x14ac:dyDescent="0.25">
      <c r="A335">
        <v>330</v>
      </c>
      <c r="B335" t="s">
        <v>354</v>
      </c>
      <c r="C335" t="s">
        <v>355</v>
      </c>
      <c r="D335" t="s">
        <v>16</v>
      </c>
      <c r="F335" s="520">
        <v>0</v>
      </c>
      <c r="G335" s="521">
        <v>0</v>
      </c>
      <c r="H335" s="521">
        <v>0</v>
      </c>
      <c r="I335" s="517"/>
      <c r="J335" s="520">
        <v>0</v>
      </c>
      <c r="K335" s="520">
        <v>0</v>
      </c>
      <c r="L335" s="520">
        <v>0</v>
      </c>
      <c r="M335" s="517"/>
      <c r="N335" s="542">
        <v>0</v>
      </c>
      <c r="O335" s="518">
        <v>0</v>
      </c>
      <c r="P335" s="518">
        <v>0</v>
      </c>
      <c r="Q335" s="519"/>
      <c r="R335" s="516">
        <v>11</v>
      </c>
      <c r="S335" s="521">
        <v>449235.76</v>
      </c>
      <c r="T335" s="521">
        <v>330</v>
      </c>
      <c r="U335" s="517"/>
      <c r="V335" s="342">
        <f t="shared" si="10"/>
        <v>-11</v>
      </c>
      <c r="W335" s="518">
        <f t="shared" si="11"/>
        <v>-449565.76</v>
      </c>
      <c r="X335" s="257"/>
    </row>
    <row r="336" spans="1:24" x14ac:dyDescent="0.25">
      <c r="A336">
        <v>331</v>
      </c>
      <c r="B336" t="s">
        <v>360</v>
      </c>
      <c r="C336" t="s">
        <v>25</v>
      </c>
      <c r="D336" t="s">
        <v>16</v>
      </c>
      <c r="F336" s="520">
        <v>0</v>
      </c>
      <c r="G336" s="521">
        <v>0</v>
      </c>
      <c r="H336" s="521">
        <v>0</v>
      </c>
      <c r="I336" s="517"/>
      <c r="J336" s="520">
        <v>0</v>
      </c>
      <c r="K336" s="520">
        <v>0</v>
      </c>
      <c r="L336" s="520">
        <v>0</v>
      </c>
      <c r="M336" s="517"/>
      <c r="N336" s="542">
        <v>0</v>
      </c>
      <c r="O336" s="518">
        <v>0</v>
      </c>
      <c r="P336" s="518">
        <v>0</v>
      </c>
      <c r="Q336" s="519"/>
      <c r="R336" s="516">
        <v>8</v>
      </c>
      <c r="S336" s="521">
        <v>658241</v>
      </c>
      <c r="T336" s="521">
        <v>240</v>
      </c>
      <c r="U336" s="517"/>
      <c r="V336" s="342">
        <f t="shared" si="10"/>
        <v>-8</v>
      </c>
      <c r="W336" s="518">
        <f t="shared" si="11"/>
        <v>-658481</v>
      </c>
      <c r="X336" s="257"/>
    </row>
    <row r="337" spans="1:24" x14ac:dyDescent="0.25">
      <c r="A337">
        <v>332</v>
      </c>
      <c r="B337" t="s">
        <v>361</v>
      </c>
      <c r="C337" t="s">
        <v>355</v>
      </c>
      <c r="D337" t="s">
        <v>16</v>
      </c>
      <c r="F337" s="520">
        <v>0</v>
      </c>
      <c r="G337" s="521">
        <v>0</v>
      </c>
      <c r="H337" s="521">
        <v>0</v>
      </c>
      <c r="I337" s="517"/>
      <c r="J337" s="520">
        <v>0</v>
      </c>
      <c r="K337" s="520">
        <v>0</v>
      </c>
      <c r="L337" s="520">
        <v>0</v>
      </c>
      <c r="M337" s="517"/>
      <c r="N337" s="542">
        <v>0</v>
      </c>
      <c r="O337" s="518">
        <v>0</v>
      </c>
      <c r="P337" s="518">
        <v>0</v>
      </c>
      <c r="Q337" s="519"/>
      <c r="R337" s="516">
        <v>20</v>
      </c>
      <c r="S337" s="521">
        <v>819937.96</v>
      </c>
      <c r="T337" s="521">
        <v>600</v>
      </c>
      <c r="U337" s="517"/>
      <c r="V337" s="342">
        <f t="shared" si="10"/>
        <v>-20</v>
      </c>
      <c r="W337" s="518">
        <f t="shared" si="11"/>
        <v>-820537.96</v>
      </c>
      <c r="X337" s="257"/>
    </row>
    <row r="338" spans="1:24" x14ac:dyDescent="0.25">
      <c r="A338">
        <v>333</v>
      </c>
      <c r="B338" t="s">
        <v>362</v>
      </c>
      <c r="C338" t="s">
        <v>15</v>
      </c>
      <c r="D338" t="s">
        <v>45</v>
      </c>
      <c r="F338" s="520">
        <v>21</v>
      </c>
      <c r="G338" s="521">
        <v>442969</v>
      </c>
      <c r="H338" s="521">
        <v>725</v>
      </c>
      <c r="I338" s="517"/>
      <c r="J338" s="520">
        <v>0</v>
      </c>
      <c r="K338" s="520">
        <v>0</v>
      </c>
      <c r="L338" s="520">
        <v>0</v>
      </c>
      <c r="M338" s="517"/>
      <c r="N338" s="542">
        <v>21</v>
      </c>
      <c r="O338" s="518">
        <v>442969</v>
      </c>
      <c r="P338" s="518">
        <v>725</v>
      </c>
      <c r="Q338" s="519"/>
      <c r="R338" s="516">
        <v>2</v>
      </c>
      <c r="S338" s="521">
        <v>68578.5</v>
      </c>
      <c r="T338" s="521">
        <v>60</v>
      </c>
      <c r="U338" s="517"/>
      <c r="V338" s="342">
        <f t="shared" si="10"/>
        <v>19</v>
      </c>
      <c r="W338" s="518">
        <f t="shared" si="11"/>
        <v>374330.5</v>
      </c>
      <c r="X338" s="257"/>
    </row>
    <row r="339" spans="1:24" x14ac:dyDescent="0.25">
      <c r="A339">
        <v>334</v>
      </c>
      <c r="B339" t="s">
        <v>363</v>
      </c>
      <c r="C339" t="s">
        <v>15</v>
      </c>
      <c r="D339" t="s">
        <v>45</v>
      </c>
      <c r="F339" s="520">
        <v>2</v>
      </c>
      <c r="G339" s="521">
        <v>6767</v>
      </c>
      <c r="H339" s="521">
        <v>50</v>
      </c>
      <c r="I339" s="517"/>
      <c r="J339" s="520">
        <v>0</v>
      </c>
      <c r="K339" s="520">
        <v>0</v>
      </c>
      <c r="L339" s="520">
        <v>0</v>
      </c>
      <c r="M339" s="517"/>
      <c r="N339" s="542">
        <v>2</v>
      </c>
      <c r="O339" s="518">
        <v>6767</v>
      </c>
      <c r="P339" s="518">
        <v>50</v>
      </c>
      <c r="Q339" s="519"/>
      <c r="R339" s="516">
        <v>29</v>
      </c>
      <c r="S339" s="521">
        <v>1176413.93</v>
      </c>
      <c r="T339" s="521">
        <v>870</v>
      </c>
      <c r="U339" s="517"/>
      <c r="V339" s="342">
        <f t="shared" si="10"/>
        <v>-27</v>
      </c>
      <c r="W339" s="518">
        <f t="shared" si="11"/>
        <v>-1170516.93</v>
      </c>
      <c r="X339" s="257"/>
    </row>
    <row r="340" spans="1:24" x14ac:dyDescent="0.25">
      <c r="A340">
        <v>335</v>
      </c>
      <c r="B340" t="s">
        <v>364</v>
      </c>
      <c r="C340" t="s">
        <v>25</v>
      </c>
      <c r="D340" t="s">
        <v>16</v>
      </c>
      <c r="F340" s="520">
        <v>0</v>
      </c>
      <c r="G340" s="521">
        <v>0</v>
      </c>
      <c r="H340" s="521">
        <v>0</v>
      </c>
      <c r="I340" s="517"/>
      <c r="J340" s="520">
        <v>0</v>
      </c>
      <c r="K340" s="520">
        <v>0</v>
      </c>
      <c r="L340" s="520">
        <v>0</v>
      </c>
      <c r="M340" s="517"/>
      <c r="N340" s="542">
        <v>0</v>
      </c>
      <c r="O340" s="518">
        <v>0</v>
      </c>
      <c r="P340" s="518">
        <v>0</v>
      </c>
      <c r="Q340" s="519"/>
      <c r="R340" s="516">
        <v>6</v>
      </c>
      <c r="S340" s="521">
        <v>193521</v>
      </c>
      <c r="T340" s="521">
        <v>180</v>
      </c>
      <c r="U340" s="517"/>
      <c r="V340" s="342">
        <f t="shared" si="10"/>
        <v>-6</v>
      </c>
      <c r="W340" s="518">
        <f t="shared" si="11"/>
        <v>-193701</v>
      </c>
      <c r="X340" s="257"/>
    </row>
    <row r="341" spans="1:24" x14ac:dyDescent="0.25">
      <c r="A341">
        <v>336</v>
      </c>
      <c r="B341" t="s">
        <v>365</v>
      </c>
      <c r="C341" t="s">
        <v>366</v>
      </c>
      <c r="D341" t="s">
        <v>16</v>
      </c>
      <c r="F341" s="520">
        <v>1</v>
      </c>
      <c r="G341" s="521">
        <v>500</v>
      </c>
      <c r="H341" s="521">
        <v>20</v>
      </c>
      <c r="I341" s="517"/>
      <c r="J341" s="520">
        <v>0</v>
      </c>
      <c r="K341" s="520">
        <v>0</v>
      </c>
      <c r="L341" s="520">
        <v>0</v>
      </c>
      <c r="M341" s="517"/>
      <c r="N341" s="542">
        <v>1</v>
      </c>
      <c r="O341" s="518">
        <v>500</v>
      </c>
      <c r="P341" s="518">
        <v>20</v>
      </c>
      <c r="Q341" s="519"/>
      <c r="R341" s="516">
        <v>0</v>
      </c>
      <c r="S341" s="521">
        <v>0</v>
      </c>
      <c r="T341" s="521">
        <v>0</v>
      </c>
      <c r="U341" s="517"/>
      <c r="V341" s="342">
        <f t="shared" si="10"/>
        <v>1</v>
      </c>
      <c r="W341" s="518">
        <f t="shared" si="11"/>
        <v>500</v>
      </c>
      <c r="X341" s="257"/>
    </row>
    <row r="342" spans="1:24" x14ac:dyDescent="0.25">
      <c r="A342">
        <v>337</v>
      </c>
      <c r="B342" t="s">
        <v>367</v>
      </c>
      <c r="C342" t="s">
        <v>51</v>
      </c>
      <c r="D342" t="s">
        <v>16</v>
      </c>
      <c r="F342" s="520">
        <v>0</v>
      </c>
      <c r="G342" s="521">
        <v>0</v>
      </c>
      <c r="H342" s="521">
        <v>0</v>
      </c>
      <c r="I342" s="517"/>
      <c r="J342" s="520">
        <v>0</v>
      </c>
      <c r="K342" s="520">
        <v>0</v>
      </c>
      <c r="L342" s="520">
        <v>0</v>
      </c>
      <c r="M342" s="517"/>
      <c r="N342" s="542">
        <v>0</v>
      </c>
      <c r="O342" s="518">
        <v>0</v>
      </c>
      <c r="P342" s="518">
        <v>0</v>
      </c>
      <c r="Q342" s="519"/>
      <c r="R342" s="516">
        <v>0</v>
      </c>
      <c r="S342" s="521">
        <v>0</v>
      </c>
      <c r="T342" s="521">
        <v>0</v>
      </c>
      <c r="U342" s="517"/>
      <c r="V342" s="342">
        <f t="shared" si="10"/>
        <v>0</v>
      </c>
      <c r="W342" s="518">
        <f t="shared" si="11"/>
        <v>0</v>
      </c>
      <c r="X342" s="257"/>
    </row>
    <row r="343" spans="1:24" x14ac:dyDescent="0.25">
      <c r="A343">
        <v>338</v>
      </c>
      <c r="B343" t="s">
        <v>368</v>
      </c>
      <c r="C343" t="s">
        <v>25</v>
      </c>
      <c r="D343" t="s">
        <v>369</v>
      </c>
      <c r="F343" s="520">
        <v>148</v>
      </c>
      <c r="G343" s="521">
        <v>241902.97999999998</v>
      </c>
      <c r="H343" s="521">
        <v>1332</v>
      </c>
      <c r="I343" s="517"/>
      <c r="J343" s="520">
        <v>0</v>
      </c>
      <c r="K343" s="520">
        <v>0</v>
      </c>
      <c r="L343" s="520">
        <v>0</v>
      </c>
      <c r="M343" s="517"/>
      <c r="N343" s="542">
        <v>148</v>
      </c>
      <c r="O343" s="518">
        <v>241902.97999999998</v>
      </c>
      <c r="P343" s="518">
        <v>1332</v>
      </c>
      <c r="Q343" s="519"/>
      <c r="R343" s="516">
        <v>0</v>
      </c>
      <c r="S343" s="521">
        <v>0</v>
      </c>
      <c r="T343" s="521">
        <v>0</v>
      </c>
      <c r="U343" s="517"/>
      <c r="V343" s="342">
        <f t="shared" si="10"/>
        <v>148</v>
      </c>
      <c r="W343" s="518">
        <f t="shared" si="11"/>
        <v>241902.97999999998</v>
      </c>
      <c r="X343" s="257"/>
    </row>
    <row r="344" spans="1:24" x14ac:dyDescent="0.25">
      <c r="A344">
        <v>339</v>
      </c>
      <c r="B344" t="s">
        <v>370</v>
      </c>
      <c r="D344" t="s">
        <v>43</v>
      </c>
      <c r="F344" s="520">
        <v>0</v>
      </c>
      <c r="G344" s="521">
        <v>0</v>
      </c>
      <c r="H344" s="521">
        <v>0</v>
      </c>
      <c r="I344" s="517"/>
      <c r="J344" s="520">
        <v>0</v>
      </c>
      <c r="K344" s="520">
        <v>0</v>
      </c>
      <c r="L344" s="520">
        <v>0</v>
      </c>
      <c r="M344" s="517"/>
      <c r="N344" s="542">
        <v>0</v>
      </c>
      <c r="O344" s="518">
        <v>0</v>
      </c>
      <c r="P344" s="518">
        <v>0</v>
      </c>
      <c r="Q344" s="519"/>
      <c r="R344" s="516">
        <v>24</v>
      </c>
      <c r="S344" s="521">
        <v>408161</v>
      </c>
      <c r="T344" s="521">
        <v>0</v>
      </c>
      <c r="U344" s="517"/>
      <c r="V344" s="342">
        <f t="shared" si="10"/>
        <v>-24</v>
      </c>
      <c r="W344" s="518">
        <f t="shared" si="11"/>
        <v>-408161</v>
      </c>
      <c r="X344" s="257"/>
    </row>
    <row r="345" spans="1:24" x14ac:dyDescent="0.25">
      <c r="A345">
        <v>340</v>
      </c>
      <c r="B345" t="s">
        <v>371</v>
      </c>
      <c r="C345" t="s">
        <v>136</v>
      </c>
      <c r="D345" t="s">
        <v>87</v>
      </c>
      <c r="F345" s="520">
        <v>387</v>
      </c>
      <c r="G345" s="521">
        <v>7470168.9500000011</v>
      </c>
      <c r="H345" s="521">
        <v>15520</v>
      </c>
      <c r="I345" s="517"/>
      <c r="J345" s="520">
        <v>0</v>
      </c>
      <c r="K345" s="520">
        <v>0</v>
      </c>
      <c r="L345" s="520">
        <v>0</v>
      </c>
      <c r="M345" s="517"/>
      <c r="N345" s="542">
        <v>387</v>
      </c>
      <c r="O345" s="518">
        <v>7470168.9500000011</v>
      </c>
      <c r="P345" s="518">
        <v>15520</v>
      </c>
      <c r="Q345" s="519"/>
      <c r="R345" s="516">
        <v>2</v>
      </c>
      <c r="S345" s="521">
        <v>7519</v>
      </c>
      <c r="T345" s="521">
        <v>0</v>
      </c>
      <c r="U345" s="517"/>
      <c r="V345" s="342">
        <f t="shared" si="10"/>
        <v>385</v>
      </c>
      <c r="W345" s="518">
        <f t="shared" si="11"/>
        <v>7462649.9500000011</v>
      </c>
      <c r="X345" s="257"/>
    </row>
    <row r="346" spans="1:24" x14ac:dyDescent="0.25">
      <c r="A346">
        <v>341</v>
      </c>
      <c r="B346" t="s">
        <v>372</v>
      </c>
      <c r="C346" t="s">
        <v>24</v>
      </c>
      <c r="D346" t="s">
        <v>16</v>
      </c>
      <c r="F346" s="520">
        <v>27</v>
      </c>
      <c r="G346" s="521">
        <v>1330784</v>
      </c>
      <c r="H346" s="521">
        <v>1050</v>
      </c>
      <c r="I346" s="517"/>
      <c r="J346" s="520">
        <v>0</v>
      </c>
      <c r="K346" s="520">
        <v>0</v>
      </c>
      <c r="L346" s="520">
        <v>0</v>
      </c>
      <c r="M346" s="517"/>
      <c r="N346" s="542">
        <v>27</v>
      </c>
      <c r="O346" s="518">
        <v>1330784</v>
      </c>
      <c r="P346" s="518">
        <v>1050</v>
      </c>
      <c r="Q346" s="519"/>
      <c r="R346" s="516">
        <v>0</v>
      </c>
      <c r="S346" s="521">
        <v>0</v>
      </c>
      <c r="T346" s="521">
        <v>0</v>
      </c>
      <c r="U346" s="517"/>
      <c r="V346" s="342">
        <f t="shared" si="10"/>
        <v>27</v>
      </c>
      <c r="W346" s="518">
        <f t="shared" si="11"/>
        <v>1330784</v>
      </c>
      <c r="X346" s="257"/>
    </row>
    <row r="347" spans="1:24" x14ac:dyDescent="0.25">
      <c r="A347">
        <v>342</v>
      </c>
      <c r="B347" t="s">
        <v>373</v>
      </c>
      <c r="C347" t="s">
        <v>366</v>
      </c>
      <c r="D347" t="s">
        <v>16</v>
      </c>
      <c r="F347" s="520">
        <v>0</v>
      </c>
      <c r="G347" s="521">
        <v>0</v>
      </c>
      <c r="H347" s="521">
        <v>0</v>
      </c>
      <c r="I347" s="517"/>
      <c r="J347" s="520">
        <v>0</v>
      </c>
      <c r="K347" s="520">
        <v>0</v>
      </c>
      <c r="L347" s="520">
        <v>0</v>
      </c>
      <c r="M347" s="517"/>
      <c r="N347" s="542">
        <v>0</v>
      </c>
      <c r="O347" s="518">
        <v>0</v>
      </c>
      <c r="P347" s="518">
        <v>0</v>
      </c>
      <c r="Q347" s="519"/>
      <c r="R347" s="516">
        <v>7</v>
      </c>
      <c r="S347" s="521">
        <v>75740</v>
      </c>
      <c r="T347" s="521">
        <v>0</v>
      </c>
      <c r="U347" s="517"/>
      <c r="V347" s="342">
        <f t="shared" si="10"/>
        <v>-7</v>
      </c>
      <c r="W347" s="518">
        <f t="shared" si="11"/>
        <v>-75740</v>
      </c>
      <c r="X347" s="257"/>
    </row>
    <row r="348" spans="1:24" x14ac:dyDescent="0.25">
      <c r="A348">
        <v>343</v>
      </c>
      <c r="B348" t="s">
        <v>374</v>
      </c>
      <c r="C348" t="s">
        <v>15</v>
      </c>
      <c r="D348" t="s">
        <v>20</v>
      </c>
      <c r="F348" s="520">
        <v>0</v>
      </c>
      <c r="G348" s="521">
        <v>0</v>
      </c>
      <c r="H348" s="521">
        <v>0</v>
      </c>
      <c r="I348" s="517"/>
      <c r="J348" s="520">
        <v>0</v>
      </c>
      <c r="K348" s="520">
        <v>0</v>
      </c>
      <c r="L348" s="520">
        <v>0</v>
      </c>
      <c r="M348" s="517"/>
      <c r="N348" s="542">
        <v>0</v>
      </c>
      <c r="O348" s="518">
        <v>0</v>
      </c>
      <c r="P348" s="518">
        <v>0</v>
      </c>
      <c r="Q348" s="519"/>
      <c r="R348" s="516">
        <v>3</v>
      </c>
      <c r="S348" s="521">
        <v>430100</v>
      </c>
      <c r="T348" s="521">
        <v>0</v>
      </c>
      <c r="U348" s="517"/>
      <c r="V348" s="342">
        <f t="shared" si="10"/>
        <v>-3</v>
      </c>
      <c r="W348" s="518">
        <f t="shared" si="11"/>
        <v>-430100</v>
      </c>
      <c r="X348" s="257"/>
    </row>
    <row r="349" spans="1:24" x14ac:dyDescent="0.25">
      <c r="A349">
        <v>344</v>
      </c>
      <c r="B349" t="s">
        <v>2986</v>
      </c>
      <c r="C349" t="s">
        <v>355</v>
      </c>
      <c r="D349" t="s">
        <v>16</v>
      </c>
      <c r="F349" s="520">
        <v>1</v>
      </c>
      <c r="G349" s="521">
        <v>575</v>
      </c>
      <c r="H349" s="521">
        <v>10</v>
      </c>
      <c r="I349" s="517"/>
      <c r="J349" s="520">
        <v>0</v>
      </c>
      <c r="K349" s="520">
        <v>0</v>
      </c>
      <c r="L349" s="520">
        <v>0</v>
      </c>
      <c r="M349" s="517"/>
      <c r="N349" s="542">
        <v>1</v>
      </c>
      <c r="O349" s="518">
        <v>575</v>
      </c>
      <c r="P349" s="518">
        <v>10</v>
      </c>
      <c r="Q349" s="519"/>
      <c r="R349" s="516">
        <v>271</v>
      </c>
      <c r="S349" s="521">
        <v>489692.04</v>
      </c>
      <c r="T349" s="521">
        <v>0</v>
      </c>
      <c r="U349" s="517"/>
      <c r="V349" s="342">
        <f t="shared" si="10"/>
        <v>-270</v>
      </c>
      <c r="W349" s="518">
        <f t="shared" si="11"/>
        <v>-489117.04</v>
      </c>
      <c r="X349" s="257"/>
    </row>
    <row r="350" spans="1:24" x14ac:dyDescent="0.25">
      <c r="A350">
        <v>345</v>
      </c>
      <c r="B350" t="s">
        <v>375</v>
      </c>
      <c r="C350" t="s">
        <v>108</v>
      </c>
      <c r="D350" t="s">
        <v>16</v>
      </c>
      <c r="F350" s="520">
        <v>0</v>
      </c>
      <c r="G350" s="521">
        <v>0</v>
      </c>
      <c r="H350" s="521">
        <v>0</v>
      </c>
      <c r="I350" s="517"/>
      <c r="J350" s="520">
        <v>0</v>
      </c>
      <c r="K350" s="520">
        <v>0</v>
      </c>
      <c r="L350" s="520">
        <v>0</v>
      </c>
      <c r="M350" s="517"/>
      <c r="N350" s="542">
        <v>0</v>
      </c>
      <c r="O350" s="518">
        <v>0</v>
      </c>
      <c r="P350" s="518">
        <v>0</v>
      </c>
      <c r="Q350" s="519"/>
      <c r="R350" s="516">
        <v>0</v>
      </c>
      <c r="S350" s="521">
        <v>0</v>
      </c>
      <c r="T350" s="521">
        <v>0</v>
      </c>
      <c r="U350" s="517"/>
      <c r="V350" s="342">
        <f t="shared" si="10"/>
        <v>0</v>
      </c>
      <c r="W350" s="518">
        <f t="shared" si="11"/>
        <v>0</v>
      </c>
      <c r="X350" s="257"/>
    </row>
    <row r="351" spans="1:24" x14ac:dyDescent="0.25">
      <c r="A351">
        <v>346</v>
      </c>
      <c r="B351" t="s">
        <v>376</v>
      </c>
      <c r="D351" t="s">
        <v>16</v>
      </c>
      <c r="F351" s="520">
        <v>16</v>
      </c>
      <c r="G351" s="521">
        <v>10734.25</v>
      </c>
      <c r="H351" s="521">
        <v>160</v>
      </c>
      <c r="I351" s="517"/>
      <c r="J351" s="520">
        <v>0</v>
      </c>
      <c r="K351" s="520">
        <v>0</v>
      </c>
      <c r="L351" s="520">
        <v>0</v>
      </c>
      <c r="M351" s="517"/>
      <c r="N351" s="542">
        <v>16</v>
      </c>
      <c r="O351" s="518">
        <v>10734.25</v>
      </c>
      <c r="P351" s="518">
        <v>160</v>
      </c>
      <c r="Q351" s="519"/>
      <c r="R351" s="516">
        <v>358</v>
      </c>
      <c r="S351" s="521">
        <v>5172587.5999999996</v>
      </c>
      <c r="T351" s="521">
        <v>14320</v>
      </c>
      <c r="U351" s="517"/>
      <c r="V351" s="342">
        <f t="shared" si="10"/>
        <v>-342</v>
      </c>
      <c r="W351" s="518">
        <f t="shared" si="11"/>
        <v>-5176173.3499999996</v>
      </c>
      <c r="X351" s="257"/>
    </row>
    <row r="352" spans="1:24" x14ac:dyDescent="0.25">
      <c r="A352">
        <v>347</v>
      </c>
      <c r="B352" t="s">
        <v>377</v>
      </c>
      <c r="C352" t="s">
        <v>15</v>
      </c>
      <c r="D352" t="s">
        <v>16</v>
      </c>
      <c r="F352" s="520">
        <v>9</v>
      </c>
      <c r="G352" s="521">
        <v>5373.8099999999995</v>
      </c>
      <c r="H352" s="521">
        <v>90</v>
      </c>
      <c r="I352" s="517"/>
      <c r="J352" s="520">
        <v>0</v>
      </c>
      <c r="K352" s="520">
        <v>0</v>
      </c>
      <c r="L352" s="520">
        <v>0</v>
      </c>
      <c r="M352" s="517"/>
      <c r="N352" s="542">
        <v>9</v>
      </c>
      <c r="O352" s="518">
        <v>5373.8099999999995</v>
      </c>
      <c r="P352" s="518">
        <v>90</v>
      </c>
      <c r="Q352" s="519"/>
      <c r="R352" s="516">
        <v>16</v>
      </c>
      <c r="S352" s="521">
        <v>1043337</v>
      </c>
      <c r="T352" s="521">
        <v>0</v>
      </c>
      <c r="U352" s="517"/>
      <c r="V352" s="342">
        <f t="shared" si="10"/>
        <v>-7</v>
      </c>
      <c r="W352" s="518">
        <f t="shared" si="11"/>
        <v>-1037963.19</v>
      </c>
      <c r="X352" s="257"/>
    </row>
    <row r="353" spans="1:24" x14ac:dyDescent="0.25">
      <c r="A353">
        <v>348</v>
      </c>
      <c r="B353" t="s">
        <v>378</v>
      </c>
      <c r="D353" t="s">
        <v>16</v>
      </c>
      <c r="F353" s="520">
        <v>3</v>
      </c>
      <c r="G353" s="521">
        <v>2289.08</v>
      </c>
      <c r="H353" s="521">
        <v>30</v>
      </c>
      <c r="I353" s="517"/>
      <c r="J353" s="520">
        <v>0</v>
      </c>
      <c r="K353" s="520">
        <v>0</v>
      </c>
      <c r="L353" s="520">
        <v>0</v>
      </c>
      <c r="M353" s="517"/>
      <c r="N353" s="542">
        <v>3</v>
      </c>
      <c r="O353" s="518">
        <v>2289.08</v>
      </c>
      <c r="P353" s="518">
        <v>30</v>
      </c>
      <c r="Q353" s="519"/>
      <c r="R353" s="516">
        <v>0</v>
      </c>
      <c r="S353" s="521">
        <v>0</v>
      </c>
      <c r="T353" s="521">
        <v>0</v>
      </c>
      <c r="U353" s="517"/>
      <c r="V353" s="342">
        <f t="shared" si="10"/>
        <v>3</v>
      </c>
      <c r="W353" s="518">
        <f t="shared" si="11"/>
        <v>2289.08</v>
      </c>
      <c r="X353" s="257"/>
    </row>
    <row r="354" spans="1:24" x14ac:dyDescent="0.25">
      <c r="A354">
        <v>349</v>
      </c>
      <c r="B354" t="s">
        <v>379</v>
      </c>
      <c r="C354" t="s">
        <v>24</v>
      </c>
      <c r="D354" t="s">
        <v>16</v>
      </c>
      <c r="F354" s="520">
        <v>0</v>
      </c>
      <c r="G354" s="521">
        <v>0</v>
      </c>
      <c r="H354" s="521">
        <v>0</v>
      </c>
      <c r="I354" s="517"/>
      <c r="J354" s="520">
        <v>0</v>
      </c>
      <c r="K354" s="520">
        <v>0</v>
      </c>
      <c r="L354" s="520">
        <v>0</v>
      </c>
      <c r="M354" s="517"/>
      <c r="N354" s="542">
        <v>0</v>
      </c>
      <c r="O354" s="518">
        <v>0</v>
      </c>
      <c r="P354" s="518">
        <v>0</v>
      </c>
      <c r="Q354" s="519"/>
      <c r="R354" s="516">
        <v>6</v>
      </c>
      <c r="S354" s="521">
        <v>252691.9</v>
      </c>
      <c r="T354" s="521">
        <v>300</v>
      </c>
      <c r="U354" s="517"/>
      <c r="V354" s="342">
        <f t="shared" si="10"/>
        <v>-6</v>
      </c>
      <c r="W354" s="518">
        <f t="shared" si="11"/>
        <v>-252991.9</v>
      </c>
      <c r="X354" s="257"/>
    </row>
    <row r="355" spans="1:24" x14ac:dyDescent="0.25">
      <c r="A355">
        <v>350</v>
      </c>
      <c r="B355" t="s">
        <v>3304</v>
      </c>
      <c r="C355" t="s">
        <v>22</v>
      </c>
      <c r="D355" t="s">
        <v>20</v>
      </c>
      <c r="F355" s="520">
        <v>5</v>
      </c>
      <c r="G355" s="521">
        <v>35000</v>
      </c>
      <c r="H355" s="521">
        <v>100</v>
      </c>
      <c r="I355" s="517"/>
      <c r="J355" s="520">
        <v>0</v>
      </c>
      <c r="K355" s="520">
        <v>0</v>
      </c>
      <c r="L355" s="520">
        <v>0</v>
      </c>
      <c r="M355" s="517"/>
      <c r="N355" s="542">
        <v>5</v>
      </c>
      <c r="O355" s="518">
        <v>35000</v>
      </c>
      <c r="P355" s="518">
        <v>100</v>
      </c>
      <c r="Q355" s="519"/>
      <c r="R355" s="516">
        <v>0</v>
      </c>
      <c r="S355" s="521">
        <v>0</v>
      </c>
      <c r="T355" s="521">
        <v>0</v>
      </c>
      <c r="U355" s="517"/>
      <c r="V355" s="342">
        <f t="shared" si="10"/>
        <v>5</v>
      </c>
      <c r="W355" s="518">
        <f t="shared" si="11"/>
        <v>35000</v>
      </c>
      <c r="X355" s="257"/>
    </row>
    <row r="356" spans="1:24" x14ac:dyDescent="0.25">
      <c r="A356">
        <v>351</v>
      </c>
      <c r="B356" t="s">
        <v>3227</v>
      </c>
      <c r="C356" t="s">
        <v>3228</v>
      </c>
      <c r="D356" t="s">
        <v>380</v>
      </c>
      <c r="F356" s="520">
        <v>0</v>
      </c>
      <c r="G356" s="521">
        <v>0</v>
      </c>
      <c r="H356" s="521">
        <v>0</v>
      </c>
      <c r="I356" s="517"/>
      <c r="J356" s="520">
        <v>0</v>
      </c>
      <c r="K356" s="520">
        <v>0</v>
      </c>
      <c r="L356" s="520">
        <v>0</v>
      </c>
      <c r="M356" s="517"/>
      <c r="N356" s="542">
        <v>0</v>
      </c>
      <c r="O356" s="518">
        <v>0</v>
      </c>
      <c r="P356" s="518">
        <v>0</v>
      </c>
      <c r="Q356" s="519"/>
      <c r="R356" s="516">
        <v>0</v>
      </c>
      <c r="S356" s="521">
        <v>0</v>
      </c>
      <c r="T356" s="521">
        <v>0</v>
      </c>
      <c r="U356" s="517"/>
      <c r="V356" s="342">
        <f t="shared" si="10"/>
        <v>0</v>
      </c>
      <c r="W356" s="518">
        <f t="shared" si="11"/>
        <v>0</v>
      </c>
      <c r="X356" s="257"/>
    </row>
    <row r="357" spans="1:24" x14ac:dyDescent="0.25">
      <c r="A357">
        <v>352</v>
      </c>
      <c r="B357" t="s">
        <v>381</v>
      </c>
      <c r="D357" t="s">
        <v>20</v>
      </c>
      <c r="F357" s="520">
        <v>773</v>
      </c>
      <c r="G357" s="521">
        <v>728909.66999999993</v>
      </c>
      <c r="H357" s="521">
        <v>3890</v>
      </c>
      <c r="I357" s="517"/>
      <c r="J357" s="520">
        <v>0</v>
      </c>
      <c r="K357" s="520">
        <v>0</v>
      </c>
      <c r="L357" s="520">
        <v>0</v>
      </c>
      <c r="M357" s="517"/>
      <c r="N357" s="542">
        <v>773</v>
      </c>
      <c r="O357" s="518">
        <v>728909.66999999993</v>
      </c>
      <c r="P357" s="518">
        <v>3890</v>
      </c>
      <c r="Q357" s="519"/>
      <c r="R357" s="516">
        <v>15</v>
      </c>
      <c r="S357" s="521">
        <v>13524</v>
      </c>
      <c r="T357" s="521">
        <v>0</v>
      </c>
      <c r="U357" s="517"/>
      <c r="V357" s="342">
        <f t="shared" si="10"/>
        <v>758</v>
      </c>
      <c r="W357" s="518">
        <f t="shared" si="11"/>
        <v>715385.66999999993</v>
      </c>
      <c r="X357" s="257"/>
    </row>
    <row r="358" spans="1:24" x14ac:dyDescent="0.25">
      <c r="A358">
        <v>353</v>
      </c>
      <c r="B358" t="s">
        <v>382</v>
      </c>
      <c r="C358" t="s">
        <v>25</v>
      </c>
      <c r="D358" t="s">
        <v>369</v>
      </c>
      <c r="F358" s="520">
        <v>0</v>
      </c>
      <c r="G358" s="521">
        <v>0</v>
      </c>
      <c r="H358" s="521">
        <v>0</v>
      </c>
      <c r="I358" s="517"/>
      <c r="J358" s="520">
        <v>0</v>
      </c>
      <c r="K358" s="520">
        <v>0</v>
      </c>
      <c r="L358" s="520">
        <v>0</v>
      </c>
      <c r="M358" s="517"/>
      <c r="N358" s="542">
        <v>0</v>
      </c>
      <c r="O358" s="518">
        <v>0</v>
      </c>
      <c r="P358" s="518">
        <v>0</v>
      </c>
      <c r="Q358" s="519"/>
      <c r="R358" s="516">
        <v>32</v>
      </c>
      <c r="S358" s="521">
        <v>23975.88</v>
      </c>
      <c r="T358" s="521">
        <v>0</v>
      </c>
      <c r="U358" s="517"/>
      <c r="V358" s="342">
        <f t="shared" si="10"/>
        <v>-32</v>
      </c>
      <c r="W358" s="518">
        <f t="shared" si="11"/>
        <v>-23975.88</v>
      </c>
      <c r="X358" s="257"/>
    </row>
    <row r="359" spans="1:24" x14ac:dyDescent="0.25">
      <c r="A359">
        <v>354</v>
      </c>
      <c r="B359" t="s">
        <v>383</v>
      </c>
      <c r="C359" t="s">
        <v>25</v>
      </c>
      <c r="D359" t="s">
        <v>45</v>
      </c>
      <c r="F359" s="520">
        <v>0</v>
      </c>
      <c r="G359" s="521">
        <v>0</v>
      </c>
      <c r="H359" s="521">
        <v>0</v>
      </c>
      <c r="I359" s="517"/>
      <c r="J359" s="520">
        <v>0</v>
      </c>
      <c r="K359" s="520">
        <v>0</v>
      </c>
      <c r="L359" s="520">
        <v>0</v>
      </c>
      <c r="M359" s="517"/>
      <c r="N359" s="542">
        <v>0</v>
      </c>
      <c r="O359" s="518">
        <v>0</v>
      </c>
      <c r="P359" s="518">
        <v>0</v>
      </c>
      <c r="Q359" s="519"/>
      <c r="R359" s="516">
        <v>19</v>
      </c>
      <c r="S359" s="521">
        <v>15055.18</v>
      </c>
      <c r="T359" s="521">
        <v>0</v>
      </c>
      <c r="U359" s="517"/>
      <c r="V359" s="342">
        <f t="shared" si="10"/>
        <v>-19</v>
      </c>
      <c r="W359" s="518">
        <f t="shared" si="11"/>
        <v>-15055.18</v>
      </c>
      <c r="X359" s="257"/>
    </row>
    <row r="360" spans="1:24" x14ac:dyDescent="0.25">
      <c r="A360">
        <v>355</v>
      </c>
      <c r="B360" t="s">
        <v>384</v>
      </c>
      <c r="C360" t="s">
        <v>15</v>
      </c>
      <c r="D360" t="s">
        <v>45</v>
      </c>
      <c r="F360" s="520">
        <v>2</v>
      </c>
      <c r="G360" s="521">
        <v>133713</v>
      </c>
      <c r="H360" s="521">
        <v>150</v>
      </c>
      <c r="I360" s="517"/>
      <c r="J360" s="520">
        <v>0</v>
      </c>
      <c r="K360" s="520">
        <v>0</v>
      </c>
      <c r="L360" s="520">
        <v>0</v>
      </c>
      <c r="M360" s="517"/>
      <c r="N360" s="542">
        <v>2</v>
      </c>
      <c r="O360" s="518">
        <v>133713</v>
      </c>
      <c r="P360" s="518">
        <v>150</v>
      </c>
      <c r="Q360" s="519"/>
      <c r="R360" s="516">
        <v>1</v>
      </c>
      <c r="S360" s="521">
        <v>1500</v>
      </c>
      <c r="T360" s="521">
        <v>0</v>
      </c>
      <c r="U360" s="517"/>
      <c r="V360" s="342">
        <f t="shared" si="10"/>
        <v>1</v>
      </c>
      <c r="W360" s="518">
        <f t="shared" si="11"/>
        <v>132213</v>
      </c>
      <c r="X360" s="257"/>
    </row>
    <row r="361" spans="1:24" x14ac:dyDescent="0.25">
      <c r="A361">
        <v>356</v>
      </c>
      <c r="B361" t="s">
        <v>385</v>
      </c>
      <c r="C361" t="s">
        <v>78</v>
      </c>
      <c r="D361" t="s">
        <v>20</v>
      </c>
      <c r="F361" s="520">
        <v>0</v>
      </c>
      <c r="G361" s="521">
        <v>0</v>
      </c>
      <c r="H361" s="521">
        <v>0</v>
      </c>
      <c r="I361" s="517"/>
      <c r="J361" s="520">
        <v>0</v>
      </c>
      <c r="K361" s="520">
        <v>0</v>
      </c>
      <c r="L361" s="520">
        <v>0</v>
      </c>
      <c r="M361" s="517"/>
      <c r="N361" s="542">
        <v>0</v>
      </c>
      <c r="O361" s="518">
        <v>0</v>
      </c>
      <c r="P361" s="518">
        <v>0</v>
      </c>
      <c r="Q361" s="519"/>
      <c r="R361" s="516">
        <v>0</v>
      </c>
      <c r="S361" s="521">
        <v>0</v>
      </c>
      <c r="T361" s="521">
        <v>0</v>
      </c>
      <c r="U361" s="517"/>
      <c r="V361" s="342">
        <f t="shared" si="10"/>
        <v>0</v>
      </c>
      <c r="W361" s="518">
        <f t="shared" si="11"/>
        <v>0</v>
      </c>
      <c r="X361" s="257"/>
    </row>
    <row r="362" spans="1:24" x14ac:dyDescent="0.25">
      <c r="A362">
        <v>357</v>
      </c>
      <c r="B362" t="s">
        <v>386</v>
      </c>
      <c r="C362" t="s">
        <v>18</v>
      </c>
      <c r="D362" t="s">
        <v>20</v>
      </c>
      <c r="F362" s="520">
        <v>0</v>
      </c>
      <c r="G362" s="521">
        <v>0</v>
      </c>
      <c r="H362" s="521">
        <v>0</v>
      </c>
      <c r="I362" s="517"/>
      <c r="J362" s="520">
        <v>0</v>
      </c>
      <c r="K362" s="520">
        <v>0</v>
      </c>
      <c r="L362" s="520">
        <v>0</v>
      </c>
      <c r="M362" s="517"/>
      <c r="N362" s="542">
        <v>0</v>
      </c>
      <c r="O362" s="518">
        <v>0</v>
      </c>
      <c r="P362" s="518">
        <v>0</v>
      </c>
      <c r="Q362" s="519"/>
      <c r="R362" s="516">
        <v>0</v>
      </c>
      <c r="S362" s="521">
        <v>0</v>
      </c>
      <c r="T362" s="521">
        <v>0</v>
      </c>
      <c r="U362" s="517"/>
      <c r="V362" s="342">
        <f t="shared" si="10"/>
        <v>0</v>
      </c>
      <c r="W362" s="518">
        <f t="shared" si="11"/>
        <v>0</v>
      </c>
      <c r="X362" s="257"/>
    </row>
    <row r="363" spans="1:24" x14ac:dyDescent="0.25">
      <c r="A363">
        <v>358</v>
      </c>
      <c r="B363" t="s">
        <v>387</v>
      </c>
      <c r="C363" t="s">
        <v>18</v>
      </c>
      <c r="D363" t="s">
        <v>20</v>
      </c>
      <c r="F363" s="520">
        <v>0</v>
      </c>
      <c r="G363" s="521">
        <v>0</v>
      </c>
      <c r="H363" s="521">
        <v>0</v>
      </c>
      <c r="I363" s="517"/>
      <c r="J363" s="520">
        <v>0</v>
      </c>
      <c r="K363" s="520">
        <v>0</v>
      </c>
      <c r="L363" s="520">
        <v>0</v>
      </c>
      <c r="M363" s="517"/>
      <c r="N363" s="542">
        <v>0</v>
      </c>
      <c r="O363" s="518">
        <v>0</v>
      </c>
      <c r="P363" s="518">
        <v>0</v>
      </c>
      <c r="Q363" s="519"/>
      <c r="R363" s="516">
        <v>934</v>
      </c>
      <c r="S363" s="521">
        <v>869363.53</v>
      </c>
      <c r="T363" s="521">
        <v>0</v>
      </c>
      <c r="U363" s="517"/>
      <c r="V363" s="342">
        <f t="shared" si="10"/>
        <v>-934</v>
      </c>
      <c r="W363" s="518">
        <f t="shared" si="11"/>
        <v>-869363.53</v>
      </c>
      <c r="X363" s="257"/>
    </row>
    <row r="364" spans="1:24" x14ac:dyDescent="0.25">
      <c r="A364">
        <v>359</v>
      </c>
      <c r="B364" t="s">
        <v>388</v>
      </c>
      <c r="C364" t="s">
        <v>108</v>
      </c>
      <c r="D364" t="s">
        <v>16</v>
      </c>
      <c r="F364" s="520">
        <v>0</v>
      </c>
      <c r="G364" s="521">
        <v>0</v>
      </c>
      <c r="H364" s="521">
        <v>0</v>
      </c>
      <c r="I364" s="517"/>
      <c r="J364" s="520">
        <v>0</v>
      </c>
      <c r="K364" s="520">
        <v>0</v>
      </c>
      <c r="L364" s="520">
        <v>0</v>
      </c>
      <c r="M364" s="517"/>
      <c r="N364" s="542">
        <v>0</v>
      </c>
      <c r="O364" s="518">
        <v>0</v>
      </c>
      <c r="P364" s="518">
        <v>0</v>
      </c>
      <c r="Q364" s="519"/>
      <c r="R364" s="516">
        <v>1573</v>
      </c>
      <c r="S364" s="521">
        <v>103782685</v>
      </c>
      <c r="T364" s="521">
        <v>0</v>
      </c>
      <c r="U364" s="517"/>
      <c r="V364" s="342">
        <f t="shared" si="10"/>
        <v>-1573</v>
      </c>
      <c r="W364" s="518">
        <f t="shared" si="11"/>
        <v>-103782685</v>
      </c>
      <c r="X364" s="257"/>
    </row>
    <row r="365" spans="1:24" x14ac:dyDescent="0.25">
      <c r="A365">
        <v>360</v>
      </c>
      <c r="B365" t="s">
        <v>389</v>
      </c>
      <c r="C365" t="s">
        <v>51</v>
      </c>
      <c r="D365" t="s">
        <v>16</v>
      </c>
      <c r="F365" s="520">
        <v>184</v>
      </c>
      <c r="G365" s="521">
        <v>250999.63999999996</v>
      </c>
      <c r="H365" s="521">
        <v>1840</v>
      </c>
      <c r="I365" s="517"/>
      <c r="J365" s="520">
        <v>0</v>
      </c>
      <c r="K365" s="520">
        <v>0</v>
      </c>
      <c r="L365" s="520">
        <v>0</v>
      </c>
      <c r="M365" s="517"/>
      <c r="N365" s="542">
        <v>184</v>
      </c>
      <c r="O365" s="518">
        <v>250999.63999999996</v>
      </c>
      <c r="P365" s="518">
        <v>1840</v>
      </c>
      <c r="Q365" s="519"/>
      <c r="R365" s="516">
        <v>0</v>
      </c>
      <c r="S365" s="521">
        <v>0</v>
      </c>
      <c r="T365" s="521">
        <v>0</v>
      </c>
      <c r="U365" s="517"/>
      <c r="V365" s="342">
        <f t="shared" si="10"/>
        <v>184</v>
      </c>
      <c r="W365" s="518">
        <f t="shared" si="11"/>
        <v>250999.63999999996</v>
      </c>
      <c r="X365" s="257"/>
    </row>
    <row r="366" spans="1:24" x14ac:dyDescent="0.25">
      <c r="A366">
        <v>361</v>
      </c>
      <c r="B366" t="s">
        <v>390</v>
      </c>
      <c r="C366" t="s">
        <v>15</v>
      </c>
      <c r="D366" t="s">
        <v>16</v>
      </c>
      <c r="F366" s="520">
        <v>0</v>
      </c>
      <c r="G366" s="521">
        <v>0</v>
      </c>
      <c r="H366" s="521">
        <v>0</v>
      </c>
      <c r="I366" s="517"/>
      <c r="J366" s="520">
        <v>0</v>
      </c>
      <c r="K366" s="520">
        <v>0</v>
      </c>
      <c r="L366" s="520">
        <v>0</v>
      </c>
      <c r="M366" s="517"/>
      <c r="N366" s="542">
        <v>0</v>
      </c>
      <c r="O366" s="518">
        <v>0</v>
      </c>
      <c r="P366" s="518">
        <v>0</v>
      </c>
      <c r="Q366" s="519"/>
      <c r="R366" s="516">
        <v>32</v>
      </c>
      <c r="S366" s="521">
        <v>1878902.55</v>
      </c>
      <c r="T366" s="521">
        <v>0</v>
      </c>
      <c r="U366" s="517"/>
      <c r="V366" s="342">
        <f t="shared" si="10"/>
        <v>-32</v>
      </c>
      <c r="W366" s="518">
        <f t="shared" si="11"/>
        <v>-1878902.55</v>
      </c>
      <c r="X366" s="257"/>
    </row>
    <row r="367" spans="1:24" x14ac:dyDescent="0.25">
      <c r="A367">
        <v>362</v>
      </c>
      <c r="B367" t="s">
        <v>391</v>
      </c>
      <c r="C367" t="s">
        <v>15</v>
      </c>
      <c r="D367" t="s">
        <v>16</v>
      </c>
      <c r="F367" s="520">
        <v>392</v>
      </c>
      <c r="G367" s="521">
        <v>13886415.609999999</v>
      </c>
      <c r="H367" s="521">
        <v>13720</v>
      </c>
      <c r="I367" s="517"/>
      <c r="J367" s="520">
        <v>0</v>
      </c>
      <c r="K367" s="520">
        <v>0</v>
      </c>
      <c r="L367" s="520">
        <v>0</v>
      </c>
      <c r="M367" s="517"/>
      <c r="N367" s="542">
        <v>392</v>
      </c>
      <c r="O367" s="518">
        <v>13886415.609999999</v>
      </c>
      <c r="P367" s="518">
        <v>13720</v>
      </c>
      <c r="Q367" s="519"/>
      <c r="R367" s="516">
        <v>0</v>
      </c>
      <c r="S367" s="521">
        <v>0</v>
      </c>
      <c r="T367" s="521">
        <v>0</v>
      </c>
      <c r="U367" s="517"/>
      <c r="V367" s="342">
        <f t="shared" si="10"/>
        <v>392</v>
      </c>
      <c r="W367" s="518">
        <f t="shared" si="11"/>
        <v>13886415.609999999</v>
      </c>
      <c r="X367" s="257"/>
    </row>
    <row r="368" spans="1:24" x14ac:dyDescent="0.25">
      <c r="A368">
        <v>363</v>
      </c>
      <c r="B368" t="s">
        <v>392</v>
      </c>
      <c r="D368" t="s">
        <v>40</v>
      </c>
      <c r="F368" s="520">
        <v>0</v>
      </c>
      <c r="G368" s="521">
        <v>0</v>
      </c>
      <c r="H368" s="521">
        <v>0</v>
      </c>
      <c r="I368" s="517"/>
      <c r="J368" s="520">
        <v>0</v>
      </c>
      <c r="K368" s="520">
        <v>0</v>
      </c>
      <c r="L368" s="520">
        <v>0</v>
      </c>
      <c r="M368" s="517"/>
      <c r="N368" s="542">
        <v>0</v>
      </c>
      <c r="O368" s="518">
        <v>0</v>
      </c>
      <c r="P368" s="518">
        <v>0</v>
      </c>
      <c r="Q368" s="519"/>
      <c r="R368" s="516">
        <v>0</v>
      </c>
      <c r="S368" s="521">
        <v>0</v>
      </c>
      <c r="T368" s="521">
        <v>0</v>
      </c>
      <c r="U368" s="517"/>
      <c r="V368" s="342">
        <f t="shared" si="10"/>
        <v>0</v>
      </c>
      <c r="W368" s="518">
        <f t="shared" si="11"/>
        <v>0</v>
      </c>
      <c r="X368" s="257"/>
    </row>
    <row r="369" spans="1:24" x14ac:dyDescent="0.25">
      <c r="A369">
        <v>364</v>
      </c>
      <c r="B369" t="s">
        <v>393</v>
      </c>
      <c r="D369" t="s">
        <v>16</v>
      </c>
      <c r="F369" s="520">
        <v>0</v>
      </c>
      <c r="G369" s="521">
        <v>0</v>
      </c>
      <c r="H369" s="521">
        <v>0</v>
      </c>
      <c r="I369" s="517"/>
      <c r="J369" s="520">
        <v>0</v>
      </c>
      <c r="K369" s="520">
        <v>0</v>
      </c>
      <c r="L369" s="520">
        <v>0</v>
      </c>
      <c r="M369" s="517"/>
      <c r="N369" s="542">
        <v>0</v>
      </c>
      <c r="O369" s="518">
        <v>0</v>
      </c>
      <c r="P369" s="518">
        <v>0</v>
      </c>
      <c r="Q369" s="519"/>
      <c r="R369" s="516">
        <v>0</v>
      </c>
      <c r="S369" s="521">
        <v>0</v>
      </c>
      <c r="T369" s="521">
        <v>0</v>
      </c>
      <c r="U369" s="517"/>
      <c r="V369" s="342">
        <f t="shared" si="10"/>
        <v>0</v>
      </c>
      <c r="W369" s="518">
        <f t="shared" si="11"/>
        <v>0</v>
      </c>
      <c r="X369" s="257"/>
    </row>
    <row r="370" spans="1:24" x14ac:dyDescent="0.25">
      <c r="A370">
        <v>365</v>
      </c>
      <c r="B370" t="s">
        <v>394</v>
      </c>
      <c r="D370" t="s">
        <v>16</v>
      </c>
      <c r="F370" s="520">
        <v>0</v>
      </c>
      <c r="G370" s="521">
        <v>0</v>
      </c>
      <c r="H370" s="521">
        <v>0</v>
      </c>
      <c r="I370" s="517"/>
      <c r="J370" s="520">
        <v>0</v>
      </c>
      <c r="K370" s="520">
        <v>0</v>
      </c>
      <c r="L370" s="520">
        <v>0</v>
      </c>
      <c r="M370" s="517"/>
      <c r="N370" s="542">
        <v>0</v>
      </c>
      <c r="O370" s="518">
        <v>0</v>
      </c>
      <c r="P370" s="518">
        <v>0</v>
      </c>
      <c r="Q370" s="519"/>
      <c r="R370" s="516">
        <v>0</v>
      </c>
      <c r="S370" s="521">
        <v>0</v>
      </c>
      <c r="T370" s="521">
        <v>0</v>
      </c>
      <c r="U370" s="517"/>
      <c r="V370" s="342">
        <f t="shared" si="10"/>
        <v>0</v>
      </c>
      <c r="W370" s="518">
        <f t="shared" si="11"/>
        <v>0</v>
      </c>
      <c r="X370" s="257"/>
    </row>
    <row r="371" spans="1:24" x14ac:dyDescent="0.25">
      <c r="A371">
        <v>366</v>
      </c>
      <c r="B371" t="s">
        <v>2177</v>
      </c>
      <c r="F371" s="520">
        <v>0</v>
      </c>
      <c r="G371" s="521">
        <v>0</v>
      </c>
      <c r="H371" s="521">
        <v>0</v>
      </c>
      <c r="I371" s="517"/>
      <c r="J371" s="520">
        <v>0</v>
      </c>
      <c r="K371" s="520">
        <v>0</v>
      </c>
      <c r="L371" s="520">
        <v>0</v>
      </c>
      <c r="M371" s="517"/>
      <c r="N371" s="542">
        <v>0</v>
      </c>
      <c r="O371" s="518">
        <v>0</v>
      </c>
      <c r="P371" s="518">
        <v>0</v>
      </c>
      <c r="Q371" s="519"/>
      <c r="R371" s="516">
        <v>387</v>
      </c>
      <c r="S371" s="521">
        <v>513017.66</v>
      </c>
      <c r="T371" s="521">
        <v>0</v>
      </c>
      <c r="U371" s="517"/>
      <c r="V371" s="342">
        <f t="shared" si="10"/>
        <v>-387</v>
      </c>
      <c r="W371" s="518">
        <f t="shared" si="11"/>
        <v>-513017.66</v>
      </c>
      <c r="X371" s="257"/>
    </row>
    <row r="372" spans="1:24" x14ac:dyDescent="0.25">
      <c r="A372">
        <v>367</v>
      </c>
      <c r="B372" t="s">
        <v>3225</v>
      </c>
      <c r="D372" t="s">
        <v>16</v>
      </c>
      <c r="F372" s="520">
        <v>0</v>
      </c>
      <c r="G372" s="521">
        <v>0</v>
      </c>
      <c r="H372" s="521">
        <v>0</v>
      </c>
      <c r="I372" s="517"/>
      <c r="J372" s="520">
        <v>0</v>
      </c>
      <c r="K372" s="520">
        <v>0</v>
      </c>
      <c r="L372" s="520">
        <v>0</v>
      </c>
      <c r="M372" s="517"/>
      <c r="N372" s="542">
        <v>0</v>
      </c>
      <c r="O372" s="518">
        <v>0</v>
      </c>
      <c r="P372" s="518">
        <v>0</v>
      </c>
      <c r="Q372" s="519"/>
      <c r="R372" s="516">
        <v>0</v>
      </c>
      <c r="S372" s="521">
        <v>0</v>
      </c>
      <c r="T372" s="521">
        <v>0</v>
      </c>
      <c r="U372" s="517"/>
      <c r="V372" s="342">
        <f t="shared" si="10"/>
        <v>0</v>
      </c>
      <c r="W372" s="518">
        <f t="shared" si="11"/>
        <v>0</v>
      </c>
      <c r="X372" s="257"/>
    </row>
    <row r="373" spans="1:24" x14ac:dyDescent="0.25">
      <c r="A373">
        <v>368</v>
      </c>
      <c r="B373" t="s">
        <v>3229</v>
      </c>
      <c r="C373" t="s">
        <v>15</v>
      </c>
      <c r="D373" t="s">
        <v>20</v>
      </c>
      <c r="F373" s="520">
        <v>0</v>
      </c>
      <c r="G373" s="521">
        <v>0</v>
      </c>
      <c r="H373" s="521">
        <v>0</v>
      </c>
      <c r="I373" s="517"/>
      <c r="J373" s="520">
        <v>0</v>
      </c>
      <c r="K373" s="520">
        <v>0</v>
      </c>
      <c r="L373" s="520">
        <v>0</v>
      </c>
      <c r="M373" s="517"/>
      <c r="N373" s="542">
        <v>0</v>
      </c>
      <c r="O373" s="518">
        <v>0</v>
      </c>
      <c r="P373" s="518">
        <v>0</v>
      </c>
      <c r="Q373" s="519"/>
      <c r="R373" s="516">
        <v>102</v>
      </c>
      <c r="S373" s="521">
        <v>3420229.3</v>
      </c>
      <c r="T373" s="521">
        <v>0</v>
      </c>
      <c r="U373" s="517"/>
      <c r="V373" s="342">
        <f t="shared" si="10"/>
        <v>-102</v>
      </c>
      <c r="W373" s="518">
        <f t="shared" si="11"/>
        <v>-3420229.3</v>
      </c>
      <c r="X373" s="257"/>
    </row>
    <row r="374" spans="1:24" x14ac:dyDescent="0.25">
      <c r="A374">
        <v>369</v>
      </c>
      <c r="B374" t="s">
        <v>2987</v>
      </c>
      <c r="F374" s="520">
        <v>2</v>
      </c>
      <c r="G374" s="521">
        <v>39955.78</v>
      </c>
      <c r="H374" s="521">
        <v>60</v>
      </c>
      <c r="I374" s="517"/>
      <c r="J374" s="520">
        <v>0</v>
      </c>
      <c r="K374" s="520">
        <v>0</v>
      </c>
      <c r="L374" s="520">
        <v>0</v>
      </c>
      <c r="M374" s="517"/>
      <c r="N374" s="542">
        <v>2</v>
      </c>
      <c r="O374" s="518">
        <v>39955.78</v>
      </c>
      <c r="P374" s="518">
        <v>60</v>
      </c>
      <c r="Q374" s="519"/>
      <c r="R374" s="516">
        <v>0</v>
      </c>
      <c r="S374" s="521">
        <v>0</v>
      </c>
      <c r="T374" s="521">
        <v>0</v>
      </c>
      <c r="U374" s="517"/>
      <c r="V374" s="342">
        <f t="shared" si="10"/>
        <v>2</v>
      </c>
      <c r="W374" s="518">
        <f t="shared" si="11"/>
        <v>39955.78</v>
      </c>
      <c r="X374" s="257"/>
    </row>
    <row r="375" spans="1:24" x14ac:dyDescent="0.25">
      <c r="A375">
        <v>370</v>
      </c>
      <c r="B375" t="s">
        <v>395</v>
      </c>
      <c r="D375" t="s">
        <v>40</v>
      </c>
      <c r="F375" s="520">
        <v>0</v>
      </c>
      <c r="G375" s="521">
        <v>0</v>
      </c>
      <c r="H375" s="521">
        <v>0</v>
      </c>
      <c r="I375" s="517"/>
      <c r="J375" s="520">
        <v>0</v>
      </c>
      <c r="K375" s="520">
        <v>0</v>
      </c>
      <c r="L375" s="520">
        <v>0</v>
      </c>
      <c r="M375" s="517"/>
      <c r="N375" s="542">
        <v>0</v>
      </c>
      <c r="O375" s="518">
        <v>0</v>
      </c>
      <c r="P375" s="518">
        <v>0</v>
      </c>
      <c r="Q375" s="519"/>
      <c r="R375" s="516">
        <v>0</v>
      </c>
      <c r="S375" s="521">
        <v>0</v>
      </c>
      <c r="T375" s="521">
        <v>0</v>
      </c>
      <c r="U375" s="517"/>
      <c r="V375" s="342">
        <f t="shared" si="10"/>
        <v>0</v>
      </c>
      <c r="W375" s="518">
        <f t="shared" si="11"/>
        <v>0</v>
      </c>
      <c r="X375" s="257"/>
    </row>
    <row r="376" spans="1:24" x14ac:dyDescent="0.25">
      <c r="A376">
        <v>371</v>
      </c>
      <c r="B376" t="s">
        <v>396</v>
      </c>
      <c r="C376" t="s">
        <v>154</v>
      </c>
      <c r="D376" t="s">
        <v>16</v>
      </c>
      <c r="F376" s="520">
        <v>0</v>
      </c>
      <c r="G376" s="521">
        <v>0</v>
      </c>
      <c r="H376" s="521">
        <v>0</v>
      </c>
      <c r="I376" s="517"/>
      <c r="J376" s="520">
        <v>0</v>
      </c>
      <c r="K376" s="520">
        <v>0</v>
      </c>
      <c r="L376" s="520">
        <v>0</v>
      </c>
      <c r="M376" s="517"/>
      <c r="N376" s="542">
        <v>0</v>
      </c>
      <c r="O376" s="518">
        <v>0</v>
      </c>
      <c r="P376" s="518">
        <v>0</v>
      </c>
      <c r="Q376" s="519"/>
      <c r="R376" s="516">
        <v>0</v>
      </c>
      <c r="S376" s="521">
        <v>0</v>
      </c>
      <c r="T376" s="521">
        <v>0</v>
      </c>
      <c r="U376" s="517"/>
      <c r="V376" s="342">
        <f t="shared" si="10"/>
        <v>0</v>
      </c>
      <c r="W376" s="518">
        <f t="shared" si="11"/>
        <v>0</v>
      </c>
      <c r="X376" s="257"/>
    </row>
    <row r="377" spans="1:24" x14ac:dyDescent="0.25">
      <c r="A377">
        <v>372</v>
      </c>
      <c r="B377" t="s">
        <v>3167</v>
      </c>
      <c r="F377" s="520">
        <v>0</v>
      </c>
      <c r="G377" s="521">
        <v>0</v>
      </c>
      <c r="H377" s="521">
        <v>0</v>
      </c>
      <c r="I377" s="517"/>
      <c r="J377" s="520">
        <v>0</v>
      </c>
      <c r="K377" s="520">
        <v>0</v>
      </c>
      <c r="L377" s="520">
        <v>0</v>
      </c>
      <c r="M377" s="517"/>
      <c r="N377" s="542">
        <v>0</v>
      </c>
      <c r="O377" s="518">
        <v>0</v>
      </c>
      <c r="P377" s="518">
        <v>0</v>
      </c>
      <c r="Q377" s="519"/>
      <c r="R377" s="516">
        <v>0</v>
      </c>
      <c r="S377" s="521">
        <v>0</v>
      </c>
      <c r="T377" s="521">
        <v>0</v>
      </c>
      <c r="U377" s="517"/>
      <c r="V377" s="342">
        <f t="shared" si="10"/>
        <v>0</v>
      </c>
      <c r="W377" s="518">
        <f t="shared" si="11"/>
        <v>0</v>
      </c>
      <c r="X377" s="257"/>
    </row>
    <row r="378" spans="1:24" x14ac:dyDescent="0.25">
      <c r="A378">
        <v>373</v>
      </c>
      <c r="B378" t="s">
        <v>397</v>
      </c>
      <c r="C378" t="s">
        <v>25</v>
      </c>
      <c r="D378" t="s">
        <v>40</v>
      </c>
      <c r="F378" s="520">
        <v>2</v>
      </c>
      <c r="G378" s="521">
        <v>2583.34</v>
      </c>
      <c r="H378" s="521">
        <v>0</v>
      </c>
      <c r="I378" s="517"/>
      <c r="J378" s="520">
        <v>0</v>
      </c>
      <c r="K378" s="520">
        <v>0</v>
      </c>
      <c r="L378" s="520">
        <v>0</v>
      </c>
      <c r="M378" s="517"/>
      <c r="N378" s="542">
        <v>2</v>
      </c>
      <c r="O378" s="518">
        <v>2583.34</v>
      </c>
      <c r="P378" s="518">
        <v>0</v>
      </c>
      <c r="Q378" s="519"/>
      <c r="R378" s="516">
        <v>0</v>
      </c>
      <c r="S378" s="521">
        <v>0</v>
      </c>
      <c r="T378" s="521">
        <v>0</v>
      </c>
      <c r="U378" s="517"/>
      <c r="V378" s="342">
        <f t="shared" si="10"/>
        <v>2</v>
      </c>
      <c r="W378" s="518">
        <f t="shared" si="11"/>
        <v>2583.34</v>
      </c>
      <c r="X378" s="257"/>
    </row>
    <row r="379" spans="1:24" x14ac:dyDescent="0.25">
      <c r="A379">
        <v>374</v>
      </c>
      <c r="B379" t="s">
        <v>2962</v>
      </c>
      <c r="F379" s="520">
        <v>2</v>
      </c>
      <c r="G379" s="521">
        <v>35191.97</v>
      </c>
      <c r="H379" s="521">
        <v>60</v>
      </c>
      <c r="I379" s="517"/>
      <c r="J379" s="520">
        <v>0</v>
      </c>
      <c r="K379" s="520">
        <v>0</v>
      </c>
      <c r="L379" s="520">
        <v>0</v>
      </c>
      <c r="M379" s="517"/>
      <c r="N379" s="542">
        <v>2</v>
      </c>
      <c r="O379" s="518">
        <v>35191.97</v>
      </c>
      <c r="P379" s="518">
        <v>60</v>
      </c>
      <c r="Q379" s="519"/>
      <c r="R379" s="516">
        <v>0</v>
      </c>
      <c r="S379" s="521">
        <v>0</v>
      </c>
      <c r="T379" s="521">
        <v>0</v>
      </c>
      <c r="U379" s="517"/>
      <c r="V379" s="342">
        <f t="shared" si="10"/>
        <v>2</v>
      </c>
      <c r="W379" s="518">
        <f t="shared" si="11"/>
        <v>35191.97</v>
      </c>
      <c r="X379" s="257"/>
    </row>
    <row r="380" spans="1:24" x14ac:dyDescent="0.25">
      <c r="A380">
        <v>375</v>
      </c>
      <c r="B380" t="s">
        <v>398</v>
      </c>
      <c r="C380" t="s">
        <v>18</v>
      </c>
      <c r="D380" t="s">
        <v>16</v>
      </c>
      <c r="F380" s="520">
        <v>0</v>
      </c>
      <c r="G380" s="521">
        <v>0</v>
      </c>
      <c r="H380" s="521">
        <v>0</v>
      </c>
      <c r="I380" s="517"/>
      <c r="J380" s="520">
        <v>0</v>
      </c>
      <c r="K380" s="520">
        <v>0</v>
      </c>
      <c r="L380" s="520">
        <v>0</v>
      </c>
      <c r="M380" s="517"/>
      <c r="N380" s="542">
        <v>0</v>
      </c>
      <c r="O380" s="518">
        <v>0</v>
      </c>
      <c r="P380" s="518">
        <v>0</v>
      </c>
      <c r="Q380" s="519"/>
      <c r="R380" s="516">
        <v>0</v>
      </c>
      <c r="S380" s="521">
        <v>0</v>
      </c>
      <c r="T380" s="521">
        <v>0</v>
      </c>
      <c r="U380" s="517"/>
      <c r="V380" s="342">
        <f t="shared" si="10"/>
        <v>0</v>
      </c>
      <c r="W380" s="518">
        <f t="shared" si="11"/>
        <v>0</v>
      </c>
      <c r="X380" s="257"/>
    </row>
    <row r="381" spans="1:24" x14ac:dyDescent="0.25">
      <c r="A381">
        <v>376</v>
      </c>
      <c r="B381" t="s">
        <v>2995</v>
      </c>
      <c r="C381" t="s">
        <v>294</v>
      </c>
      <c r="D381" t="s">
        <v>16</v>
      </c>
      <c r="F381" s="520">
        <v>40</v>
      </c>
      <c r="G381" s="521">
        <v>122134.51000000001</v>
      </c>
      <c r="H381" s="521">
        <v>400</v>
      </c>
      <c r="I381" s="517"/>
      <c r="J381" s="520">
        <v>0</v>
      </c>
      <c r="K381" s="520">
        <v>0</v>
      </c>
      <c r="L381" s="520">
        <v>0</v>
      </c>
      <c r="M381" s="517"/>
      <c r="N381" s="542">
        <v>40</v>
      </c>
      <c r="O381" s="518">
        <v>122134.51000000001</v>
      </c>
      <c r="P381" s="518">
        <v>400</v>
      </c>
      <c r="Q381" s="519"/>
      <c r="R381" s="516">
        <v>0</v>
      </c>
      <c r="S381" s="521">
        <v>0</v>
      </c>
      <c r="T381" s="521">
        <v>0</v>
      </c>
      <c r="U381" s="517"/>
      <c r="V381" s="342">
        <f t="shared" si="10"/>
        <v>40</v>
      </c>
      <c r="W381" s="518">
        <f t="shared" si="11"/>
        <v>122134.51000000001</v>
      </c>
      <c r="X381" s="257"/>
    </row>
    <row r="382" spans="1:24" x14ac:dyDescent="0.25">
      <c r="A382">
        <v>377</v>
      </c>
      <c r="B382" t="s">
        <v>399</v>
      </c>
      <c r="C382" t="s">
        <v>24</v>
      </c>
      <c r="D382" t="s">
        <v>16</v>
      </c>
      <c r="F382" s="520">
        <v>20</v>
      </c>
      <c r="G382" s="521">
        <v>575479</v>
      </c>
      <c r="H382" s="521">
        <v>675</v>
      </c>
      <c r="I382" s="517"/>
      <c r="J382" s="520">
        <v>0</v>
      </c>
      <c r="K382" s="520">
        <v>0</v>
      </c>
      <c r="L382" s="520">
        <v>0</v>
      </c>
      <c r="M382" s="517"/>
      <c r="N382" s="542">
        <v>20</v>
      </c>
      <c r="O382" s="518">
        <v>575479</v>
      </c>
      <c r="P382" s="518">
        <v>675</v>
      </c>
      <c r="Q382" s="519"/>
      <c r="R382" s="516">
        <v>7</v>
      </c>
      <c r="S382" s="521">
        <v>6587.51</v>
      </c>
      <c r="T382" s="521">
        <v>0</v>
      </c>
      <c r="U382" s="517"/>
      <c r="V382" s="342">
        <f t="shared" si="10"/>
        <v>13</v>
      </c>
      <c r="W382" s="518">
        <f t="shared" si="11"/>
        <v>568891.49</v>
      </c>
      <c r="X382" s="257"/>
    </row>
    <row r="383" spans="1:24" x14ac:dyDescent="0.25">
      <c r="A383">
        <v>378</v>
      </c>
      <c r="B383" t="s">
        <v>3089</v>
      </c>
      <c r="C383" t="s">
        <v>18</v>
      </c>
      <c r="D383" t="s">
        <v>20</v>
      </c>
      <c r="F383" s="520">
        <v>0</v>
      </c>
      <c r="G383" s="521">
        <v>0</v>
      </c>
      <c r="H383" s="521">
        <v>0</v>
      </c>
      <c r="I383" s="517"/>
      <c r="J383" s="520">
        <v>0</v>
      </c>
      <c r="K383" s="520">
        <v>0</v>
      </c>
      <c r="L383" s="520">
        <v>0</v>
      </c>
      <c r="M383" s="517"/>
      <c r="N383" s="542">
        <v>0</v>
      </c>
      <c r="O383" s="518">
        <v>0</v>
      </c>
      <c r="P383" s="518">
        <v>0</v>
      </c>
      <c r="Q383" s="519"/>
      <c r="R383" s="516">
        <v>0</v>
      </c>
      <c r="S383" s="521">
        <v>0</v>
      </c>
      <c r="T383" s="521">
        <v>0</v>
      </c>
      <c r="U383" s="517"/>
      <c r="V383" s="342">
        <f t="shared" si="10"/>
        <v>0</v>
      </c>
      <c r="W383" s="518">
        <f t="shared" si="11"/>
        <v>0</v>
      </c>
      <c r="X383" s="257"/>
    </row>
    <row r="384" spans="1:24" x14ac:dyDescent="0.25">
      <c r="A384">
        <v>379</v>
      </c>
      <c r="B384" t="s">
        <v>3090</v>
      </c>
      <c r="C384" t="s">
        <v>18</v>
      </c>
      <c r="D384" t="s">
        <v>20</v>
      </c>
      <c r="F384" s="520">
        <v>0</v>
      </c>
      <c r="G384" s="521">
        <v>0</v>
      </c>
      <c r="H384" s="521">
        <v>0</v>
      </c>
      <c r="I384" s="517"/>
      <c r="J384" s="520">
        <v>0</v>
      </c>
      <c r="K384" s="520">
        <v>0</v>
      </c>
      <c r="L384" s="520">
        <v>0</v>
      </c>
      <c r="M384" s="517"/>
      <c r="N384" s="542">
        <v>0</v>
      </c>
      <c r="O384" s="518">
        <v>0</v>
      </c>
      <c r="P384" s="518">
        <v>0</v>
      </c>
      <c r="Q384" s="519"/>
      <c r="R384" s="516">
        <v>0</v>
      </c>
      <c r="S384" s="521">
        <v>0</v>
      </c>
      <c r="T384" s="521">
        <v>0</v>
      </c>
      <c r="U384" s="517"/>
      <c r="V384" s="342">
        <f t="shared" si="10"/>
        <v>0</v>
      </c>
      <c r="W384" s="518">
        <f t="shared" si="11"/>
        <v>0</v>
      </c>
      <c r="X384" s="257"/>
    </row>
    <row r="385" spans="1:24" x14ac:dyDescent="0.25">
      <c r="A385">
        <v>380</v>
      </c>
      <c r="B385" t="s">
        <v>400</v>
      </c>
      <c r="C385" t="s">
        <v>148</v>
      </c>
      <c r="D385" t="s">
        <v>20</v>
      </c>
      <c r="F385" s="520">
        <v>12</v>
      </c>
      <c r="G385" s="521">
        <v>260290.92</v>
      </c>
      <c r="H385" s="521">
        <v>360</v>
      </c>
      <c r="I385" s="517"/>
      <c r="J385" s="520">
        <v>0</v>
      </c>
      <c r="K385" s="520">
        <v>0</v>
      </c>
      <c r="L385" s="520">
        <v>0</v>
      </c>
      <c r="M385" s="517"/>
      <c r="N385" s="542">
        <v>12</v>
      </c>
      <c r="O385" s="518">
        <v>260290.92</v>
      </c>
      <c r="P385" s="518">
        <v>360</v>
      </c>
      <c r="Q385" s="519"/>
      <c r="R385" s="516">
        <v>57</v>
      </c>
      <c r="S385" s="521">
        <v>194638.47</v>
      </c>
      <c r="T385" s="521">
        <v>0</v>
      </c>
      <c r="U385" s="517"/>
      <c r="V385" s="342">
        <f t="shared" si="10"/>
        <v>-45</v>
      </c>
      <c r="W385" s="518">
        <f t="shared" si="11"/>
        <v>65652.450000000012</v>
      </c>
      <c r="X385" s="257"/>
    </row>
    <row r="386" spans="1:24" x14ac:dyDescent="0.25">
      <c r="A386">
        <v>381</v>
      </c>
      <c r="B386" t="s">
        <v>401</v>
      </c>
      <c r="C386" t="s">
        <v>148</v>
      </c>
      <c r="D386" t="s">
        <v>20</v>
      </c>
      <c r="F386" s="520">
        <v>0</v>
      </c>
      <c r="G386" s="521">
        <v>0</v>
      </c>
      <c r="H386" s="521">
        <v>0</v>
      </c>
      <c r="I386" s="517"/>
      <c r="J386" s="520">
        <v>0</v>
      </c>
      <c r="K386" s="520">
        <v>0</v>
      </c>
      <c r="L386" s="520">
        <v>0</v>
      </c>
      <c r="M386" s="517"/>
      <c r="N386" s="542">
        <v>0</v>
      </c>
      <c r="O386" s="518">
        <v>0</v>
      </c>
      <c r="P386" s="518">
        <v>0</v>
      </c>
      <c r="Q386" s="519"/>
      <c r="R386" s="520">
        <v>29</v>
      </c>
      <c r="S386" s="521">
        <v>456026.75</v>
      </c>
      <c r="T386" s="521">
        <v>0</v>
      </c>
      <c r="U386" s="517"/>
      <c r="V386" s="342">
        <f t="shared" si="10"/>
        <v>-29</v>
      </c>
      <c r="W386" s="518">
        <f t="shared" si="11"/>
        <v>-456026.75</v>
      </c>
      <c r="X386" s="257"/>
    </row>
    <row r="387" spans="1:24" x14ac:dyDescent="0.25">
      <c r="A387">
        <v>382</v>
      </c>
      <c r="B387" t="s">
        <v>402</v>
      </c>
      <c r="C387" t="s">
        <v>148</v>
      </c>
      <c r="D387" t="s">
        <v>20</v>
      </c>
      <c r="F387" s="520">
        <v>4</v>
      </c>
      <c r="G387" s="521">
        <v>64854.01</v>
      </c>
      <c r="H387" s="521">
        <v>120</v>
      </c>
      <c r="I387" s="517"/>
      <c r="J387" s="520">
        <v>0</v>
      </c>
      <c r="K387" s="520">
        <v>0</v>
      </c>
      <c r="L387" s="520">
        <v>0</v>
      </c>
      <c r="M387" s="517"/>
      <c r="N387" s="542">
        <v>4</v>
      </c>
      <c r="O387" s="518">
        <v>64854.01</v>
      </c>
      <c r="P387" s="518">
        <v>120</v>
      </c>
      <c r="Q387" s="519"/>
      <c r="R387" s="516">
        <v>23</v>
      </c>
      <c r="S387" s="521">
        <v>434321</v>
      </c>
      <c r="T387" s="521">
        <v>690</v>
      </c>
      <c r="U387" s="517"/>
      <c r="V387" s="342">
        <f t="shared" si="10"/>
        <v>-19</v>
      </c>
      <c r="W387" s="518">
        <f t="shared" si="11"/>
        <v>-370156.99</v>
      </c>
      <c r="X387" s="257"/>
    </row>
    <row r="388" spans="1:24" x14ac:dyDescent="0.25">
      <c r="A388">
        <v>383</v>
      </c>
      <c r="B388" t="s">
        <v>403</v>
      </c>
      <c r="C388" t="s">
        <v>355</v>
      </c>
      <c r="D388" t="s">
        <v>16</v>
      </c>
      <c r="F388" s="520">
        <v>0</v>
      </c>
      <c r="G388" s="521">
        <v>0</v>
      </c>
      <c r="H388" s="521">
        <v>0</v>
      </c>
      <c r="I388" s="517"/>
      <c r="J388" s="520">
        <v>0</v>
      </c>
      <c r="K388" s="520">
        <v>0</v>
      </c>
      <c r="L388" s="520">
        <v>0</v>
      </c>
      <c r="M388" s="517"/>
      <c r="N388" s="542">
        <v>0</v>
      </c>
      <c r="O388" s="518">
        <v>0</v>
      </c>
      <c r="P388" s="518">
        <v>0</v>
      </c>
      <c r="Q388" s="519"/>
      <c r="R388" s="516">
        <v>8</v>
      </c>
      <c r="S388" s="521">
        <v>212889</v>
      </c>
      <c r="T388" s="521">
        <v>240</v>
      </c>
      <c r="U388" s="517"/>
      <c r="V388" s="342">
        <f t="shared" si="10"/>
        <v>-8</v>
      </c>
      <c r="W388" s="518">
        <f t="shared" si="11"/>
        <v>-213129</v>
      </c>
      <c r="X388" s="257"/>
    </row>
    <row r="389" spans="1:24" x14ac:dyDescent="0.25">
      <c r="A389">
        <v>384</v>
      </c>
      <c r="B389" t="s">
        <v>405</v>
      </c>
      <c r="C389" t="s">
        <v>25</v>
      </c>
      <c r="D389" t="s">
        <v>16</v>
      </c>
      <c r="F389" s="520">
        <v>9</v>
      </c>
      <c r="G389" s="521">
        <v>3049</v>
      </c>
      <c r="H389" s="521">
        <v>72</v>
      </c>
      <c r="I389" s="517"/>
      <c r="J389" s="520">
        <v>0</v>
      </c>
      <c r="K389" s="520">
        <v>0</v>
      </c>
      <c r="L389" s="520">
        <v>0</v>
      </c>
      <c r="M389" s="517"/>
      <c r="N389" s="542">
        <v>9</v>
      </c>
      <c r="O389" s="518">
        <v>3049</v>
      </c>
      <c r="P389" s="518">
        <v>72</v>
      </c>
      <c r="Q389" s="519"/>
      <c r="R389" s="516">
        <v>8</v>
      </c>
      <c r="S389" s="521">
        <v>168272.63</v>
      </c>
      <c r="T389" s="521">
        <v>240</v>
      </c>
      <c r="U389" s="517"/>
      <c r="V389" s="342">
        <f t="shared" si="10"/>
        <v>1</v>
      </c>
      <c r="W389" s="518">
        <f t="shared" si="11"/>
        <v>-165463.63</v>
      </c>
      <c r="X389" s="257"/>
    </row>
    <row r="390" spans="1:24" x14ac:dyDescent="0.25">
      <c r="A390">
        <v>385</v>
      </c>
      <c r="B390" t="s">
        <v>406</v>
      </c>
      <c r="C390" t="s">
        <v>25</v>
      </c>
      <c r="D390" t="s">
        <v>16</v>
      </c>
      <c r="F390" s="520">
        <v>0</v>
      </c>
      <c r="G390" s="521">
        <v>0</v>
      </c>
      <c r="H390" s="521">
        <v>0</v>
      </c>
      <c r="I390" s="517"/>
      <c r="J390" s="520">
        <v>0</v>
      </c>
      <c r="K390" s="520">
        <v>0</v>
      </c>
      <c r="L390" s="520">
        <v>0</v>
      </c>
      <c r="M390" s="517"/>
      <c r="N390" s="542">
        <v>0</v>
      </c>
      <c r="O390" s="518">
        <v>0</v>
      </c>
      <c r="P390" s="518">
        <v>0</v>
      </c>
      <c r="Q390" s="519"/>
      <c r="R390" s="516">
        <v>0</v>
      </c>
      <c r="S390" s="521">
        <v>0</v>
      </c>
      <c r="T390" s="521">
        <v>0</v>
      </c>
      <c r="U390" s="517"/>
      <c r="V390" s="342">
        <f t="shared" ref="V390:V453" si="12">N390-R390</f>
        <v>0</v>
      </c>
      <c r="W390" s="518">
        <f t="shared" ref="W390:W453" si="13">O390-S390-T390</f>
        <v>0</v>
      </c>
      <c r="X390" s="257"/>
    </row>
    <row r="391" spans="1:24" x14ac:dyDescent="0.25">
      <c r="A391">
        <v>386</v>
      </c>
      <c r="B391" t="s">
        <v>407</v>
      </c>
      <c r="C391" t="s">
        <v>25</v>
      </c>
      <c r="D391" t="s">
        <v>16</v>
      </c>
      <c r="F391" s="520">
        <v>0</v>
      </c>
      <c r="G391" s="521">
        <v>0</v>
      </c>
      <c r="H391" s="521">
        <v>0</v>
      </c>
      <c r="I391" s="517"/>
      <c r="J391" s="520">
        <v>0</v>
      </c>
      <c r="K391" s="520">
        <v>0</v>
      </c>
      <c r="L391" s="520">
        <v>0</v>
      </c>
      <c r="M391" s="517"/>
      <c r="N391" s="542">
        <v>0</v>
      </c>
      <c r="O391" s="518">
        <v>0</v>
      </c>
      <c r="P391" s="518">
        <v>0</v>
      </c>
      <c r="Q391" s="519"/>
      <c r="R391" s="516">
        <v>0</v>
      </c>
      <c r="S391" s="521">
        <v>0</v>
      </c>
      <c r="T391" s="521">
        <v>0</v>
      </c>
      <c r="U391" s="517"/>
      <c r="V391" s="342">
        <f t="shared" si="12"/>
        <v>0</v>
      </c>
      <c r="W391" s="518">
        <f t="shared" si="13"/>
        <v>0</v>
      </c>
      <c r="X391" s="257"/>
    </row>
    <row r="392" spans="1:24" x14ac:dyDescent="0.25">
      <c r="A392">
        <v>387</v>
      </c>
      <c r="B392" t="s">
        <v>408</v>
      </c>
      <c r="C392" t="s">
        <v>18</v>
      </c>
      <c r="D392" t="s">
        <v>16</v>
      </c>
      <c r="F392" s="520">
        <v>1</v>
      </c>
      <c r="G392" s="521">
        <v>4680</v>
      </c>
      <c r="H392" s="521">
        <v>30</v>
      </c>
      <c r="I392" s="517"/>
      <c r="J392" s="520">
        <v>0</v>
      </c>
      <c r="K392" s="520">
        <v>0</v>
      </c>
      <c r="L392" s="520">
        <v>0</v>
      </c>
      <c r="M392" s="517"/>
      <c r="N392" s="542">
        <v>1</v>
      </c>
      <c r="O392" s="518">
        <v>4680</v>
      </c>
      <c r="P392" s="518">
        <v>30</v>
      </c>
      <c r="Q392" s="519"/>
      <c r="R392" s="516">
        <v>13</v>
      </c>
      <c r="S392" s="521">
        <v>18430</v>
      </c>
      <c r="T392" s="521">
        <v>0</v>
      </c>
      <c r="U392" s="517"/>
      <c r="V392" s="342">
        <f t="shared" si="12"/>
        <v>-12</v>
      </c>
      <c r="W392" s="518">
        <f t="shared" si="13"/>
        <v>-13750</v>
      </c>
      <c r="X392" s="257"/>
    </row>
    <row r="393" spans="1:24" x14ac:dyDescent="0.25">
      <c r="A393">
        <v>388</v>
      </c>
      <c r="B393" t="s">
        <v>409</v>
      </c>
      <c r="F393" s="520">
        <v>0</v>
      </c>
      <c r="G393" s="521">
        <v>0</v>
      </c>
      <c r="H393" s="521">
        <v>0</v>
      </c>
      <c r="I393" s="517"/>
      <c r="J393" s="520">
        <v>0</v>
      </c>
      <c r="K393" s="520">
        <v>0</v>
      </c>
      <c r="L393" s="520">
        <v>0</v>
      </c>
      <c r="M393" s="517"/>
      <c r="N393" s="542">
        <v>0</v>
      </c>
      <c r="O393" s="518">
        <v>0</v>
      </c>
      <c r="P393" s="518">
        <v>0</v>
      </c>
      <c r="Q393" s="519"/>
      <c r="R393" s="516">
        <v>0</v>
      </c>
      <c r="S393" s="521">
        <v>0</v>
      </c>
      <c r="T393" s="521">
        <v>0</v>
      </c>
      <c r="U393" s="517"/>
      <c r="V393" s="342">
        <f t="shared" si="12"/>
        <v>0</v>
      </c>
      <c r="W393" s="518">
        <f t="shared" si="13"/>
        <v>0</v>
      </c>
      <c r="X393" s="257"/>
    </row>
    <row r="394" spans="1:24" x14ac:dyDescent="0.25">
      <c r="A394">
        <v>389</v>
      </c>
      <c r="B394" t="s">
        <v>3086</v>
      </c>
      <c r="C394" t="s">
        <v>18</v>
      </c>
      <c r="D394" t="s">
        <v>16</v>
      </c>
      <c r="F394" s="520">
        <v>0</v>
      </c>
      <c r="G394" s="521">
        <v>0</v>
      </c>
      <c r="H394" s="521">
        <v>0</v>
      </c>
      <c r="I394" s="517"/>
      <c r="J394" s="520">
        <v>0</v>
      </c>
      <c r="K394" s="520">
        <v>0</v>
      </c>
      <c r="L394" s="520">
        <v>0</v>
      </c>
      <c r="M394" s="517"/>
      <c r="N394" s="542">
        <v>0</v>
      </c>
      <c r="O394" s="518">
        <v>0</v>
      </c>
      <c r="P394" s="518">
        <v>0</v>
      </c>
      <c r="Q394" s="519"/>
      <c r="R394" s="516">
        <v>0</v>
      </c>
      <c r="S394" s="521">
        <v>0</v>
      </c>
      <c r="T394" s="521">
        <v>0</v>
      </c>
      <c r="U394" s="517"/>
      <c r="V394" s="342">
        <f t="shared" si="12"/>
        <v>0</v>
      </c>
      <c r="W394" s="518">
        <f t="shared" si="13"/>
        <v>0</v>
      </c>
      <c r="X394" s="257"/>
    </row>
    <row r="395" spans="1:24" x14ac:dyDescent="0.25">
      <c r="A395">
        <v>390</v>
      </c>
      <c r="B395" t="s">
        <v>410</v>
      </c>
      <c r="D395" t="s">
        <v>16</v>
      </c>
      <c r="F395" s="520">
        <v>0</v>
      </c>
      <c r="G395" s="521">
        <v>0</v>
      </c>
      <c r="H395" s="521">
        <v>0</v>
      </c>
      <c r="I395" s="517"/>
      <c r="J395" s="520">
        <v>0</v>
      </c>
      <c r="K395" s="520">
        <v>0</v>
      </c>
      <c r="L395" s="520">
        <v>0</v>
      </c>
      <c r="M395" s="517"/>
      <c r="N395" s="542">
        <v>0</v>
      </c>
      <c r="O395" s="518">
        <v>0</v>
      </c>
      <c r="P395" s="518">
        <v>0</v>
      </c>
      <c r="Q395" s="519"/>
      <c r="R395" s="516">
        <v>1</v>
      </c>
      <c r="S395" s="521">
        <v>4680</v>
      </c>
      <c r="T395" s="521">
        <v>0</v>
      </c>
      <c r="U395" s="517"/>
      <c r="V395" s="342">
        <f t="shared" si="12"/>
        <v>-1</v>
      </c>
      <c r="W395" s="518">
        <f t="shared" si="13"/>
        <v>-4680</v>
      </c>
      <c r="X395" s="257"/>
    </row>
    <row r="396" spans="1:24" x14ac:dyDescent="0.25">
      <c r="A396">
        <v>391</v>
      </c>
      <c r="B396" t="s">
        <v>411</v>
      </c>
      <c r="C396" t="s">
        <v>15</v>
      </c>
      <c r="D396" t="s">
        <v>16</v>
      </c>
      <c r="F396" s="520">
        <v>0</v>
      </c>
      <c r="G396" s="521">
        <v>0</v>
      </c>
      <c r="H396" s="521">
        <v>0</v>
      </c>
      <c r="I396" s="517"/>
      <c r="J396" s="520">
        <v>0</v>
      </c>
      <c r="K396" s="520">
        <v>0</v>
      </c>
      <c r="L396" s="520">
        <v>0</v>
      </c>
      <c r="M396" s="517"/>
      <c r="N396" s="542">
        <v>0</v>
      </c>
      <c r="O396" s="518">
        <v>0</v>
      </c>
      <c r="P396" s="518">
        <v>0</v>
      </c>
      <c r="Q396" s="519"/>
      <c r="R396" s="516">
        <v>0</v>
      </c>
      <c r="S396" s="521">
        <v>0</v>
      </c>
      <c r="T396" s="521">
        <v>0</v>
      </c>
      <c r="U396" s="517"/>
      <c r="V396" s="342">
        <f t="shared" si="12"/>
        <v>0</v>
      </c>
      <c r="W396" s="518">
        <f t="shared" si="13"/>
        <v>0</v>
      </c>
      <c r="X396" s="257"/>
    </row>
    <row r="397" spans="1:24" x14ac:dyDescent="0.25">
      <c r="A397">
        <v>392</v>
      </c>
      <c r="B397" t="s">
        <v>412</v>
      </c>
      <c r="C397" t="s">
        <v>18</v>
      </c>
      <c r="D397" t="s">
        <v>16</v>
      </c>
      <c r="F397" s="520">
        <v>0</v>
      </c>
      <c r="G397" s="521">
        <v>0</v>
      </c>
      <c r="H397" s="521">
        <v>0</v>
      </c>
      <c r="I397" s="517"/>
      <c r="J397" s="520">
        <v>0</v>
      </c>
      <c r="K397" s="520">
        <v>0</v>
      </c>
      <c r="L397" s="520">
        <v>0</v>
      </c>
      <c r="M397" s="517"/>
      <c r="N397" s="542">
        <v>0</v>
      </c>
      <c r="O397" s="518">
        <v>0</v>
      </c>
      <c r="P397" s="518">
        <v>0</v>
      </c>
      <c r="Q397" s="519"/>
      <c r="R397" s="516">
        <v>0</v>
      </c>
      <c r="S397" s="521">
        <v>0</v>
      </c>
      <c r="T397" s="521">
        <v>0</v>
      </c>
      <c r="U397" s="517"/>
      <c r="V397" s="342">
        <f t="shared" si="12"/>
        <v>0</v>
      </c>
      <c r="W397" s="518">
        <f t="shared" si="13"/>
        <v>0</v>
      </c>
      <c r="X397" s="257"/>
    </row>
    <row r="398" spans="1:24" x14ac:dyDescent="0.25">
      <c r="A398">
        <v>393</v>
      </c>
      <c r="B398" t="s">
        <v>413</v>
      </c>
      <c r="D398" t="s">
        <v>16</v>
      </c>
      <c r="F398" s="520">
        <v>0</v>
      </c>
      <c r="G398" s="521">
        <v>0</v>
      </c>
      <c r="H398" s="521">
        <v>0</v>
      </c>
      <c r="I398" s="517"/>
      <c r="J398" s="520">
        <v>0</v>
      </c>
      <c r="K398" s="520">
        <v>0</v>
      </c>
      <c r="L398" s="520">
        <v>0</v>
      </c>
      <c r="M398" s="517"/>
      <c r="N398" s="542">
        <v>0</v>
      </c>
      <c r="O398" s="518">
        <v>0</v>
      </c>
      <c r="P398" s="518">
        <v>0</v>
      </c>
      <c r="Q398" s="519"/>
      <c r="R398" s="516">
        <v>0</v>
      </c>
      <c r="S398" s="521">
        <v>0</v>
      </c>
      <c r="T398" s="521">
        <v>0</v>
      </c>
      <c r="U398" s="517"/>
      <c r="V398" s="342">
        <f t="shared" si="12"/>
        <v>0</v>
      </c>
      <c r="W398" s="518">
        <f t="shared" si="13"/>
        <v>0</v>
      </c>
      <c r="X398" s="257"/>
    </row>
    <row r="399" spans="1:24" x14ac:dyDescent="0.25">
      <c r="A399">
        <v>394</v>
      </c>
      <c r="B399" t="s">
        <v>415</v>
      </c>
      <c r="C399" t="s">
        <v>51</v>
      </c>
      <c r="D399" t="s">
        <v>16</v>
      </c>
      <c r="F399" s="520">
        <v>900</v>
      </c>
      <c r="G399" s="521">
        <v>640509.5500000004</v>
      </c>
      <c r="H399" s="521">
        <v>4525</v>
      </c>
      <c r="I399" s="517"/>
      <c r="J399" s="520">
        <v>0</v>
      </c>
      <c r="K399" s="520">
        <v>0</v>
      </c>
      <c r="L399" s="520">
        <v>0</v>
      </c>
      <c r="M399" s="517"/>
      <c r="N399" s="542">
        <v>900</v>
      </c>
      <c r="O399" s="518">
        <v>640509.5500000004</v>
      </c>
      <c r="P399" s="518">
        <v>4525</v>
      </c>
      <c r="Q399" s="519"/>
      <c r="R399" s="516">
        <v>0</v>
      </c>
      <c r="S399" s="521">
        <v>0</v>
      </c>
      <c r="T399" s="521">
        <v>0</v>
      </c>
      <c r="U399" s="517"/>
      <c r="V399" s="342">
        <f t="shared" si="12"/>
        <v>900</v>
      </c>
      <c r="W399" s="518">
        <f t="shared" si="13"/>
        <v>640509.5500000004</v>
      </c>
      <c r="X399" s="257"/>
    </row>
    <row r="400" spans="1:24" x14ac:dyDescent="0.25">
      <c r="A400">
        <v>395</v>
      </c>
      <c r="B400" t="s">
        <v>416</v>
      </c>
      <c r="D400" t="s">
        <v>16</v>
      </c>
      <c r="F400" s="520">
        <v>0</v>
      </c>
      <c r="G400" s="521">
        <v>0</v>
      </c>
      <c r="H400" s="521">
        <v>0</v>
      </c>
      <c r="I400" s="517"/>
      <c r="J400" s="520">
        <v>0</v>
      </c>
      <c r="K400" s="520">
        <v>0</v>
      </c>
      <c r="L400" s="520">
        <v>0</v>
      </c>
      <c r="M400" s="517"/>
      <c r="N400" s="542">
        <v>0</v>
      </c>
      <c r="O400" s="518">
        <v>0</v>
      </c>
      <c r="P400" s="518">
        <v>0</v>
      </c>
      <c r="Q400" s="519"/>
      <c r="R400" s="516">
        <v>0</v>
      </c>
      <c r="S400" s="521">
        <v>0</v>
      </c>
      <c r="T400" s="521">
        <v>0</v>
      </c>
      <c r="U400" s="517"/>
      <c r="V400" s="342">
        <f t="shared" si="12"/>
        <v>0</v>
      </c>
      <c r="W400" s="518">
        <f t="shared" si="13"/>
        <v>0</v>
      </c>
      <c r="X400" s="257"/>
    </row>
    <row r="401" spans="1:24" x14ac:dyDescent="0.25">
      <c r="A401">
        <v>396</v>
      </c>
      <c r="B401" t="s">
        <v>417</v>
      </c>
      <c r="D401" t="s">
        <v>16</v>
      </c>
      <c r="F401" s="520">
        <v>0</v>
      </c>
      <c r="G401" s="521">
        <v>0</v>
      </c>
      <c r="H401" s="521">
        <v>0</v>
      </c>
      <c r="I401" s="517"/>
      <c r="J401" s="520">
        <v>0</v>
      </c>
      <c r="K401" s="520">
        <v>0</v>
      </c>
      <c r="L401" s="520">
        <v>0</v>
      </c>
      <c r="M401" s="517"/>
      <c r="N401" s="542">
        <v>0</v>
      </c>
      <c r="O401" s="518">
        <v>0</v>
      </c>
      <c r="P401" s="518">
        <v>0</v>
      </c>
      <c r="Q401" s="519"/>
      <c r="R401" s="516">
        <v>0</v>
      </c>
      <c r="S401" s="521">
        <v>0</v>
      </c>
      <c r="T401" s="521">
        <v>0</v>
      </c>
      <c r="U401" s="517"/>
      <c r="V401" s="342">
        <f t="shared" si="12"/>
        <v>0</v>
      </c>
      <c r="W401" s="518">
        <f t="shared" si="13"/>
        <v>0</v>
      </c>
      <c r="X401" s="257"/>
    </row>
    <row r="402" spans="1:24" x14ac:dyDescent="0.25">
      <c r="A402">
        <v>397</v>
      </c>
      <c r="B402" t="s">
        <v>418</v>
      </c>
      <c r="C402" t="s">
        <v>51</v>
      </c>
      <c r="D402" t="s">
        <v>414</v>
      </c>
      <c r="F402" s="520">
        <v>0</v>
      </c>
      <c r="G402" s="521">
        <v>0</v>
      </c>
      <c r="H402" s="521">
        <v>0</v>
      </c>
      <c r="I402" s="517"/>
      <c r="J402" s="520">
        <v>0</v>
      </c>
      <c r="K402" s="520">
        <v>0</v>
      </c>
      <c r="L402" s="520">
        <v>0</v>
      </c>
      <c r="M402" s="517"/>
      <c r="N402" s="542">
        <v>0</v>
      </c>
      <c r="O402" s="518">
        <v>0</v>
      </c>
      <c r="P402" s="518">
        <v>0</v>
      </c>
      <c r="Q402" s="519"/>
      <c r="R402" s="516">
        <v>878</v>
      </c>
      <c r="S402" s="521">
        <v>774164.43</v>
      </c>
      <c r="T402" s="521">
        <v>0</v>
      </c>
      <c r="U402" s="517"/>
      <c r="V402" s="342">
        <f t="shared" si="12"/>
        <v>-878</v>
      </c>
      <c r="W402" s="518">
        <f t="shared" si="13"/>
        <v>-774164.43</v>
      </c>
      <c r="X402" s="257"/>
    </row>
    <row r="403" spans="1:24" x14ac:dyDescent="0.25">
      <c r="A403">
        <v>398</v>
      </c>
      <c r="B403" t="s">
        <v>419</v>
      </c>
      <c r="C403" t="s">
        <v>25</v>
      </c>
      <c r="D403" t="s">
        <v>20</v>
      </c>
      <c r="F403" s="520">
        <v>0</v>
      </c>
      <c r="G403" s="521">
        <v>0</v>
      </c>
      <c r="H403" s="521">
        <v>0</v>
      </c>
      <c r="I403" s="517"/>
      <c r="J403" s="520">
        <v>0</v>
      </c>
      <c r="K403" s="520">
        <v>0</v>
      </c>
      <c r="L403" s="520">
        <v>0</v>
      </c>
      <c r="M403" s="517"/>
      <c r="N403" s="542">
        <v>0</v>
      </c>
      <c r="O403" s="518">
        <v>0</v>
      </c>
      <c r="P403" s="518">
        <v>0</v>
      </c>
      <c r="Q403" s="519"/>
      <c r="R403" s="516">
        <v>0</v>
      </c>
      <c r="S403" s="521">
        <v>0</v>
      </c>
      <c r="T403" s="521">
        <v>0</v>
      </c>
      <c r="U403" s="517"/>
      <c r="V403" s="342">
        <f t="shared" si="12"/>
        <v>0</v>
      </c>
      <c r="W403" s="518">
        <f t="shared" si="13"/>
        <v>0</v>
      </c>
      <c r="X403" s="257"/>
    </row>
    <row r="404" spans="1:24" x14ac:dyDescent="0.25">
      <c r="A404">
        <v>399</v>
      </c>
      <c r="B404" t="s">
        <v>420</v>
      </c>
      <c r="C404" t="s">
        <v>25</v>
      </c>
      <c r="D404" t="s">
        <v>20</v>
      </c>
      <c r="F404" s="520">
        <v>0</v>
      </c>
      <c r="G404" s="521">
        <v>0</v>
      </c>
      <c r="H404" s="521">
        <v>0</v>
      </c>
      <c r="I404" s="517"/>
      <c r="J404" s="520">
        <v>0</v>
      </c>
      <c r="K404" s="520">
        <v>0</v>
      </c>
      <c r="L404" s="520">
        <v>0</v>
      </c>
      <c r="M404" s="517"/>
      <c r="N404" s="542">
        <v>0</v>
      </c>
      <c r="O404" s="518">
        <v>0</v>
      </c>
      <c r="P404" s="518">
        <v>0</v>
      </c>
      <c r="Q404" s="519"/>
      <c r="R404" s="516">
        <v>0</v>
      </c>
      <c r="S404" s="521">
        <v>0</v>
      </c>
      <c r="T404" s="521">
        <v>0</v>
      </c>
      <c r="U404" s="517"/>
      <c r="V404" s="342">
        <f t="shared" si="12"/>
        <v>0</v>
      </c>
      <c r="W404" s="518">
        <f t="shared" si="13"/>
        <v>0</v>
      </c>
      <c r="X404" s="257"/>
    </row>
    <row r="405" spans="1:24" x14ac:dyDescent="0.25">
      <c r="A405">
        <v>400</v>
      </c>
      <c r="B405" t="s">
        <v>421</v>
      </c>
      <c r="C405" t="s">
        <v>15</v>
      </c>
      <c r="D405" t="s">
        <v>16</v>
      </c>
      <c r="F405" s="520">
        <v>61</v>
      </c>
      <c r="G405" s="521">
        <v>72501.099999999991</v>
      </c>
      <c r="H405" s="521">
        <v>610</v>
      </c>
      <c r="I405" s="517"/>
      <c r="J405" s="520">
        <v>0</v>
      </c>
      <c r="K405" s="520">
        <v>0</v>
      </c>
      <c r="L405" s="520">
        <v>0</v>
      </c>
      <c r="M405" s="517"/>
      <c r="N405" s="542">
        <v>61</v>
      </c>
      <c r="O405" s="518">
        <v>72501.099999999991</v>
      </c>
      <c r="P405" s="518">
        <v>610</v>
      </c>
      <c r="Q405" s="519"/>
      <c r="R405" s="516">
        <v>0</v>
      </c>
      <c r="S405" s="521">
        <v>0</v>
      </c>
      <c r="T405" s="521">
        <v>0</v>
      </c>
      <c r="U405" s="517"/>
      <c r="V405" s="342">
        <f t="shared" si="12"/>
        <v>61</v>
      </c>
      <c r="W405" s="518">
        <f t="shared" si="13"/>
        <v>72501.099999999991</v>
      </c>
      <c r="X405" s="257"/>
    </row>
    <row r="406" spans="1:24" x14ac:dyDescent="0.25">
      <c r="A406">
        <v>401</v>
      </c>
      <c r="B406" t="s">
        <v>422</v>
      </c>
      <c r="D406" t="s">
        <v>16</v>
      </c>
      <c r="F406" s="520">
        <v>12</v>
      </c>
      <c r="G406" s="521">
        <v>31069.53</v>
      </c>
      <c r="H406" s="521">
        <v>240</v>
      </c>
      <c r="I406" s="517"/>
      <c r="J406" s="520">
        <v>0</v>
      </c>
      <c r="K406" s="520">
        <v>0</v>
      </c>
      <c r="L406" s="520">
        <v>0</v>
      </c>
      <c r="M406" s="517"/>
      <c r="N406" s="542">
        <v>12</v>
      </c>
      <c r="O406" s="518">
        <v>31069.53</v>
      </c>
      <c r="P406" s="518">
        <v>240</v>
      </c>
      <c r="Q406" s="519"/>
      <c r="R406" s="516">
        <v>0</v>
      </c>
      <c r="S406" s="521">
        <v>0</v>
      </c>
      <c r="T406" s="521">
        <v>0</v>
      </c>
      <c r="U406" s="517"/>
      <c r="V406" s="342">
        <f t="shared" si="12"/>
        <v>12</v>
      </c>
      <c r="W406" s="518">
        <f t="shared" si="13"/>
        <v>31069.53</v>
      </c>
      <c r="X406" s="257"/>
    </row>
    <row r="407" spans="1:24" x14ac:dyDescent="0.25">
      <c r="A407">
        <v>402</v>
      </c>
      <c r="B407" t="s">
        <v>423</v>
      </c>
      <c r="D407" t="s">
        <v>20</v>
      </c>
      <c r="F407" s="520">
        <v>1</v>
      </c>
      <c r="G407" s="521">
        <v>2000</v>
      </c>
      <c r="H407" s="521">
        <v>30</v>
      </c>
      <c r="I407" s="517"/>
      <c r="J407" s="520">
        <v>0</v>
      </c>
      <c r="K407" s="520">
        <v>0</v>
      </c>
      <c r="L407" s="520">
        <v>0</v>
      </c>
      <c r="M407" s="517"/>
      <c r="N407" s="542">
        <v>1</v>
      </c>
      <c r="O407" s="518">
        <v>2000</v>
      </c>
      <c r="P407" s="518">
        <v>30</v>
      </c>
      <c r="Q407" s="519"/>
      <c r="R407" s="516">
        <v>0</v>
      </c>
      <c r="S407" s="521">
        <v>0</v>
      </c>
      <c r="T407" s="521">
        <v>0</v>
      </c>
      <c r="U407" s="517"/>
      <c r="V407" s="342">
        <f t="shared" si="12"/>
        <v>1</v>
      </c>
      <c r="W407" s="518">
        <f t="shared" si="13"/>
        <v>2000</v>
      </c>
      <c r="X407" s="257"/>
    </row>
    <row r="408" spans="1:24" x14ac:dyDescent="0.25">
      <c r="A408">
        <v>403</v>
      </c>
      <c r="B408" t="s">
        <v>424</v>
      </c>
      <c r="D408" t="s">
        <v>16</v>
      </c>
      <c r="F408" s="520">
        <v>0</v>
      </c>
      <c r="G408" s="521">
        <v>0</v>
      </c>
      <c r="H408" s="521">
        <v>0</v>
      </c>
      <c r="I408" s="517"/>
      <c r="J408" s="520">
        <v>0</v>
      </c>
      <c r="K408" s="520">
        <v>0</v>
      </c>
      <c r="L408" s="520">
        <v>0</v>
      </c>
      <c r="M408" s="517"/>
      <c r="N408" s="542">
        <v>0</v>
      </c>
      <c r="O408" s="518">
        <v>0</v>
      </c>
      <c r="P408" s="518">
        <v>0</v>
      </c>
      <c r="Q408" s="519"/>
      <c r="R408" s="516">
        <v>586</v>
      </c>
      <c r="S408" s="521">
        <v>687959.43</v>
      </c>
      <c r="T408" s="521">
        <v>0</v>
      </c>
      <c r="U408" s="517"/>
      <c r="V408" s="342">
        <f t="shared" si="12"/>
        <v>-586</v>
      </c>
      <c r="W408" s="518">
        <f t="shared" si="13"/>
        <v>-687959.43</v>
      </c>
      <c r="X408" s="257"/>
    </row>
    <row r="409" spans="1:24" x14ac:dyDescent="0.25">
      <c r="A409">
        <v>404</v>
      </c>
      <c r="B409" t="s">
        <v>2219</v>
      </c>
      <c r="D409" t="s">
        <v>16</v>
      </c>
      <c r="F409" s="520">
        <v>46</v>
      </c>
      <c r="G409" s="521">
        <v>108556.17000000001</v>
      </c>
      <c r="H409" s="521">
        <v>460</v>
      </c>
      <c r="I409" s="517"/>
      <c r="J409" s="520">
        <v>0</v>
      </c>
      <c r="K409" s="520">
        <v>0</v>
      </c>
      <c r="L409" s="520">
        <v>0</v>
      </c>
      <c r="M409" s="517"/>
      <c r="N409" s="542">
        <v>46</v>
      </c>
      <c r="O409" s="518">
        <v>108556.17000000001</v>
      </c>
      <c r="P409" s="518">
        <v>460</v>
      </c>
      <c r="Q409" s="519"/>
      <c r="R409" s="516">
        <v>3</v>
      </c>
      <c r="S409" s="521">
        <v>11000</v>
      </c>
      <c r="T409" s="521">
        <v>0</v>
      </c>
      <c r="U409" s="517"/>
      <c r="V409" s="342">
        <f t="shared" si="12"/>
        <v>43</v>
      </c>
      <c r="W409" s="518">
        <f t="shared" si="13"/>
        <v>97556.170000000013</v>
      </c>
      <c r="X409" s="257"/>
    </row>
    <row r="410" spans="1:24" x14ac:dyDescent="0.25">
      <c r="A410">
        <v>405</v>
      </c>
      <c r="B410" t="s">
        <v>425</v>
      </c>
      <c r="C410" t="s">
        <v>41</v>
      </c>
      <c r="D410" t="s">
        <v>16</v>
      </c>
      <c r="F410" s="520">
        <v>0</v>
      </c>
      <c r="G410" s="521">
        <v>0</v>
      </c>
      <c r="H410" s="521">
        <v>0</v>
      </c>
      <c r="I410" s="517"/>
      <c r="J410" s="520">
        <v>0</v>
      </c>
      <c r="K410" s="520">
        <v>0</v>
      </c>
      <c r="L410" s="520">
        <v>0</v>
      </c>
      <c r="M410" s="517"/>
      <c r="N410" s="542">
        <v>0</v>
      </c>
      <c r="O410" s="518">
        <v>0</v>
      </c>
      <c r="P410" s="518">
        <v>0</v>
      </c>
      <c r="Q410" s="519"/>
      <c r="R410" s="516">
        <v>0</v>
      </c>
      <c r="S410" s="521">
        <v>0</v>
      </c>
      <c r="T410" s="521">
        <v>0</v>
      </c>
      <c r="U410" s="517"/>
      <c r="V410" s="342">
        <f t="shared" si="12"/>
        <v>0</v>
      </c>
      <c r="W410" s="518">
        <f t="shared" si="13"/>
        <v>0</v>
      </c>
      <c r="X410" s="257"/>
    </row>
    <row r="411" spans="1:24" x14ac:dyDescent="0.25">
      <c r="A411">
        <v>406</v>
      </c>
      <c r="B411" t="s">
        <v>426</v>
      </c>
      <c r="C411" t="s">
        <v>15</v>
      </c>
      <c r="D411" t="s">
        <v>16</v>
      </c>
      <c r="F411" s="520">
        <v>0</v>
      </c>
      <c r="G411" s="521">
        <v>0</v>
      </c>
      <c r="H411" s="521">
        <v>0</v>
      </c>
      <c r="I411" s="517"/>
      <c r="J411" s="520">
        <v>0</v>
      </c>
      <c r="K411" s="520">
        <v>0</v>
      </c>
      <c r="L411" s="520">
        <v>0</v>
      </c>
      <c r="M411" s="517"/>
      <c r="N411" s="542">
        <v>0</v>
      </c>
      <c r="O411" s="518">
        <v>0</v>
      </c>
      <c r="P411" s="518">
        <v>0</v>
      </c>
      <c r="Q411" s="519"/>
      <c r="R411" s="516">
        <v>0</v>
      </c>
      <c r="S411" s="521">
        <v>0</v>
      </c>
      <c r="T411" s="521">
        <v>0</v>
      </c>
      <c r="U411" s="517"/>
      <c r="V411" s="342">
        <f t="shared" si="12"/>
        <v>0</v>
      </c>
      <c r="W411" s="518">
        <f t="shared" si="13"/>
        <v>0</v>
      </c>
      <c r="X411" s="257"/>
    </row>
    <row r="412" spans="1:24" x14ac:dyDescent="0.25">
      <c r="A412">
        <v>407</v>
      </c>
      <c r="B412" t="s">
        <v>427</v>
      </c>
      <c r="C412" t="s">
        <v>15</v>
      </c>
      <c r="D412" t="s">
        <v>16</v>
      </c>
      <c r="F412" s="520">
        <v>6</v>
      </c>
      <c r="G412" s="521">
        <v>5801</v>
      </c>
      <c r="H412" s="521">
        <v>42</v>
      </c>
      <c r="I412" s="517"/>
      <c r="J412" s="520">
        <v>0</v>
      </c>
      <c r="K412" s="520">
        <v>0</v>
      </c>
      <c r="L412" s="520">
        <v>0</v>
      </c>
      <c r="M412" s="517"/>
      <c r="N412" s="542">
        <v>6</v>
      </c>
      <c r="O412" s="518">
        <v>5801</v>
      </c>
      <c r="P412" s="518">
        <v>42</v>
      </c>
      <c r="Q412" s="519"/>
      <c r="R412" s="516">
        <v>39</v>
      </c>
      <c r="S412" s="521">
        <v>63420.160000000003</v>
      </c>
      <c r="T412" s="521">
        <v>0</v>
      </c>
      <c r="U412" s="517"/>
      <c r="V412" s="342">
        <f t="shared" si="12"/>
        <v>-33</v>
      </c>
      <c r="W412" s="518">
        <f t="shared" si="13"/>
        <v>-57619.16</v>
      </c>
      <c r="X412" s="257"/>
    </row>
    <row r="413" spans="1:24" x14ac:dyDescent="0.25">
      <c r="A413">
        <v>408</v>
      </c>
      <c r="B413" t="s">
        <v>428</v>
      </c>
      <c r="D413" t="s">
        <v>43</v>
      </c>
      <c r="F413" s="520">
        <v>0</v>
      </c>
      <c r="G413" s="521">
        <v>0</v>
      </c>
      <c r="H413" s="521">
        <v>0</v>
      </c>
      <c r="I413" s="517"/>
      <c r="J413" s="520">
        <v>0</v>
      </c>
      <c r="K413" s="520">
        <v>0</v>
      </c>
      <c r="L413" s="520">
        <v>0</v>
      </c>
      <c r="M413" s="517"/>
      <c r="N413" s="542">
        <v>0</v>
      </c>
      <c r="O413" s="518">
        <v>0</v>
      </c>
      <c r="P413" s="518">
        <v>0</v>
      </c>
      <c r="Q413" s="519"/>
      <c r="R413" s="516">
        <v>0</v>
      </c>
      <c r="S413" s="521">
        <v>0</v>
      </c>
      <c r="T413" s="521">
        <v>0</v>
      </c>
      <c r="U413" s="517"/>
      <c r="V413" s="342">
        <f t="shared" si="12"/>
        <v>0</v>
      </c>
      <c r="W413" s="518">
        <f t="shared" si="13"/>
        <v>0</v>
      </c>
      <c r="X413" s="257"/>
    </row>
    <row r="414" spans="1:24" x14ac:dyDescent="0.25">
      <c r="A414">
        <v>409</v>
      </c>
      <c r="B414" t="s">
        <v>429</v>
      </c>
      <c r="C414" t="s">
        <v>18</v>
      </c>
      <c r="D414" t="s">
        <v>16</v>
      </c>
      <c r="F414" s="520">
        <v>0</v>
      </c>
      <c r="G414" s="521">
        <v>0</v>
      </c>
      <c r="H414" s="521">
        <v>0</v>
      </c>
      <c r="I414" s="517"/>
      <c r="J414" s="520">
        <v>0</v>
      </c>
      <c r="K414" s="520">
        <v>0</v>
      </c>
      <c r="L414" s="520">
        <v>0</v>
      </c>
      <c r="M414" s="517"/>
      <c r="N414" s="542">
        <v>0</v>
      </c>
      <c r="O414" s="518">
        <v>0</v>
      </c>
      <c r="P414" s="518">
        <v>0</v>
      </c>
      <c r="Q414" s="519"/>
      <c r="R414" s="516">
        <v>1</v>
      </c>
      <c r="S414" s="521">
        <v>9930</v>
      </c>
      <c r="T414" s="521">
        <v>0</v>
      </c>
      <c r="U414" s="517"/>
      <c r="V414" s="342">
        <f t="shared" si="12"/>
        <v>-1</v>
      </c>
      <c r="W414" s="518">
        <f t="shared" si="13"/>
        <v>-9930</v>
      </c>
      <c r="X414" s="257"/>
    </row>
    <row r="415" spans="1:24" x14ac:dyDescent="0.25">
      <c r="A415">
        <v>410</v>
      </c>
      <c r="B415" t="s">
        <v>430</v>
      </c>
      <c r="C415" t="s">
        <v>92</v>
      </c>
      <c r="D415" t="s">
        <v>16</v>
      </c>
      <c r="F415" s="520">
        <v>43</v>
      </c>
      <c r="G415" s="521">
        <v>106421</v>
      </c>
      <c r="H415" s="521">
        <v>301</v>
      </c>
      <c r="I415" s="517"/>
      <c r="J415" s="520">
        <v>0</v>
      </c>
      <c r="K415" s="520">
        <v>0</v>
      </c>
      <c r="L415" s="520">
        <v>0</v>
      </c>
      <c r="M415" s="517"/>
      <c r="N415" s="542">
        <v>43</v>
      </c>
      <c r="O415" s="518">
        <v>106421</v>
      </c>
      <c r="P415" s="518">
        <v>301</v>
      </c>
      <c r="Q415" s="519"/>
      <c r="R415" s="516">
        <v>32</v>
      </c>
      <c r="S415" s="521">
        <v>37256.129999999997</v>
      </c>
      <c r="T415" s="521">
        <v>0</v>
      </c>
      <c r="U415" s="517"/>
      <c r="V415" s="342">
        <f t="shared" si="12"/>
        <v>11</v>
      </c>
      <c r="W415" s="518">
        <f t="shared" si="13"/>
        <v>69164.87</v>
      </c>
      <c r="X415" s="257"/>
    </row>
    <row r="416" spans="1:24" x14ac:dyDescent="0.25">
      <c r="A416">
        <v>411</v>
      </c>
      <c r="B416" t="s">
        <v>431</v>
      </c>
      <c r="C416" t="s">
        <v>432</v>
      </c>
      <c r="D416" t="s">
        <v>16</v>
      </c>
      <c r="F416" s="520">
        <v>1</v>
      </c>
      <c r="G416" s="521">
        <v>550</v>
      </c>
      <c r="H416" s="521">
        <v>10</v>
      </c>
      <c r="I416" s="517"/>
      <c r="J416" s="520">
        <v>0</v>
      </c>
      <c r="K416" s="520">
        <v>0</v>
      </c>
      <c r="L416" s="520">
        <v>0</v>
      </c>
      <c r="M416" s="517"/>
      <c r="N416" s="542">
        <v>1</v>
      </c>
      <c r="O416" s="518">
        <v>550</v>
      </c>
      <c r="P416" s="518">
        <v>10</v>
      </c>
      <c r="Q416" s="519"/>
      <c r="R416" s="516">
        <v>0</v>
      </c>
      <c r="S416" s="521">
        <v>0</v>
      </c>
      <c r="T416" s="521">
        <v>0</v>
      </c>
      <c r="U416" s="517"/>
      <c r="V416" s="342">
        <f t="shared" si="12"/>
        <v>1</v>
      </c>
      <c r="W416" s="518">
        <f t="shared" si="13"/>
        <v>550</v>
      </c>
      <c r="X416" s="257"/>
    </row>
    <row r="417" spans="1:24" x14ac:dyDescent="0.25">
      <c r="A417">
        <v>412</v>
      </c>
      <c r="B417" t="s">
        <v>433</v>
      </c>
      <c r="C417" t="s">
        <v>349</v>
      </c>
      <c r="D417" t="s">
        <v>16</v>
      </c>
      <c r="F417" s="520">
        <v>0</v>
      </c>
      <c r="G417" s="521">
        <v>0</v>
      </c>
      <c r="H417" s="521">
        <v>0</v>
      </c>
      <c r="I417" s="517"/>
      <c r="J417" s="520">
        <v>0</v>
      </c>
      <c r="K417" s="520">
        <v>0</v>
      </c>
      <c r="L417" s="520">
        <v>0</v>
      </c>
      <c r="M417" s="517"/>
      <c r="N417" s="542">
        <v>0</v>
      </c>
      <c r="O417" s="518">
        <v>0</v>
      </c>
      <c r="P417" s="518">
        <v>0</v>
      </c>
      <c r="Q417" s="519"/>
      <c r="R417" s="516">
        <v>0</v>
      </c>
      <c r="S417" s="521">
        <v>0</v>
      </c>
      <c r="T417" s="521">
        <v>0</v>
      </c>
      <c r="U417" s="517"/>
      <c r="V417" s="342">
        <f t="shared" si="12"/>
        <v>0</v>
      </c>
      <c r="W417" s="518">
        <f t="shared" si="13"/>
        <v>0</v>
      </c>
      <c r="X417" s="257"/>
    </row>
    <row r="418" spans="1:24" x14ac:dyDescent="0.25">
      <c r="A418">
        <v>413</v>
      </c>
      <c r="B418" t="s">
        <v>434</v>
      </c>
      <c r="C418" t="s">
        <v>108</v>
      </c>
      <c r="D418" t="s">
        <v>16</v>
      </c>
      <c r="F418" s="520">
        <v>0</v>
      </c>
      <c r="G418" s="521">
        <v>0</v>
      </c>
      <c r="H418" s="521">
        <v>0</v>
      </c>
      <c r="I418" s="517"/>
      <c r="J418" s="520">
        <v>0</v>
      </c>
      <c r="K418" s="520">
        <v>0</v>
      </c>
      <c r="L418" s="520">
        <v>0</v>
      </c>
      <c r="M418" s="517"/>
      <c r="N418" s="542">
        <v>0</v>
      </c>
      <c r="O418" s="518">
        <v>0</v>
      </c>
      <c r="P418" s="518">
        <v>0</v>
      </c>
      <c r="Q418" s="519"/>
      <c r="R418" s="516">
        <v>47</v>
      </c>
      <c r="S418" s="521">
        <v>137142</v>
      </c>
      <c r="T418" s="521">
        <v>0</v>
      </c>
      <c r="U418" s="517"/>
      <c r="V418" s="342">
        <f t="shared" si="12"/>
        <v>-47</v>
      </c>
      <c r="W418" s="518">
        <f t="shared" si="13"/>
        <v>-137142</v>
      </c>
      <c r="X418" s="257"/>
    </row>
    <row r="419" spans="1:24" x14ac:dyDescent="0.25">
      <c r="A419">
        <v>414</v>
      </c>
      <c r="B419" t="s">
        <v>435</v>
      </c>
      <c r="C419" t="s">
        <v>108</v>
      </c>
      <c r="D419" t="s">
        <v>16</v>
      </c>
      <c r="F419" s="520">
        <v>0</v>
      </c>
      <c r="G419" s="521">
        <v>0</v>
      </c>
      <c r="H419" s="521">
        <v>0</v>
      </c>
      <c r="I419" s="517"/>
      <c r="J419" s="520">
        <v>0</v>
      </c>
      <c r="K419" s="520">
        <v>0</v>
      </c>
      <c r="L419" s="520">
        <v>0</v>
      </c>
      <c r="M419" s="517"/>
      <c r="N419" s="542">
        <v>0</v>
      </c>
      <c r="O419" s="518">
        <v>0</v>
      </c>
      <c r="P419" s="518">
        <v>0</v>
      </c>
      <c r="Q419" s="519"/>
      <c r="R419" s="516">
        <v>0</v>
      </c>
      <c r="S419" s="521">
        <v>0</v>
      </c>
      <c r="T419" s="521">
        <v>0</v>
      </c>
      <c r="U419" s="517"/>
      <c r="V419" s="342">
        <f t="shared" si="12"/>
        <v>0</v>
      </c>
      <c r="W419" s="518">
        <f t="shared" si="13"/>
        <v>0</v>
      </c>
      <c r="X419" s="257"/>
    </row>
    <row r="420" spans="1:24" x14ac:dyDescent="0.25">
      <c r="A420">
        <v>415</v>
      </c>
      <c r="B420" t="s">
        <v>436</v>
      </c>
      <c r="C420" t="s">
        <v>15</v>
      </c>
      <c r="D420" t="s">
        <v>16</v>
      </c>
      <c r="F420" s="520">
        <v>0</v>
      </c>
      <c r="G420" s="521">
        <v>0</v>
      </c>
      <c r="H420" s="521">
        <v>0</v>
      </c>
      <c r="I420" s="517"/>
      <c r="J420" s="520">
        <v>0</v>
      </c>
      <c r="K420" s="520">
        <v>0</v>
      </c>
      <c r="L420" s="520">
        <v>0</v>
      </c>
      <c r="M420" s="517"/>
      <c r="N420" s="542">
        <v>0</v>
      </c>
      <c r="O420" s="518">
        <v>0</v>
      </c>
      <c r="P420" s="518">
        <v>0</v>
      </c>
      <c r="Q420" s="519"/>
      <c r="R420" s="516">
        <v>0</v>
      </c>
      <c r="S420" s="521">
        <v>0</v>
      </c>
      <c r="T420" s="521">
        <v>0</v>
      </c>
      <c r="U420" s="517"/>
      <c r="V420" s="342">
        <f t="shared" si="12"/>
        <v>0</v>
      </c>
      <c r="W420" s="518">
        <f t="shared" si="13"/>
        <v>0</v>
      </c>
      <c r="X420" s="257"/>
    </row>
    <row r="421" spans="1:24" x14ac:dyDescent="0.25">
      <c r="A421">
        <v>416</v>
      </c>
      <c r="B421" t="s">
        <v>437</v>
      </c>
      <c r="C421" t="s">
        <v>39</v>
      </c>
      <c r="D421" t="s">
        <v>16</v>
      </c>
      <c r="F421" s="520">
        <v>1570</v>
      </c>
      <c r="G421" s="521">
        <v>9485195.5</v>
      </c>
      <c r="H421" s="521">
        <v>10990</v>
      </c>
      <c r="I421" s="517"/>
      <c r="J421" s="520">
        <v>0</v>
      </c>
      <c r="K421" s="520">
        <v>0</v>
      </c>
      <c r="L421" s="520">
        <v>0</v>
      </c>
      <c r="M421" s="517"/>
      <c r="N421" s="542">
        <v>1570</v>
      </c>
      <c r="O421" s="518">
        <v>9485195.5</v>
      </c>
      <c r="P421" s="518">
        <v>10990</v>
      </c>
      <c r="Q421" s="519"/>
      <c r="R421" s="516">
        <v>0</v>
      </c>
      <c r="S421" s="521">
        <v>0</v>
      </c>
      <c r="T421" s="521">
        <v>0</v>
      </c>
      <c r="U421" s="517"/>
      <c r="V421" s="342">
        <f t="shared" si="12"/>
        <v>1570</v>
      </c>
      <c r="W421" s="518">
        <f t="shared" si="13"/>
        <v>9485195.5</v>
      </c>
      <c r="X421" s="257"/>
    </row>
    <row r="422" spans="1:24" x14ac:dyDescent="0.25">
      <c r="A422">
        <v>417</v>
      </c>
      <c r="B422" t="s">
        <v>438</v>
      </c>
      <c r="C422" t="s">
        <v>18</v>
      </c>
      <c r="D422" t="s">
        <v>16</v>
      </c>
      <c r="F422" s="520">
        <v>11</v>
      </c>
      <c r="G422" s="521">
        <v>19571.79</v>
      </c>
      <c r="H422" s="521">
        <v>110</v>
      </c>
      <c r="I422" s="517"/>
      <c r="J422" s="520">
        <v>0</v>
      </c>
      <c r="K422" s="520">
        <v>0</v>
      </c>
      <c r="L422" s="520">
        <v>0</v>
      </c>
      <c r="M422" s="517"/>
      <c r="N422" s="542">
        <v>11</v>
      </c>
      <c r="O422" s="518">
        <v>19571.79</v>
      </c>
      <c r="P422" s="518">
        <v>110</v>
      </c>
      <c r="Q422" s="519"/>
      <c r="R422" s="516">
        <v>0</v>
      </c>
      <c r="S422" s="521">
        <v>0</v>
      </c>
      <c r="T422" s="521">
        <v>0</v>
      </c>
      <c r="U422" s="517"/>
      <c r="V422" s="342">
        <f t="shared" si="12"/>
        <v>11</v>
      </c>
      <c r="W422" s="518">
        <f t="shared" si="13"/>
        <v>19571.79</v>
      </c>
      <c r="X422" s="257"/>
    </row>
    <row r="423" spans="1:24" x14ac:dyDescent="0.25">
      <c r="A423">
        <v>418</v>
      </c>
      <c r="B423" t="s">
        <v>439</v>
      </c>
      <c r="C423" t="s">
        <v>15</v>
      </c>
      <c r="D423" t="s">
        <v>380</v>
      </c>
      <c r="F423" s="520">
        <v>2</v>
      </c>
      <c r="G423" s="521">
        <v>26622</v>
      </c>
      <c r="H423" s="521">
        <v>30</v>
      </c>
      <c r="I423" s="517"/>
      <c r="J423" s="520">
        <v>0</v>
      </c>
      <c r="K423" s="520">
        <v>0</v>
      </c>
      <c r="L423" s="520">
        <v>0</v>
      </c>
      <c r="M423" s="517"/>
      <c r="N423" s="542">
        <v>2</v>
      </c>
      <c r="O423" s="518">
        <v>26622</v>
      </c>
      <c r="P423" s="518">
        <v>30</v>
      </c>
      <c r="Q423" s="519"/>
      <c r="R423" s="516">
        <v>0</v>
      </c>
      <c r="S423" s="521">
        <v>0</v>
      </c>
      <c r="T423" s="521">
        <v>0</v>
      </c>
      <c r="U423" s="517"/>
      <c r="V423" s="342">
        <f t="shared" si="12"/>
        <v>2</v>
      </c>
      <c r="W423" s="518">
        <f t="shared" si="13"/>
        <v>26622</v>
      </c>
      <c r="X423" s="257"/>
    </row>
    <row r="424" spans="1:24" x14ac:dyDescent="0.25">
      <c r="A424">
        <v>419</v>
      </c>
      <c r="B424" t="s">
        <v>440</v>
      </c>
      <c r="C424" t="s">
        <v>18</v>
      </c>
      <c r="D424" t="s">
        <v>16</v>
      </c>
      <c r="F424" s="520">
        <v>6</v>
      </c>
      <c r="G424" s="521">
        <v>1280.1300000000001</v>
      </c>
      <c r="H424" s="521">
        <v>60</v>
      </c>
      <c r="I424" s="517"/>
      <c r="J424" s="520">
        <v>0</v>
      </c>
      <c r="K424" s="520">
        <v>0</v>
      </c>
      <c r="L424" s="520">
        <v>0</v>
      </c>
      <c r="M424" s="517"/>
      <c r="N424" s="542">
        <v>6</v>
      </c>
      <c r="O424" s="518">
        <v>1280.1300000000001</v>
      </c>
      <c r="P424" s="518">
        <v>60</v>
      </c>
      <c r="Q424" s="519"/>
      <c r="R424" s="516">
        <v>2434</v>
      </c>
      <c r="S424" s="521">
        <v>15783993.369999999</v>
      </c>
      <c r="T424" s="521">
        <v>0</v>
      </c>
      <c r="U424" s="517"/>
      <c r="V424" s="342">
        <f t="shared" si="12"/>
        <v>-2428</v>
      </c>
      <c r="W424" s="518">
        <f t="shared" si="13"/>
        <v>-15782713.239999998</v>
      </c>
      <c r="X424" s="257"/>
    </row>
    <row r="425" spans="1:24" x14ac:dyDescent="0.25">
      <c r="A425">
        <v>420</v>
      </c>
      <c r="B425" t="s">
        <v>441</v>
      </c>
      <c r="C425" t="s">
        <v>25</v>
      </c>
      <c r="D425" t="s">
        <v>16</v>
      </c>
      <c r="F425" s="520">
        <v>7</v>
      </c>
      <c r="G425" s="521">
        <v>7426.06</v>
      </c>
      <c r="H425" s="521">
        <v>56</v>
      </c>
      <c r="I425" s="517"/>
      <c r="J425" s="520">
        <v>0</v>
      </c>
      <c r="K425" s="520">
        <v>0</v>
      </c>
      <c r="L425" s="520">
        <v>0</v>
      </c>
      <c r="M425" s="517"/>
      <c r="N425" s="542">
        <v>7</v>
      </c>
      <c r="O425" s="518">
        <v>7426.06</v>
      </c>
      <c r="P425" s="518">
        <v>56</v>
      </c>
      <c r="Q425" s="519"/>
      <c r="R425" s="520">
        <v>16</v>
      </c>
      <c r="S425" s="521">
        <v>37109.85</v>
      </c>
      <c r="T425" s="521">
        <v>0</v>
      </c>
      <c r="U425" s="517"/>
      <c r="V425" s="342">
        <f t="shared" si="12"/>
        <v>-9</v>
      </c>
      <c r="W425" s="518">
        <f t="shared" si="13"/>
        <v>-29683.789999999997</v>
      </c>
      <c r="X425" s="257"/>
    </row>
    <row r="426" spans="1:24" x14ac:dyDescent="0.25">
      <c r="A426">
        <v>421</v>
      </c>
      <c r="B426" t="s">
        <v>442</v>
      </c>
      <c r="D426" t="s">
        <v>16</v>
      </c>
      <c r="F426" s="520">
        <v>0</v>
      </c>
      <c r="G426" s="521">
        <v>0</v>
      </c>
      <c r="H426" s="521">
        <v>0</v>
      </c>
      <c r="I426" s="517"/>
      <c r="J426" s="520">
        <v>0</v>
      </c>
      <c r="K426" s="520">
        <v>0</v>
      </c>
      <c r="L426" s="520">
        <v>0</v>
      </c>
      <c r="M426" s="517"/>
      <c r="N426" s="542">
        <v>0</v>
      </c>
      <c r="O426" s="518">
        <v>0</v>
      </c>
      <c r="P426" s="518">
        <v>0</v>
      </c>
      <c r="Q426" s="519"/>
      <c r="R426" s="516">
        <v>3</v>
      </c>
      <c r="S426" s="521">
        <v>25241</v>
      </c>
      <c r="T426" s="521">
        <v>0</v>
      </c>
      <c r="U426" s="517"/>
      <c r="V426" s="342">
        <f t="shared" si="12"/>
        <v>-3</v>
      </c>
      <c r="W426" s="518">
        <f t="shared" si="13"/>
        <v>-25241</v>
      </c>
      <c r="X426" s="257"/>
    </row>
    <row r="427" spans="1:24" x14ac:dyDescent="0.25">
      <c r="A427">
        <v>422</v>
      </c>
      <c r="B427" t="s">
        <v>443</v>
      </c>
      <c r="C427" t="s">
        <v>18</v>
      </c>
      <c r="D427" t="s">
        <v>16</v>
      </c>
      <c r="F427" s="520">
        <v>0</v>
      </c>
      <c r="G427" s="521">
        <v>0</v>
      </c>
      <c r="H427" s="521">
        <v>0</v>
      </c>
      <c r="I427" s="517"/>
      <c r="J427" s="520">
        <v>0</v>
      </c>
      <c r="K427" s="520">
        <v>0</v>
      </c>
      <c r="L427" s="520">
        <v>0</v>
      </c>
      <c r="M427" s="517"/>
      <c r="N427" s="542">
        <v>0</v>
      </c>
      <c r="O427" s="518">
        <v>0</v>
      </c>
      <c r="P427" s="518">
        <v>0</v>
      </c>
      <c r="Q427" s="519"/>
      <c r="R427" s="516">
        <v>0</v>
      </c>
      <c r="S427" s="521">
        <v>0</v>
      </c>
      <c r="T427" s="521">
        <v>0</v>
      </c>
      <c r="U427" s="517"/>
      <c r="V427" s="342">
        <f t="shared" si="12"/>
        <v>0</v>
      </c>
      <c r="W427" s="518">
        <f t="shared" si="13"/>
        <v>0</v>
      </c>
      <c r="X427" s="257"/>
    </row>
    <row r="428" spans="1:24" x14ac:dyDescent="0.25">
      <c r="A428">
        <v>423</v>
      </c>
      <c r="B428" t="s">
        <v>444</v>
      </c>
      <c r="C428" t="s">
        <v>25</v>
      </c>
      <c r="D428" t="s">
        <v>16</v>
      </c>
      <c r="F428" s="520">
        <v>0</v>
      </c>
      <c r="G428" s="521">
        <v>0</v>
      </c>
      <c r="H428" s="521">
        <v>0</v>
      </c>
      <c r="I428" s="517"/>
      <c r="J428" s="520">
        <v>0</v>
      </c>
      <c r="K428" s="520">
        <v>0</v>
      </c>
      <c r="L428" s="520">
        <v>0</v>
      </c>
      <c r="M428" s="517"/>
      <c r="N428" s="542">
        <v>0</v>
      </c>
      <c r="O428" s="518">
        <v>0</v>
      </c>
      <c r="P428" s="518">
        <v>0</v>
      </c>
      <c r="Q428" s="519"/>
      <c r="R428" s="516">
        <v>17</v>
      </c>
      <c r="S428" s="521">
        <v>38106.93</v>
      </c>
      <c r="T428" s="521">
        <v>0</v>
      </c>
      <c r="U428" s="517"/>
      <c r="V428" s="342">
        <f t="shared" si="12"/>
        <v>-17</v>
      </c>
      <c r="W428" s="518">
        <f t="shared" si="13"/>
        <v>-38106.93</v>
      </c>
      <c r="X428" s="257"/>
    </row>
    <row r="429" spans="1:24" x14ac:dyDescent="0.25">
      <c r="A429">
        <v>424</v>
      </c>
      <c r="B429" t="s">
        <v>445</v>
      </c>
      <c r="C429" t="s">
        <v>15</v>
      </c>
      <c r="D429" t="s">
        <v>16</v>
      </c>
      <c r="F429" s="520">
        <v>87</v>
      </c>
      <c r="G429" s="521">
        <v>1085008.75</v>
      </c>
      <c r="H429" s="521">
        <v>2610</v>
      </c>
      <c r="I429" s="517"/>
      <c r="J429" s="520">
        <v>0</v>
      </c>
      <c r="K429" s="520">
        <v>0</v>
      </c>
      <c r="L429" s="520">
        <v>0</v>
      </c>
      <c r="M429" s="517"/>
      <c r="N429" s="542">
        <v>87</v>
      </c>
      <c r="O429" s="518">
        <v>1085008.75</v>
      </c>
      <c r="P429" s="518">
        <v>2610</v>
      </c>
      <c r="Q429" s="519"/>
      <c r="R429" s="516">
        <v>0</v>
      </c>
      <c r="S429" s="521">
        <v>0</v>
      </c>
      <c r="T429" s="521">
        <v>0</v>
      </c>
      <c r="U429" s="517"/>
      <c r="V429" s="342">
        <f t="shared" si="12"/>
        <v>87</v>
      </c>
      <c r="W429" s="518">
        <f t="shared" si="13"/>
        <v>1085008.75</v>
      </c>
      <c r="X429" s="257"/>
    </row>
    <row r="430" spans="1:24" x14ac:dyDescent="0.25">
      <c r="A430">
        <v>425</v>
      </c>
      <c r="B430" t="s">
        <v>446</v>
      </c>
      <c r="C430" t="s">
        <v>15</v>
      </c>
      <c r="D430" t="s">
        <v>16</v>
      </c>
      <c r="F430" s="520">
        <v>0</v>
      </c>
      <c r="G430" s="521">
        <v>0</v>
      </c>
      <c r="H430" s="521">
        <v>0</v>
      </c>
      <c r="I430" s="517"/>
      <c r="J430" s="520">
        <v>0</v>
      </c>
      <c r="K430" s="520">
        <v>0</v>
      </c>
      <c r="L430" s="520">
        <v>0</v>
      </c>
      <c r="M430" s="517"/>
      <c r="N430" s="542">
        <v>0</v>
      </c>
      <c r="O430" s="518">
        <v>0</v>
      </c>
      <c r="P430" s="518">
        <v>0</v>
      </c>
      <c r="Q430" s="519"/>
      <c r="R430" s="516">
        <v>2</v>
      </c>
      <c r="S430" s="521">
        <v>116285</v>
      </c>
      <c r="T430" s="521">
        <v>0</v>
      </c>
      <c r="U430" s="517"/>
      <c r="V430" s="342">
        <f t="shared" si="12"/>
        <v>-2</v>
      </c>
      <c r="W430" s="518">
        <f t="shared" si="13"/>
        <v>-116285</v>
      </c>
      <c r="X430" s="257"/>
    </row>
    <row r="431" spans="1:24" x14ac:dyDescent="0.25">
      <c r="A431">
        <v>426</v>
      </c>
      <c r="B431" t="s">
        <v>447</v>
      </c>
      <c r="C431" t="s">
        <v>448</v>
      </c>
      <c r="D431" t="s">
        <v>20</v>
      </c>
      <c r="F431" s="520">
        <v>0</v>
      </c>
      <c r="G431" s="521">
        <v>0</v>
      </c>
      <c r="H431" s="521">
        <v>0</v>
      </c>
      <c r="I431" s="517"/>
      <c r="J431" s="520">
        <v>0</v>
      </c>
      <c r="K431" s="520">
        <v>0</v>
      </c>
      <c r="L431" s="520">
        <v>0</v>
      </c>
      <c r="M431" s="517"/>
      <c r="N431" s="542">
        <v>0</v>
      </c>
      <c r="O431" s="518">
        <v>0</v>
      </c>
      <c r="P431" s="518">
        <v>0</v>
      </c>
      <c r="Q431" s="519"/>
      <c r="R431" s="516">
        <v>0</v>
      </c>
      <c r="S431" s="521">
        <v>0</v>
      </c>
      <c r="T431" s="521">
        <v>0</v>
      </c>
      <c r="U431" s="517"/>
      <c r="V431" s="342">
        <f t="shared" si="12"/>
        <v>0</v>
      </c>
      <c r="W431" s="518">
        <f t="shared" si="13"/>
        <v>0</v>
      </c>
      <c r="X431" s="257"/>
    </row>
    <row r="432" spans="1:24" x14ac:dyDescent="0.25">
      <c r="A432">
        <v>427</v>
      </c>
      <c r="B432" t="s">
        <v>2425</v>
      </c>
      <c r="C432" t="s">
        <v>18</v>
      </c>
      <c r="D432" t="s">
        <v>20</v>
      </c>
      <c r="F432" s="520">
        <v>0</v>
      </c>
      <c r="G432" s="521">
        <v>0</v>
      </c>
      <c r="H432" s="521">
        <v>0</v>
      </c>
      <c r="I432" s="517"/>
      <c r="J432" s="520">
        <v>0</v>
      </c>
      <c r="K432" s="520">
        <v>0</v>
      </c>
      <c r="L432" s="520">
        <v>0</v>
      </c>
      <c r="M432" s="517"/>
      <c r="N432" s="542">
        <v>0</v>
      </c>
      <c r="O432" s="518">
        <v>0</v>
      </c>
      <c r="P432" s="518">
        <v>0</v>
      </c>
      <c r="Q432" s="519"/>
      <c r="R432" s="516">
        <v>49</v>
      </c>
      <c r="S432" s="521">
        <v>643808.75</v>
      </c>
      <c r="T432" s="521">
        <v>0</v>
      </c>
      <c r="U432" s="517"/>
      <c r="V432" s="342">
        <f t="shared" si="12"/>
        <v>-49</v>
      </c>
      <c r="W432" s="518">
        <f t="shared" si="13"/>
        <v>-643808.75</v>
      </c>
      <c r="X432" s="257"/>
    </row>
    <row r="433" spans="1:24" x14ac:dyDescent="0.25">
      <c r="A433">
        <v>428</v>
      </c>
      <c r="B433" t="s">
        <v>449</v>
      </c>
      <c r="C433" t="s">
        <v>355</v>
      </c>
      <c r="D433" t="s">
        <v>40</v>
      </c>
      <c r="F433" s="520">
        <v>0</v>
      </c>
      <c r="G433" s="521">
        <v>0</v>
      </c>
      <c r="H433" s="521">
        <v>0</v>
      </c>
      <c r="I433" s="517"/>
      <c r="J433" s="520">
        <v>0</v>
      </c>
      <c r="K433" s="520">
        <v>0</v>
      </c>
      <c r="L433" s="520">
        <v>0</v>
      </c>
      <c r="M433" s="517"/>
      <c r="N433" s="542">
        <v>0</v>
      </c>
      <c r="O433" s="518">
        <v>0</v>
      </c>
      <c r="P433" s="518">
        <v>0</v>
      </c>
      <c r="Q433" s="519"/>
      <c r="R433" s="516">
        <v>0</v>
      </c>
      <c r="S433" s="521">
        <v>0</v>
      </c>
      <c r="T433" s="521">
        <v>0</v>
      </c>
      <c r="U433" s="517"/>
      <c r="V433" s="342">
        <f t="shared" si="12"/>
        <v>0</v>
      </c>
      <c r="W433" s="518">
        <f t="shared" si="13"/>
        <v>0</v>
      </c>
      <c r="X433" s="257"/>
    </row>
    <row r="434" spans="1:24" x14ac:dyDescent="0.25">
      <c r="A434">
        <v>429</v>
      </c>
      <c r="B434" t="s">
        <v>450</v>
      </c>
      <c r="C434" t="s">
        <v>355</v>
      </c>
      <c r="D434" t="s">
        <v>40</v>
      </c>
      <c r="F434" s="520">
        <v>0</v>
      </c>
      <c r="G434" s="521">
        <v>0</v>
      </c>
      <c r="H434" s="521">
        <v>0</v>
      </c>
      <c r="I434" s="517"/>
      <c r="J434" s="520">
        <v>0</v>
      </c>
      <c r="K434" s="520">
        <v>0</v>
      </c>
      <c r="L434" s="520">
        <v>0</v>
      </c>
      <c r="M434" s="517"/>
      <c r="N434" s="542">
        <v>0</v>
      </c>
      <c r="O434" s="518">
        <v>0</v>
      </c>
      <c r="P434" s="518">
        <v>0</v>
      </c>
      <c r="Q434" s="519"/>
      <c r="R434" s="516">
        <v>1</v>
      </c>
      <c r="S434" s="521">
        <v>7585.65</v>
      </c>
      <c r="T434" s="521">
        <v>20</v>
      </c>
      <c r="U434" s="517"/>
      <c r="V434" s="342">
        <f t="shared" si="12"/>
        <v>-1</v>
      </c>
      <c r="W434" s="518">
        <f t="shared" si="13"/>
        <v>-7605.65</v>
      </c>
      <c r="X434" s="257"/>
    </row>
    <row r="435" spans="1:24" x14ac:dyDescent="0.25">
      <c r="A435">
        <v>430</v>
      </c>
      <c r="B435" t="s">
        <v>451</v>
      </c>
      <c r="C435" t="s">
        <v>355</v>
      </c>
      <c r="D435" t="s">
        <v>40</v>
      </c>
      <c r="F435" s="520">
        <v>0</v>
      </c>
      <c r="G435" s="521">
        <v>0</v>
      </c>
      <c r="H435" s="521">
        <v>0</v>
      </c>
      <c r="I435" s="517"/>
      <c r="J435" s="520">
        <v>0</v>
      </c>
      <c r="K435" s="520">
        <v>0</v>
      </c>
      <c r="L435" s="520">
        <v>0</v>
      </c>
      <c r="M435" s="517"/>
      <c r="N435" s="542">
        <v>0</v>
      </c>
      <c r="O435" s="518">
        <v>0</v>
      </c>
      <c r="P435" s="518">
        <v>0</v>
      </c>
      <c r="Q435" s="519"/>
      <c r="R435" s="516">
        <v>4</v>
      </c>
      <c r="S435" s="521">
        <v>113914.52</v>
      </c>
      <c r="T435" s="521">
        <v>160</v>
      </c>
      <c r="U435" s="517"/>
      <c r="V435" s="342">
        <f t="shared" si="12"/>
        <v>-4</v>
      </c>
      <c r="W435" s="518">
        <f t="shared" si="13"/>
        <v>-114074.52</v>
      </c>
      <c r="X435" s="257"/>
    </row>
    <row r="436" spans="1:24" x14ac:dyDescent="0.25">
      <c r="A436">
        <v>431</v>
      </c>
      <c r="B436" t="s">
        <v>452</v>
      </c>
      <c r="D436" t="s">
        <v>16</v>
      </c>
      <c r="F436" s="520">
        <v>0</v>
      </c>
      <c r="G436" s="521">
        <v>0</v>
      </c>
      <c r="H436" s="521">
        <v>0</v>
      </c>
      <c r="I436" s="517"/>
      <c r="J436" s="520">
        <v>0</v>
      </c>
      <c r="K436" s="520">
        <v>0</v>
      </c>
      <c r="L436" s="520">
        <v>0</v>
      </c>
      <c r="M436" s="517"/>
      <c r="N436" s="542">
        <v>0</v>
      </c>
      <c r="O436" s="518">
        <v>0</v>
      </c>
      <c r="P436" s="518">
        <v>0</v>
      </c>
      <c r="Q436" s="519"/>
      <c r="R436" s="516">
        <v>0</v>
      </c>
      <c r="S436" s="521">
        <v>0</v>
      </c>
      <c r="T436" s="521">
        <v>0</v>
      </c>
      <c r="U436" s="517"/>
      <c r="V436" s="342">
        <f t="shared" si="12"/>
        <v>0</v>
      </c>
      <c r="W436" s="518">
        <f t="shared" si="13"/>
        <v>0</v>
      </c>
      <c r="X436" s="257"/>
    </row>
    <row r="437" spans="1:24" x14ac:dyDescent="0.25">
      <c r="A437">
        <v>432</v>
      </c>
      <c r="B437" t="s">
        <v>454</v>
      </c>
      <c r="C437" t="s">
        <v>18</v>
      </c>
      <c r="D437" t="s">
        <v>16</v>
      </c>
      <c r="F437" s="520">
        <v>0</v>
      </c>
      <c r="G437" s="521">
        <v>0</v>
      </c>
      <c r="H437" s="521">
        <v>0</v>
      </c>
      <c r="I437" s="517"/>
      <c r="J437" s="520">
        <v>0</v>
      </c>
      <c r="K437" s="520">
        <v>0</v>
      </c>
      <c r="L437" s="520">
        <v>0</v>
      </c>
      <c r="M437" s="517"/>
      <c r="N437" s="542">
        <v>0</v>
      </c>
      <c r="O437" s="518">
        <v>0</v>
      </c>
      <c r="P437" s="518">
        <v>0</v>
      </c>
      <c r="Q437" s="519"/>
      <c r="R437" s="516">
        <v>0</v>
      </c>
      <c r="S437" s="521">
        <v>0</v>
      </c>
      <c r="T437" s="521">
        <v>0</v>
      </c>
      <c r="U437" s="517"/>
      <c r="V437" s="342">
        <f t="shared" si="12"/>
        <v>0</v>
      </c>
      <c r="W437" s="518">
        <f t="shared" si="13"/>
        <v>0</v>
      </c>
      <c r="X437" s="257"/>
    </row>
    <row r="438" spans="1:24" x14ac:dyDescent="0.25">
      <c r="A438">
        <v>433</v>
      </c>
      <c r="B438" t="s">
        <v>455</v>
      </c>
      <c r="C438" t="s">
        <v>18</v>
      </c>
      <c r="D438" t="s">
        <v>16</v>
      </c>
      <c r="F438" s="520">
        <v>1</v>
      </c>
      <c r="G438" s="521">
        <v>205073</v>
      </c>
      <c r="H438" s="521">
        <v>30</v>
      </c>
      <c r="I438" s="517"/>
      <c r="J438" s="520">
        <v>0</v>
      </c>
      <c r="K438" s="520">
        <v>0</v>
      </c>
      <c r="L438" s="520">
        <v>0</v>
      </c>
      <c r="M438" s="517"/>
      <c r="N438" s="542">
        <v>1</v>
      </c>
      <c r="O438" s="518">
        <v>205073</v>
      </c>
      <c r="P438" s="518">
        <v>30</v>
      </c>
      <c r="Q438" s="519"/>
      <c r="R438" s="516">
        <v>0</v>
      </c>
      <c r="S438" s="521">
        <v>0</v>
      </c>
      <c r="T438" s="521">
        <v>0</v>
      </c>
      <c r="U438" s="517"/>
      <c r="V438" s="342">
        <f t="shared" si="12"/>
        <v>1</v>
      </c>
      <c r="W438" s="518">
        <f t="shared" si="13"/>
        <v>205073</v>
      </c>
      <c r="X438" s="257"/>
    </row>
    <row r="439" spans="1:24" x14ac:dyDescent="0.25">
      <c r="A439">
        <v>434</v>
      </c>
      <c r="B439" t="s">
        <v>456</v>
      </c>
      <c r="C439" t="s">
        <v>25</v>
      </c>
      <c r="D439" t="s">
        <v>20</v>
      </c>
      <c r="F439" s="520">
        <v>0</v>
      </c>
      <c r="G439" s="521">
        <v>0</v>
      </c>
      <c r="H439" s="521">
        <v>0</v>
      </c>
      <c r="I439" s="517"/>
      <c r="J439" s="520">
        <v>0</v>
      </c>
      <c r="K439" s="520">
        <v>0</v>
      </c>
      <c r="L439" s="520">
        <v>0</v>
      </c>
      <c r="M439" s="517"/>
      <c r="N439" s="542">
        <v>0</v>
      </c>
      <c r="O439" s="518">
        <v>0</v>
      </c>
      <c r="P439" s="518">
        <v>0</v>
      </c>
      <c r="Q439" s="519"/>
      <c r="R439" s="516">
        <v>0</v>
      </c>
      <c r="S439" s="521">
        <v>0</v>
      </c>
      <c r="T439" s="521">
        <v>0</v>
      </c>
      <c r="U439" s="517"/>
      <c r="V439" s="342">
        <f t="shared" si="12"/>
        <v>0</v>
      </c>
      <c r="W439" s="518">
        <f t="shared" si="13"/>
        <v>0</v>
      </c>
      <c r="X439" s="257"/>
    </row>
    <row r="440" spans="1:24" x14ac:dyDescent="0.25">
      <c r="A440">
        <v>435</v>
      </c>
      <c r="B440" t="s">
        <v>457</v>
      </c>
      <c r="C440" t="s">
        <v>41</v>
      </c>
      <c r="D440" t="s">
        <v>703</v>
      </c>
      <c r="F440" s="520">
        <v>0</v>
      </c>
      <c r="G440" s="521">
        <v>0</v>
      </c>
      <c r="H440" s="521">
        <v>0</v>
      </c>
      <c r="I440" s="517"/>
      <c r="J440" s="520">
        <v>0</v>
      </c>
      <c r="K440" s="520">
        <v>0</v>
      </c>
      <c r="L440" s="520">
        <v>0</v>
      </c>
      <c r="M440" s="517"/>
      <c r="N440" s="542">
        <v>0</v>
      </c>
      <c r="O440" s="518">
        <v>0</v>
      </c>
      <c r="P440" s="518">
        <v>0</v>
      </c>
      <c r="Q440" s="519"/>
      <c r="R440" s="516">
        <v>0</v>
      </c>
      <c r="S440" s="521">
        <v>0</v>
      </c>
      <c r="T440" s="521">
        <v>0</v>
      </c>
      <c r="U440" s="517"/>
      <c r="V440" s="342">
        <f t="shared" si="12"/>
        <v>0</v>
      </c>
      <c r="W440" s="518">
        <f t="shared" si="13"/>
        <v>0</v>
      </c>
      <c r="X440" s="257"/>
    </row>
    <row r="441" spans="1:24" x14ac:dyDescent="0.25">
      <c r="A441">
        <v>436</v>
      </c>
      <c r="B441" t="s">
        <v>458</v>
      </c>
      <c r="C441" t="s">
        <v>18</v>
      </c>
      <c r="D441" t="s">
        <v>16</v>
      </c>
      <c r="F441" s="520">
        <v>0</v>
      </c>
      <c r="G441" s="521">
        <v>0</v>
      </c>
      <c r="H441" s="521">
        <v>0</v>
      </c>
      <c r="I441" s="517"/>
      <c r="J441" s="520">
        <v>0</v>
      </c>
      <c r="K441" s="520">
        <v>0</v>
      </c>
      <c r="L441" s="520">
        <v>0</v>
      </c>
      <c r="M441" s="517"/>
      <c r="N441" s="542">
        <v>0</v>
      </c>
      <c r="O441" s="518">
        <v>0</v>
      </c>
      <c r="P441" s="518">
        <v>0</v>
      </c>
      <c r="Q441" s="519"/>
      <c r="R441" s="516">
        <v>0</v>
      </c>
      <c r="S441" s="521">
        <v>0</v>
      </c>
      <c r="T441" s="521">
        <v>0</v>
      </c>
      <c r="U441" s="517"/>
      <c r="V441" s="342">
        <f t="shared" si="12"/>
        <v>0</v>
      </c>
      <c r="W441" s="518">
        <f t="shared" si="13"/>
        <v>0</v>
      </c>
      <c r="X441" s="257"/>
    </row>
    <row r="442" spans="1:24" x14ac:dyDescent="0.25">
      <c r="A442">
        <v>437</v>
      </c>
      <c r="B442" t="s">
        <v>459</v>
      </c>
      <c r="C442" t="s">
        <v>15</v>
      </c>
      <c r="D442" t="s">
        <v>20</v>
      </c>
      <c r="F442" s="520">
        <v>0</v>
      </c>
      <c r="G442" s="521">
        <v>0</v>
      </c>
      <c r="H442" s="521">
        <v>0</v>
      </c>
      <c r="I442" s="517"/>
      <c r="J442" s="520">
        <v>0</v>
      </c>
      <c r="K442" s="520">
        <v>0</v>
      </c>
      <c r="L442" s="520">
        <v>0</v>
      </c>
      <c r="M442" s="517"/>
      <c r="N442" s="542">
        <v>0</v>
      </c>
      <c r="O442" s="518">
        <v>0</v>
      </c>
      <c r="P442" s="518">
        <v>0</v>
      </c>
      <c r="Q442" s="519"/>
      <c r="R442" s="516">
        <v>0</v>
      </c>
      <c r="S442" s="521">
        <v>0</v>
      </c>
      <c r="T442" s="521">
        <v>0</v>
      </c>
      <c r="U442" s="517"/>
      <c r="V442" s="342">
        <f t="shared" si="12"/>
        <v>0</v>
      </c>
      <c r="W442" s="518">
        <f t="shared" si="13"/>
        <v>0</v>
      </c>
      <c r="X442" s="257"/>
    </row>
    <row r="443" spans="1:24" x14ac:dyDescent="0.25">
      <c r="A443">
        <v>438</v>
      </c>
      <c r="B443" t="s">
        <v>460</v>
      </c>
      <c r="C443" t="s">
        <v>98</v>
      </c>
      <c r="D443" t="s">
        <v>20</v>
      </c>
      <c r="F443" s="520">
        <v>0</v>
      </c>
      <c r="G443" s="521">
        <v>0</v>
      </c>
      <c r="H443" s="521">
        <v>0</v>
      </c>
      <c r="I443" s="517"/>
      <c r="J443" s="520">
        <v>0</v>
      </c>
      <c r="K443" s="520">
        <v>0</v>
      </c>
      <c r="L443" s="520">
        <v>0</v>
      </c>
      <c r="M443" s="517"/>
      <c r="N443" s="542">
        <v>0</v>
      </c>
      <c r="O443" s="518">
        <v>0</v>
      </c>
      <c r="P443" s="518">
        <v>0</v>
      </c>
      <c r="Q443" s="519"/>
      <c r="R443" s="516">
        <v>0</v>
      </c>
      <c r="S443" s="521">
        <v>0</v>
      </c>
      <c r="T443" s="521">
        <v>0</v>
      </c>
      <c r="U443" s="517"/>
      <c r="V443" s="342">
        <f t="shared" si="12"/>
        <v>0</v>
      </c>
      <c r="W443" s="518">
        <f t="shared" si="13"/>
        <v>0</v>
      </c>
      <c r="X443" s="257"/>
    </row>
    <row r="444" spans="1:24" x14ac:dyDescent="0.25">
      <c r="A444">
        <v>439</v>
      </c>
      <c r="B444" t="s">
        <v>461</v>
      </c>
      <c r="C444" t="s">
        <v>15</v>
      </c>
      <c r="D444" t="s">
        <v>20</v>
      </c>
      <c r="F444" s="520">
        <v>6</v>
      </c>
      <c r="G444" s="521">
        <v>12456</v>
      </c>
      <c r="H444" s="521">
        <v>60</v>
      </c>
      <c r="I444" s="517"/>
      <c r="J444" s="520">
        <v>0</v>
      </c>
      <c r="K444" s="520">
        <v>0</v>
      </c>
      <c r="L444" s="520">
        <v>0</v>
      </c>
      <c r="M444" s="517"/>
      <c r="N444" s="542">
        <v>6</v>
      </c>
      <c r="O444" s="518">
        <v>12456</v>
      </c>
      <c r="P444" s="518">
        <v>60</v>
      </c>
      <c r="Q444" s="519"/>
      <c r="R444" s="516">
        <v>0</v>
      </c>
      <c r="S444" s="521">
        <v>0</v>
      </c>
      <c r="T444" s="521">
        <v>0</v>
      </c>
      <c r="U444" s="517"/>
      <c r="V444" s="342">
        <f t="shared" si="12"/>
        <v>6</v>
      </c>
      <c r="W444" s="518">
        <f t="shared" si="13"/>
        <v>12456</v>
      </c>
      <c r="X444" s="257"/>
    </row>
    <row r="445" spans="1:24" x14ac:dyDescent="0.25">
      <c r="A445">
        <v>440</v>
      </c>
      <c r="B445" t="s">
        <v>462</v>
      </c>
      <c r="C445" t="s">
        <v>25</v>
      </c>
      <c r="D445" t="s">
        <v>16</v>
      </c>
      <c r="F445" s="520">
        <v>0</v>
      </c>
      <c r="G445" s="521">
        <v>0</v>
      </c>
      <c r="H445" s="521">
        <v>0</v>
      </c>
      <c r="I445" s="517"/>
      <c r="J445" s="520">
        <v>0</v>
      </c>
      <c r="K445" s="520">
        <v>0</v>
      </c>
      <c r="L445" s="520">
        <v>0</v>
      </c>
      <c r="M445" s="517"/>
      <c r="N445" s="542">
        <v>0</v>
      </c>
      <c r="O445" s="518">
        <v>0</v>
      </c>
      <c r="P445" s="518">
        <v>0</v>
      </c>
      <c r="Q445" s="519"/>
      <c r="R445" s="516">
        <v>0</v>
      </c>
      <c r="S445" s="521">
        <v>0</v>
      </c>
      <c r="T445" s="521">
        <v>0</v>
      </c>
      <c r="U445" s="517"/>
      <c r="V445" s="342">
        <f t="shared" si="12"/>
        <v>0</v>
      </c>
      <c r="W445" s="518">
        <f t="shared" si="13"/>
        <v>0</v>
      </c>
      <c r="X445" s="257"/>
    </row>
    <row r="446" spans="1:24" x14ac:dyDescent="0.25">
      <c r="A446">
        <v>441</v>
      </c>
      <c r="B446" t="s">
        <v>463</v>
      </c>
      <c r="C446" t="s">
        <v>15</v>
      </c>
      <c r="D446" t="s">
        <v>16</v>
      </c>
      <c r="F446" s="520">
        <v>0</v>
      </c>
      <c r="G446" s="521">
        <v>0</v>
      </c>
      <c r="H446" s="521">
        <v>0</v>
      </c>
      <c r="I446" s="517"/>
      <c r="J446" s="520">
        <v>0</v>
      </c>
      <c r="K446" s="520">
        <v>0</v>
      </c>
      <c r="L446" s="520">
        <v>0</v>
      </c>
      <c r="M446" s="517"/>
      <c r="N446" s="542">
        <v>0</v>
      </c>
      <c r="O446" s="518">
        <v>0</v>
      </c>
      <c r="P446" s="518">
        <v>0</v>
      </c>
      <c r="Q446" s="519"/>
      <c r="R446" s="516">
        <v>0</v>
      </c>
      <c r="S446" s="521">
        <v>0</v>
      </c>
      <c r="T446" s="521">
        <v>0</v>
      </c>
      <c r="U446" s="517"/>
      <c r="V446" s="342">
        <f t="shared" si="12"/>
        <v>0</v>
      </c>
      <c r="W446" s="518">
        <f t="shared" si="13"/>
        <v>0</v>
      </c>
      <c r="X446" s="257"/>
    </row>
    <row r="447" spans="1:24" x14ac:dyDescent="0.25">
      <c r="A447">
        <v>442</v>
      </c>
      <c r="B447" t="s">
        <v>464</v>
      </c>
      <c r="C447" t="s">
        <v>15</v>
      </c>
      <c r="D447" t="s">
        <v>43</v>
      </c>
      <c r="F447" s="520">
        <v>0</v>
      </c>
      <c r="G447" s="521">
        <v>0</v>
      </c>
      <c r="H447" s="521">
        <v>0</v>
      </c>
      <c r="I447" s="517"/>
      <c r="J447" s="520">
        <v>0</v>
      </c>
      <c r="K447" s="520">
        <v>0</v>
      </c>
      <c r="L447" s="520">
        <v>0</v>
      </c>
      <c r="M447" s="517"/>
      <c r="N447" s="542">
        <v>0</v>
      </c>
      <c r="O447" s="518">
        <v>0</v>
      </c>
      <c r="P447" s="518">
        <v>0</v>
      </c>
      <c r="Q447" s="519"/>
      <c r="R447" s="516">
        <v>0</v>
      </c>
      <c r="S447" s="521">
        <v>0</v>
      </c>
      <c r="T447" s="521">
        <v>0</v>
      </c>
      <c r="U447" s="517"/>
      <c r="V447" s="342">
        <f t="shared" si="12"/>
        <v>0</v>
      </c>
      <c r="W447" s="518">
        <f t="shared" si="13"/>
        <v>0</v>
      </c>
      <c r="X447" s="257"/>
    </row>
    <row r="448" spans="1:24" x14ac:dyDescent="0.25">
      <c r="A448">
        <v>443</v>
      </c>
      <c r="B448" t="s">
        <v>3230</v>
      </c>
      <c r="C448" t="s">
        <v>242</v>
      </c>
      <c r="D448" t="s">
        <v>3231</v>
      </c>
      <c r="F448" s="520">
        <v>0</v>
      </c>
      <c r="G448" s="521">
        <v>0</v>
      </c>
      <c r="H448" s="521">
        <v>0</v>
      </c>
      <c r="I448" s="517"/>
      <c r="J448" s="520">
        <v>0</v>
      </c>
      <c r="K448" s="520">
        <v>0</v>
      </c>
      <c r="L448" s="520">
        <v>0</v>
      </c>
      <c r="M448" s="517"/>
      <c r="N448" s="542">
        <v>0</v>
      </c>
      <c r="O448" s="518">
        <v>0</v>
      </c>
      <c r="P448" s="518">
        <v>0</v>
      </c>
      <c r="Q448" s="519"/>
      <c r="R448" s="516">
        <v>0</v>
      </c>
      <c r="S448" s="521">
        <v>0</v>
      </c>
      <c r="T448" s="521">
        <v>0</v>
      </c>
      <c r="U448" s="517"/>
      <c r="V448" s="342">
        <f t="shared" si="12"/>
        <v>0</v>
      </c>
      <c r="W448" s="518">
        <f t="shared" si="13"/>
        <v>0</v>
      </c>
      <c r="X448" s="257"/>
    </row>
    <row r="449" spans="1:24" x14ac:dyDescent="0.25">
      <c r="A449">
        <v>444</v>
      </c>
      <c r="B449" t="s">
        <v>465</v>
      </c>
      <c r="C449" t="s">
        <v>15</v>
      </c>
      <c r="D449" t="s">
        <v>380</v>
      </c>
      <c r="F449" s="520">
        <v>79</v>
      </c>
      <c r="G449" s="521">
        <v>2558052</v>
      </c>
      <c r="H449" s="521">
        <v>2370</v>
      </c>
      <c r="I449" s="517"/>
      <c r="J449" s="520">
        <v>0</v>
      </c>
      <c r="K449" s="520">
        <v>0</v>
      </c>
      <c r="L449" s="520">
        <v>0</v>
      </c>
      <c r="M449" s="517"/>
      <c r="N449" s="542">
        <v>79</v>
      </c>
      <c r="O449" s="518">
        <v>2558052</v>
      </c>
      <c r="P449" s="518">
        <v>2370</v>
      </c>
      <c r="Q449" s="519"/>
      <c r="R449" s="516">
        <v>0</v>
      </c>
      <c r="S449" s="521">
        <v>0</v>
      </c>
      <c r="T449" s="521">
        <v>0</v>
      </c>
      <c r="U449" s="517"/>
      <c r="V449" s="342">
        <f t="shared" si="12"/>
        <v>79</v>
      </c>
      <c r="W449" s="518">
        <f t="shared" si="13"/>
        <v>2558052</v>
      </c>
      <c r="X449" s="257"/>
    </row>
    <row r="450" spans="1:24" x14ac:dyDescent="0.25">
      <c r="A450">
        <v>445</v>
      </c>
      <c r="B450" t="s">
        <v>2178</v>
      </c>
      <c r="C450" t="s">
        <v>27</v>
      </c>
      <c r="D450" t="s">
        <v>16</v>
      </c>
      <c r="F450" s="520">
        <v>6</v>
      </c>
      <c r="G450" s="521">
        <v>70600</v>
      </c>
      <c r="H450" s="521">
        <v>180</v>
      </c>
      <c r="I450" s="517"/>
      <c r="J450" s="520">
        <v>0</v>
      </c>
      <c r="K450" s="520">
        <v>0</v>
      </c>
      <c r="L450" s="520">
        <v>0</v>
      </c>
      <c r="M450" s="517"/>
      <c r="N450" s="542">
        <v>6</v>
      </c>
      <c r="O450" s="518">
        <v>70600</v>
      </c>
      <c r="P450" s="518">
        <v>180</v>
      </c>
      <c r="Q450" s="519"/>
      <c r="R450" s="516">
        <v>0</v>
      </c>
      <c r="S450" s="521">
        <v>0</v>
      </c>
      <c r="T450" s="521">
        <v>0</v>
      </c>
      <c r="U450" s="517"/>
      <c r="V450" s="342">
        <f t="shared" si="12"/>
        <v>6</v>
      </c>
      <c r="W450" s="518">
        <f t="shared" si="13"/>
        <v>70600</v>
      </c>
      <c r="X450" s="257"/>
    </row>
    <row r="451" spans="1:24" x14ac:dyDescent="0.25">
      <c r="A451">
        <v>446</v>
      </c>
      <c r="B451" t="s">
        <v>466</v>
      </c>
      <c r="C451" t="s">
        <v>351</v>
      </c>
      <c r="D451" t="s">
        <v>16</v>
      </c>
      <c r="F451" s="520">
        <v>26</v>
      </c>
      <c r="G451" s="521">
        <v>289399.40000000002</v>
      </c>
      <c r="H451" s="521">
        <v>871</v>
      </c>
      <c r="I451" s="517"/>
      <c r="J451" s="520">
        <v>0</v>
      </c>
      <c r="K451" s="520">
        <v>0</v>
      </c>
      <c r="L451" s="520">
        <v>0</v>
      </c>
      <c r="M451" s="517"/>
      <c r="N451" s="542">
        <v>26</v>
      </c>
      <c r="O451" s="518">
        <v>289399.40000000002</v>
      </c>
      <c r="P451" s="518">
        <v>871</v>
      </c>
      <c r="Q451" s="519"/>
      <c r="R451" s="516">
        <v>0</v>
      </c>
      <c r="S451" s="521">
        <v>0</v>
      </c>
      <c r="T451" s="521">
        <v>0</v>
      </c>
      <c r="U451" s="517"/>
      <c r="V451" s="342">
        <f t="shared" si="12"/>
        <v>26</v>
      </c>
      <c r="W451" s="518">
        <f t="shared" si="13"/>
        <v>289399.40000000002</v>
      </c>
      <c r="X451" s="257"/>
    </row>
    <row r="452" spans="1:24" x14ac:dyDescent="0.25">
      <c r="A452">
        <v>447</v>
      </c>
      <c r="B452" t="s">
        <v>467</v>
      </c>
      <c r="C452" t="s">
        <v>41</v>
      </c>
      <c r="D452" t="s">
        <v>380</v>
      </c>
      <c r="F452" s="520">
        <v>0</v>
      </c>
      <c r="G452" s="521">
        <v>0</v>
      </c>
      <c r="H452" s="521">
        <v>0</v>
      </c>
      <c r="I452" s="517"/>
      <c r="J452" s="520">
        <v>0</v>
      </c>
      <c r="K452" s="520">
        <v>0</v>
      </c>
      <c r="L452" s="520">
        <v>0</v>
      </c>
      <c r="M452" s="517"/>
      <c r="N452" s="542">
        <v>0</v>
      </c>
      <c r="O452" s="518">
        <v>0</v>
      </c>
      <c r="P452" s="518">
        <v>0</v>
      </c>
      <c r="Q452" s="519"/>
      <c r="R452" s="516">
        <v>0</v>
      </c>
      <c r="S452" s="521">
        <v>0</v>
      </c>
      <c r="T452" s="521">
        <v>0</v>
      </c>
      <c r="U452" s="517"/>
      <c r="V452" s="342">
        <f t="shared" si="12"/>
        <v>0</v>
      </c>
      <c r="W452" s="518">
        <f t="shared" si="13"/>
        <v>0</v>
      </c>
      <c r="X452" s="257"/>
    </row>
    <row r="453" spans="1:24" x14ac:dyDescent="0.25">
      <c r="A453">
        <v>448</v>
      </c>
      <c r="B453" t="s">
        <v>468</v>
      </c>
      <c r="C453" t="s">
        <v>329</v>
      </c>
      <c r="D453" t="s">
        <v>16</v>
      </c>
      <c r="F453" s="520">
        <v>0</v>
      </c>
      <c r="G453" s="521">
        <v>0</v>
      </c>
      <c r="H453" s="521">
        <v>0</v>
      </c>
      <c r="I453" s="517"/>
      <c r="J453" s="520">
        <v>0</v>
      </c>
      <c r="K453" s="520">
        <v>0</v>
      </c>
      <c r="L453" s="520">
        <v>0</v>
      </c>
      <c r="M453" s="517"/>
      <c r="N453" s="542">
        <v>0</v>
      </c>
      <c r="O453" s="518">
        <v>0</v>
      </c>
      <c r="P453" s="518">
        <v>0</v>
      </c>
      <c r="Q453" s="519"/>
      <c r="R453" s="516">
        <v>0</v>
      </c>
      <c r="S453" s="521">
        <v>0</v>
      </c>
      <c r="T453" s="521">
        <v>0</v>
      </c>
      <c r="U453" s="517"/>
      <c r="V453" s="342">
        <f t="shared" si="12"/>
        <v>0</v>
      </c>
      <c r="W453" s="518">
        <f t="shared" si="13"/>
        <v>0</v>
      </c>
      <c r="X453" s="257"/>
    </row>
    <row r="454" spans="1:24" x14ac:dyDescent="0.25">
      <c r="A454">
        <v>449</v>
      </c>
      <c r="B454" t="s">
        <v>469</v>
      </c>
      <c r="C454" t="s">
        <v>355</v>
      </c>
      <c r="D454" t="s">
        <v>16</v>
      </c>
      <c r="F454" s="520">
        <v>0</v>
      </c>
      <c r="G454" s="521">
        <v>0</v>
      </c>
      <c r="H454" s="521">
        <v>0</v>
      </c>
      <c r="I454" s="517"/>
      <c r="J454" s="520">
        <v>0</v>
      </c>
      <c r="K454" s="520">
        <v>0</v>
      </c>
      <c r="L454" s="520">
        <v>0</v>
      </c>
      <c r="M454" s="517"/>
      <c r="N454" s="542">
        <v>0</v>
      </c>
      <c r="O454" s="518">
        <v>0</v>
      </c>
      <c r="P454" s="518">
        <v>0</v>
      </c>
      <c r="Q454" s="519"/>
      <c r="R454" s="516">
        <v>0</v>
      </c>
      <c r="S454" s="521">
        <v>0</v>
      </c>
      <c r="T454" s="521">
        <v>0</v>
      </c>
      <c r="U454" s="517"/>
      <c r="V454" s="342">
        <f t="shared" ref="V454:V517" si="14">N454-R454</f>
        <v>0</v>
      </c>
      <c r="W454" s="518">
        <f t="shared" ref="W454:W517" si="15">O454-S454-T454</f>
        <v>0</v>
      </c>
      <c r="X454" s="257"/>
    </row>
    <row r="455" spans="1:24" x14ac:dyDescent="0.25">
      <c r="A455">
        <v>450</v>
      </c>
      <c r="B455" t="s">
        <v>470</v>
      </c>
      <c r="C455" t="s">
        <v>355</v>
      </c>
      <c r="D455" t="s">
        <v>16</v>
      </c>
      <c r="F455" s="520">
        <v>0</v>
      </c>
      <c r="G455" s="521">
        <v>0</v>
      </c>
      <c r="H455" s="521">
        <v>0</v>
      </c>
      <c r="I455" s="517"/>
      <c r="J455" s="520">
        <v>0</v>
      </c>
      <c r="K455" s="520">
        <v>0</v>
      </c>
      <c r="L455" s="520">
        <v>0</v>
      </c>
      <c r="M455" s="517"/>
      <c r="N455" s="542">
        <v>0</v>
      </c>
      <c r="O455" s="518">
        <v>0</v>
      </c>
      <c r="P455" s="518">
        <v>0</v>
      </c>
      <c r="Q455" s="519"/>
      <c r="R455" s="516">
        <v>0</v>
      </c>
      <c r="S455" s="521">
        <v>0</v>
      </c>
      <c r="T455" s="521">
        <v>0</v>
      </c>
      <c r="U455" s="517"/>
      <c r="V455" s="342">
        <f t="shared" si="14"/>
        <v>0</v>
      </c>
      <c r="W455" s="518">
        <f t="shared" si="15"/>
        <v>0</v>
      </c>
      <c r="X455" s="257"/>
    </row>
    <row r="456" spans="1:24" x14ac:dyDescent="0.25">
      <c r="A456">
        <v>451</v>
      </c>
      <c r="B456" t="s">
        <v>471</v>
      </c>
      <c r="C456" t="s">
        <v>51</v>
      </c>
      <c r="D456" t="s">
        <v>16</v>
      </c>
      <c r="F456" s="520">
        <v>39</v>
      </c>
      <c r="G456" s="521">
        <v>1176701</v>
      </c>
      <c r="H456" s="521">
        <v>2940</v>
      </c>
      <c r="I456" s="517"/>
      <c r="J456" s="520">
        <v>0</v>
      </c>
      <c r="K456" s="520">
        <v>0</v>
      </c>
      <c r="L456" s="520">
        <v>0</v>
      </c>
      <c r="M456" s="517"/>
      <c r="N456" s="542">
        <v>39</v>
      </c>
      <c r="O456" s="518">
        <v>1176701</v>
      </c>
      <c r="P456" s="518">
        <v>2940</v>
      </c>
      <c r="Q456" s="519"/>
      <c r="R456" s="516">
        <v>0</v>
      </c>
      <c r="S456" s="521">
        <v>0</v>
      </c>
      <c r="T456" s="521">
        <v>0</v>
      </c>
      <c r="U456" s="517"/>
      <c r="V456" s="342">
        <f t="shared" si="14"/>
        <v>39</v>
      </c>
      <c r="W456" s="518">
        <f t="shared" si="15"/>
        <v>1176701</v>
      </c>
      <c r="X456" s="257"/>
    </row>
    <row r="457" spans="1:24" x14ac:dyDescent="0.25">
      <c r="A457">
        <v>452</v>
      </c>
      <c r="B457" t="s">
        <v>2444</v>
      </c>
      <c r="F457" s="520">
        <v>0</v>
      </c>
      <c r="G457" s="521">
        <v>0</v>
      </c>
      <c r="H457" s="521">
        <v>0</v>
      </c>
      <c r="I457" s="517"/>
      <c r="J457" s="520">
        <v>0</v>
      </c>
      <c r="K457" s="520">
        <v>0</v>
      </c>
      <c r="L457" s="520">
        <v>0</v>
      </c>
      <c r="M457" s="517"/>
      <c r="N457" s="542">
        <v>0</v>
      </c>
      <c r="O457" s="518">
        <v>0</v>
      </c>
      <c r="P457" s="518">
        <v>0</v>
      </c>
      <c r="Q457" s="519"/>
      <c r="R457" s="516">
        <v>0</v>
      </c>
      <c r="S457" s="521">
        <v>0</v>
      </c>
      <c r="T457" s="521">
        <v>0</v>
      </c>
      <c r="U457" s="517"/>
      <c r="V457" s="342">
        <f t="shared" si="14"/>
        <v>0</v>
      </c>
      <c r="W457" s="518">
        <f t="shared" si="15"/>
        <v>0</v>
      </c>
      <c r="X457" s="257"/>
    </row>
    <row r="458" spans="1:24" x14ac:dyDescent="0.25">
      <c r="A458">
        <v>453</v>
      </c>
      <c r="B458" t="s">
        <v>472</v>
      </c>
      <c r="C458" t="s">
        <v>108</v>
      </c>
      <c r="D458" t="s">
        <v>16</v>
      </c>
      <c r="F458" s="520">
        <v>0</v>
      </c>
      <c r="G458" s="521">
        <v>0</v>
      </c>
      <c r="H458" s="521">
        <v>0</v>
      </c>
      <c r="I458" s="517"/>
      <c r="J458" s="520">
        <v>0</v>
      </c>
      <c r="K458" s="520">
        <v>0</v>
      </c>
      <c r="L458" s="520">
        <v>0</v>
      </c>
      <c r="M458" s="517"/>
      <c r="N458" s="542">
        <v>0</v>
      </c>
      <c r="O458" s="518">
        <v>0</v>
      </c>
      <c r="P458" s="518">
        <v>0</v>
      </c>
      <c r="Q458" s="519"/>
      <c r="R458" s="516">
        <v>0</v>
      </c>
      <c r="S458" s="521">
        <v>0</v>
      </c>
      <c r="T458" s="521">
        <v>0</v>
      </c>
      <c r="U458" s="517"/>
      <c r="V458" s="342">
        <f t="shared" si="14"/>
        <v>0</v>
      </c>
      <c r="W458" s="518">
        <f t="shared" si="15"/>
        <v>0</v>
      </c>
      <c r="X458" s="257"/>
    </row>
    <row r="459" spans="1:24" x14ac:dyDescent="0.25">
      <c r="A459">
        <v>454</v>
      </c>
      <c r="B459" t="s">
        <v>473</v>
      </c>
      <c r="C459" t="s">
        <v>27</v>
      </c>
      <c r="D459" t="s">
        <v>16</v>
      </c>
      <c r="F459" s="520">
        <v>0</v>
      </c>
      <c r="G459" s="521">
        <v>0</v>
      </c>
      <c r="H459" s="521">
        <v>0</v>
      </c>
      <c r="I459" s="517"/>
      <c r="J459" s="520">
        <v>0</v>
      </c>
      <c r="K459" s="520">
        <v>0</v>
      </c>
      <c r="L459" s="520">
        <v>0</v>
      </c>
      <c r="M459" s="517"/>
      <c r="N459" s="542">
        <v>0</v>
      </c>
      <c r="O459" s="518">
        <v>0</v>
      </c>
      <c r="P459" s="518">
        <v>0</v>
      </c>
      <c r="Q459" s="519"/>
      <c r="R459" s="516">
        <v>0</v>
      </c>
      <c r="S459" s="521">
        <v>0</v>
      </c>
      <c r="T459" s="521">
        <v>0</v>
      </c>
      <c r="U459" s="517"/>
      <c r="V459" s="342">
        <f t="shared" si="14"/>
        <v>0</v>
      </c>
      <c r="W459" s="518">
        <f t="shared" si="15"/>
        <v>0</v>
      </c>
      <c r="X459" s="257"/>
    </row>
    <row r="460" spans="1:24" x14ac:dyDescent="0.25">
      <c r="A460">
        <v>455</v>
      </c>
      <c r="B460" t="s">
        <v>2235</v>
      </c>
      <c r="C460" t="s">
        <v>18</v>
      </c>
      <c r="D460" t="s">
        <v>16</v>
      </c>
      <c r="F460" s="520">
        <v>1</v>
      </c>
      <c r="G460" s="521">
        <v>2467</v>
      </c>
      <c r="H460" s="521">
        <v>50</v>
      </c>
      <c r="I460" s="517"/>
      <c r="J460" s="520">
        <v>0</v>
      </c>
      <c r="K460" s="520">
        <v>0</v>
      </c>
      <c r="L460" s="520">
        <v>0</v>
      </c>
      <c r="M460" s="517"/>
      <c r="N460" s="542">
        <v>1</v>
      </c>
      <c r="O460" s="518">
        <v>2467</v>
      </c>
      <c r="P460" s="518">
        <v>50</v>
      </c>
      <c r="Q460" s="519"/>
      <c r="R460" s="516">
        <v>0</v>
      </c>
      <c r="S460" s="521">
        <v>0</v>
      </c>
      <c r="T460" s="521">
        <v>0</v>
      </c>
      <c r="U460" s="517"/>
      <c r="V460" s="342">
        <f t="shared" si="14"/>
        <v>1</v>
      </c>
      <c r="W460" s="518">
        <f t="shared" si="15"/>
        <v>2467</v>
      </c>
      <c r="X460" s="257"/>
    </row>
    <row r="461" spans="1:24" x14ac:dyDescent="0.25">
      <c r="A461">
        <v>456</v>
      </c>
      <c r="B461" t="s">
        <v>474</v>
      </c>
      <c r="C461" t="s">
        <v>148</v>
      </c>
      <c r="D461" t="s">
        <v>475</v>
      </c>
      <c r="F461" s="520">
        <v>0</v>
      </c>
      <c r="G461" s="521">
        <v>0</v>
      </c>
      <c r="H461" s="521">
        <v>0</v>
      </c>
      <c r="I461" s="517"/>
      <c r="J461" s="520">
        <v>0</v>
      </c>
      <c r="K461" s="520">
        <v>0</v>
      </c>
      <c r="L461" s="520">
        <v>0</v>
      </c>
      <c r="M461" s="517"/>
      <c r="N461" s="542">
        <v>0</v>
      </c>
      <c r="O461" s="518">
        <v>0</v>
      </c>
      <c r="P461" s="518">
        <v>0</v>
      </c>
      <c r="Q461" s="519"/>
      <c r="R461" s="516">
        <v>0</v>
      </c>
      <c r="S461" s="521">
        <v>0</v>
      </c>
      <c r="T461" s="521">
        <v>0</v>
      </c>
      <c r="U461" s="517"/>
      <c r="V461" s="342">
        <f t="shared" si="14"/>
        <v>0</v>
      </c>
      <c r="W461" s="518">
        <f t="shared" si="15"/>
        <v>0</v>
      </c>
      <c r="X461" s="257"/>
    </row>
    <row r="462" spans="1:24" x14ac:dyDescent="0.25">
      <c r="A462">
        <v>457</v>
      </c>
      <c r="B462" t="s">
        <v>476</v>
      </c>
      <c r="C462" t="s">
        <v>351</v>
      </c>
      <c r="D462" t="s">
        <v>16</v>
      </c>
      <c r="F462" s="520">
        <v>3</v>
      </c>
      <c r="G462" s="521">
        <v>25354</v>
      </c>
      <c r="H462" s="521">
        <v>150</v>
      </c>
      <c r="I462" s="517"/>
      <c r="J462" s="520">
        <v>0</v>
      </c>
      <c r="K462" s="520">
        <v>0</v>
      </c>
      <c r="L462" s="520">
        <v>0</v>
      </c>
      <c r="M462" s="517"/>
      <c r="N462" s="542">
        <v>3</v>
      </c>
      <c r="O462" s="518">
        <v>25354</v>
      </c>
      <c r="P462" s="518">
        <v>150</v>
      </c>
      <c r="Q462" s="519"/>
      <c r="R462" s="516">
        <v>0</v>
      </c>
      <c r="S462" s="521">
        <v>0</v>
      </c>
      <c r="T462" s="521">
        <v>0</v>
      </c>
      <c r="U462" s="517"/>
      <c r="V462" s="342">
        <f t="shared" si="14"/>
        <v>3</v>
      </c>
      <c r="W462" s="518">
        <f t="shared" si="15"/>
        <v>25354</v>
      </c>
      <c r="X462" s="257"/>
    </row>
    <row r="463" spans="1:24" x14ac:dyDescent="0.25">
      <c r="A463">
        <v>458</v>
      </c>
      <c r="B463" t="s">
        <v>477</v>
      </c>
      <c r="C463" t="s">
        <v>41</v>
      </c>
      <c r="D463" t="s">
        <v>16</v>
      </c>
      <c r="F463" s="520">
        <v>136</v>
      </c>
      <c r="G463" s="521">
        <v>373514</v>
      </c>
      <c r="H463" s="521">
        <v>4080</v>
      </c>
      <c r="I463" s="517"/>
      <c r="J463" s="520">
        <v>0</v>
      </c>
      <c r="K463" s="520">
        <v>0</v>
      </c>
      <c r="L463" s="520">
        <v>0</v>
      </c>
      <c r="M463" s="517"/>
      <c r="N463" s="542">
        <v>136</v>
      </c>
      <c r="O463" s="518">
        <v>373514</v>
      </c>
      <c r="P463" s="518">
        <v>4080</v>
      </c>
      <c r="Q463" s="519"/>
      <c r="R463" s="516">
        <v>0</v>
      </c>
      <c r="S463" s="521">
        <v>0</v>
      </c>
      <c r="T463" s="521">
        <v>0</v>
      </c>
      <c r="U463" s="517"/>
      <c r="V463" s="342">
        <f t="shared" si="14"/>
        <v>136</v>
      </c>
      <c r="W463" s="518">
        <f t="shared" si="15"/>
        <v>373514</v>
      </c>
      <c r="X463" s="257"/>
    </row>
    <row r="464" spans="1:24" x14ac:dyDescent="0.25">
      <c r="A464">
        <v>459</v>
      </c>
      <c r="B464" t="s">
        <v>478</v>
      </c>
      <c r="C464" t="s">
        <v>18</v>
      </c>
      <c r="D464" t="s">
        <v>16</v>
      </c>
      <c r="F464" s="520">
        <v>0</v>
      </c>
      <c r="G464" s="521">
        <v>0</v>
      </c>
      <c r="H464" s="521">
        <v>0</v>
      </c>
      <c r="I464" s="517"/>
      <c r="J464" s="520">
        <v>0</v>
      </c>
      <c r="K464" s="520">
        <v>0</v>
      </c>
      <c r="L464" s="520">
        <v>0</v>
      </c>
      <c r="M464" s="517"/>
      <c r="N464" s="542">
        <v>0</v>
      </c>
      <c r="O464" s="518">
        <v>0</v>
      </c>
      <c r="P464" s="518">
        <v>0</v>
      </c>
      <c r="Q464" s="519"/>
      <c r="R464" s="516">
        <v>0</v>
      </c>
      <c r="S464" s="521">
        <v>0</v>
      </c>
      <c r="T464" s="521">
        <v>0</v>
      </c>
      <c r="U464" s="517"/>
      <c r="V464" s="342">
        <f t="shared" si="14"/>
        <v>0</v>
      </c>
      <c r="W464" s="518">
        <f t="shared" si="15"/>
        <v>0</v>
      </c>
      <c r="X464" s="257"/>
    </row>
    <row r="465" spans="1:24" x14ac:dyDescent="0.25">
      <c r="A465">
        <v>460</v>
      </c>
      <c r="B465" t="s">
        <v>2988</v>
      </c>
      <c r="C465" t="s">
        <v>366</v>
      </c>
      <c r="D465" t="s">
        <v>480</v>
      </c>
      <c r="F465" s="520">
        <v>3</v>
      </c>
      <c r="G465" s="521">
        <v>89216</v>
      </c>
      <c r="H465" s="521">
        <v>90</v>
      </c>
      <c r="I465" s="517"/>
      <c r="J465" s="520">
        <v>0</v>
      </c>
      <c r="K465" s="520">
        <v>0</v>
      </c>
      <c r="L465" s="520">
        <v>0</v>
      </c>
      <c r="M465" s="517"/>
      <c r="N465" s="542">
        <v>3</v>
      </c>
      <c r="O465" s="518">
        <v>89216</v>
      </c>
      <c r="P465" s="518">
        <v>90</v>
      </c>
      <c r="Q465" s="519"/>
      <c r="R465" s="516">
        <v>0</v>
      </c>
      <c r="S465" s="521">
        <v>0</v>
      </c>
      <c r="T465" s="521">
        <v>0</v>
      </c>
      <c r="U465" s="517"/>
      <c r="V465" s="342">
        <f t="shared" si="14"/>
        <v>3</v>
      </c>
      <c r="W465" s="518">
        <f t="shared" si="15"/>
        <v>89216</v>
      </c>
      <c r="X465" s="257"/>
    </row>
    <row r="466" spans="1:24" x14ac:dyDescent="0.25">
      <c r="A466">
        <v>461</v>
      </c>
      <c r="B466" t="s">
        <v>2445</v>
      </c>
      <c r="C466" t="s">
        <v>366</v>
      </c>
      <c r="D466" t="s">
        <v>480</v>
      </c>
      <c r="F466" s="520">
        <v>0</v>
      </c>
      <c r="G466" s="521">
        <v>0</v>
      </c>
      <c r="H466" s="521">
        <v>0</v>
      </c>
      <c r="I466" s="517"/>
      <c r="J466" s="520">
        <v>0</v>
      </c>
      <c r="K466" s="520">
        <v>0</v>
      </c>
      <c r="L466" s="520">
        <v>0</v>
      </c>
      <c r="M466" s="517"/>
      <c r="N466" s="542">
        <v>0</v>
      </c>
      <c r="O466" s="518">
        <v>0</v>
      </c>
      <c r="P466" s="518">
        <v>0</v>
      </c>
      <c r="Q466" s="519"/>
      <c r="R466" s="516">
        <v>0</v>
      </c>
      <c r="S466" s="521">
        <v>0</v>
      </c>
      <c r="T466" s="521">
        <v>0</v>
      </c>
      <c r="U466" s="517"/>
      <c r="V466" s="342">
        <f t="shared" si="14"/>
        <v>0</v>
      </c>
      <c r="W466" s="518">
        <f t="shared" si="15"/>
        <v>0</v>
      </c>
      <c r="X466" s="257"/>
    </row>
    <row r="467" spans="1:24" x14ac:dyDescent="0.25">
      <c r="A467">
        <v>462</v>
      </c>
      <c r="B467" t="s">
        <v>2447</v>
      </c>
      <c r="C467" t="s">
        <v>366</v>
      </c>
      <c r="D467" t="s">
        <v>480</v>
      </c>
      <c r="F467" s="520">
        <v>0</v>
      </c>
      <c r="G467" s="521">
        <v>0</v>
      </c>
      <c r="H467" s="521">
        <v>0</v>
      </c>
      <c r="I467" s="517"/>
      <c r="J467" s="520">
        <v>0</v>
      </c>
      <c r="K467" s="520">
        <v>0</v>
      </c>
      <c r="L467" s="520">
        <v>0</v>
      </c>
      <c r="M467" s="517"/>
      <c r="N467" s="542">
        <v>0</v>
      </c>
      <c r="O467" s="518">
        <v>0</v>
      </c>
      <c r="P467" s="518">
        <v>0</v>
      </c>
      <c r="Q467" s="519"/>
      <c r="R467" s="516">
        <v>0</v>
      </c>
      <c r="S467" s="521">
        <v>0</v>
      </c>
      <c r="T467" s="521">
        <v>0</v>
      </c>
      <c r="U467" s="517"/>
      <c r="V467" s="342">
        <f t="shared" si="14"/>
        <v>0</v>
      </c>
      <c r="W467" s="518">
        <f t="shared" si="15"/>
        <v>0</v>
      </c>
      <c r="X467" s="257"/>
    </row>
    <row r="468" spans="1:24" x14ac:dyDescent="0.25">
      <c r="A468">
        <v>463</v>
      </c>
      <c r="B468" t="s">
        <v>2963</v>
      </c>
      <c r="C468" t="s">
        <v>366</v>
      </c>
      <c r="D468" t="s">
        <v>480</v>
      </c>
      <c r="F468" s="520">
        <v>2</v>
      </c>
      <c r="G468" s="521">
        <v>233220</v>
      </c>
      <c r="H468" s="521">
        <v>180</v>
      </c>
      <c r="I468" s="517"/>
      <c r="J468" s="520">
        <v>0</v>
      </c>
      <c r="K468" s="520">
        <v>0</v>
      </c>
      <c r="L468" s="520">
        <v>0</v>
      </c>
      <c r="M468" s="517"/>
      <c r="N468" s="542">
        <v>2</v>
      </c>
      <c r="O468" s="518">
        <v>233220</v>
      </c>
      <c r="P468" s="518">
        <v>180</v>
      </c>
      <c r="Q468" s="519"/>
      <c r="R468" s="516">
        <v>0</v>
      </c>
      <c r="S468" s="521">
        <v>0</v>
      </c>
      <c r="T468" s="521">
        <v>0</v>
      </c>
      <c r="U468" s="517"/>
      <c r="V468" s="342">
        <f t="shared" si="14"/>
        <v>2</v>
      </c>
      <c r="W468" s="518">
        <f t="shared" si="15"/>
        <v>233220</v>
      </c>
      <c r="X468" s="257"/>
    </row>
    <row r="469" spans="1:24" x14ac:dyDescent="0.25">
      <c r="A469">
        <v>464</v>
      </c>
      <c r="B469" t="s">
        <v>2427</v>
      </c>
      <c r="C469" t="s">
        <v>366</v>
      </c>
      <c r="D469" t="s">
        <v>480</v>
      </c>
      <c r="F469" s="520">
        <v>1</v>
      </c>
      <c r="G469" s="521">
        <v>54000</v>
      </c>
      <c r="H469" s="521">
        <v>60</v>
      </c>
      <c r="I469" s="517"/>
      <c r="J469" s="520">
        <v>0</v>
      </c>
      <c r="K469" s="520">
        <v>0</v>
      </c>
      <c r="L469" s="520">
        <v>0</v>
      </c>
      <c r="M469" s="517"/>
      <c r="N469" s="542">
        <v>1</v>
      </c>
      <c r="O469" s="518">
        <v>54000</v>
      </c>
      <c r="P469" s="518">
        <v>60</v>
      </c>
      <c r="Q469" s="519"/>
      <c r="R469" s="516">
        <v>0</v>
      </c>
      <c r="S469" s="521">
        <v>0</v>
      </c>
      <c r="T469" s="521">
        <v>0</v>
      </c>
      <c r="U469" s="517"/>
      <c r="V469" s="342">
        <f t="shared" si="14"/>
        <v>1</v>
      </c>
      <c r="W469" s="518">
        <f t="shared" si="15"/>
        <v>54000</v>
      </c>
      <c r="X469" s="257"/>
    </row>
    <row r="470" spans="1:24" x14ac:dyDescent="0.25">
      <c r="A470">
        <v>465</v>
      </c>
      <c r="B470" t="s">
        <v>2446</v>
      </c>
      <c r="C470" t="s">
        <v>366</v>
      </c>
      <c r="D470" t="s">
        <v>480</v>
      </c>
      <c r="F470" s="520">
        <v>0</v>
      </c>
      <c r="G470" s="521">
        <v>0</v>
      </c>
      <c r="H470" s="521">
        <v>0</v>
      </c>
      <c r="I470" s="517"/>
      <c r="J470" s="520">
        <v>0</v>
      </c>
      <c r="K470" s="520">
        <v>0</v>
      </c>
      <c r="L470" s="520">
        <v>0</v>
      </c>
      <c r="M470" s="517"/>
      <c r="N470" s="542">
        <v>0</v>
      </c>
      <c r="O470" s="518">
        <v>0</v>
      </c>
      <c r="P470" s="518">
        <v>0</v>
      </c>
      <c r="Q470" s="519"/>
      <c r="R470" s="516">
        <v>0</v>
      </c>
      <c r="S470" s="521">
        <v>0</v>
      </c>
      <c r="T470" s="521">
        <v>0</v>
      </c>
      <c r="U470" s="517"/>
      <c r="V470" s="342">
        <f t="shared" si="14"/>
        <v>0</v>
      </c>
      <c r="W470" s="518">
        <f t="shared" si="15"/>
        <v>0</v>
      </c>
      <c r="X470" s="257"/>
    </row>
    <row r="471" spans="1:24" x14ac:dyDescent="0.25">
      <c r="A471">
        <v>466</v>
      </c>
      <c r="B471" t="s">
        <v>3189</v>
      </c>
      <c r="C471" t="s">
        <v>529</v>
      </c>
      <c r="F471" s="520">
        <v>2</v>
      </c>
      <c r="G471" s="521">
        <v>119661</v>
      </c>
      <c r="H471" s="521">
        <v>90</v>
      </c>
      <c r="I471" s="517"/>
      <c r="J471" s="520">
        <v>0</v>
      </c>
      <c r="K471" s="520">
        <v>0</v>
      </c>
      <c r="L471" s="520">
        <v>0</v>
      </c>
      <c r="M471" s="517"/>
      <c r="N471" s="542">
        <v>2</v>
      </c>
      <c r="O471" s="518">
        <v>119661</v>
      </c>
      <c r="P471" s="518">
        <v>90</v>
      </c>
      <c r="Q471" s="519"/>
      <c r="R471" s="516">
        <v>0</v>
      </c>
      <c r="S471" s="521">
        <v>0</v>
      </c>
      <c r="T471" s="521">
        <v>0</v>
      </c>
      <c r="U471" s="517"/>
      <c r="V471" s="342">
        <f t="shared" si="14"/>
        <v>2</v>
      </c>
      <c r="W471" s="518">
        <f t="shared" si="15"/>
        <v>119661</v>
      </c>
      <c r="X471" s="257"/>
    </row>
    <row r="472" spans="1:24" x14ac:dyDescent="0.25">
      <c r="A472">
        <v>467</v>
      </c>
      <c r="B472" t="s">
        <v>2439</v>
      </c>
      <c r="C472" t="s">
        <v>366</v>
      </c>
      <c r="D472" t="s">
        <v>480</v>
      </c>
      <c r="F472" s="520">
        <v>1</v>
      </c>
      <c r="G472" s="521">
        <v>31700</v>
      </c>
      <c r="H472" s="521">
        <v>30</v>
      </c>
      <c r="I472" s="517"/>
      <c r="J472" s="520">
        <v>0</v>
      </c>
      <c r="K472" s="520">
        <v>0</v>
      </c>
      <c r="L472" s="520">
        <v>0</v>
      </c>
      <c r="M472" s="517"/>
      <c r="N472" s="542">
        <v>1</v>
      </c>
      <c r="O472" s="518">
        <v>31700</v>
      </c>
      <c r="P472" s="518">
        <v>30</v>
      </c>
      <c r="Q472" s="519"/>
      <c r="R472" s="516">
        <v>0</v>
      </c>
      <c r="S472" s="521">
        <v>0</v>
      </c>
      <c r="T472" s="521">
        <v>0</v>
      </c>
      <c r="U472" s="517"/>
      <c r="V472" s="342">
        <f t="shared" si="14"/>
        <v>1</v>
      </c>
      <c r="W472" s="518">
        <f t="shared" si="15"/>
        <v>31700</v>
      </c>
      <c r="X472" s="257"/>
    </row>
    <row r="473" spans="1:24" x14ac:dyDescent="0.25">
      <c r="A473">
        <v>468</v>
      </c>
      <c r="B473" t="s">
        <v>2428</v>
      </c>
      <c r="C473" t="s">
        <v>366</v>
      </c>
      <c r="D473" t="s">
        <v>480</v>
      </c>
      <c r="F473" s="520">
        <v>8</v>
      </c>
      <c r="G473" s="521">
        <v>243853</v>
      </c>
      <c r="H473" s="521">
        <v>270</v>
      </c>
      <c r="I473" s="517"/>
      <c r="J473" s="520">
        <v>0</v>
      </c>
      <c r="K473" s="520">
        <v>0</v>
      </c>
      <c r="L473" s="520">
        <v>0</v>
      </c>
      <c r="M473" s="517"/>
      <c r="N473" s="542">
        <v>8</v>
      </c>
      <c r="O473" s="518">
        <v>243853</v>
      </c>
      <c r="P473" s="518">
        <v>270</v>
      </c>
      <c r="Q473" s="519"/>
      <c r="R473" s="516">
        <v>0</v>
      </c>
      <c r="S473" s="521">
        <v>0</v>
      </c>
      <c r="T473" s="521">
        <v>0</v>
      </c>
      <c r="U473" s="517"/>
      <c r="V473" s="342">
        <f t="shared" si="14"/>
        <v>8</v>
      </c>
      <c r="W473" s="518">
        <f t="shared" si="15"/>
        <v>243853</v>
      </c>
      <c r="X473" s="257"/>
    </row>
    <row r="474" spans="1:24" x14ac:dyDescent="0.25">
      <c r="A474">
        <v>469</v>
      </c>
      <c r="B474" t="s">
        <v>2448</v>
      </c>
      <c r="C474" t="s">
        <v>366</v>
      </c>
      <c r="D474" t="s">
        <v>480</v>
      </c>
      <c r="F474" s="520">
        <v>0</v>
      </c>
      <c r="G474" s="521">
        <v>0</v>
      </c>
      <c r="H474" s="521">
        <v>0</v>
      </c>
      <c r="I474" s="517"/>
      <c r="J474" s="520">
        <v>0</v>
      </c>
      <c r="K474" s="520">
        <v>0</v>
      </c>
      <c r="L474" s="520">
        <v>0</v>
      </c>
      <c r="M474" s="517"/>
      <c r="N474" s="542">
        <v>0</v>
      </c>
      <c r="O474" s="518">
        <v>0</v>
      </c>
      <c r="P474" s="518">
        <v>0</v>
      </c>
      <c r="Q474" s="519"/>
      <c r="R474" s="516">
        <v>0</v>
      </c>
      <c r="S474" s="521">
        <v>0</v>
      </c>
      <c r="T474" s="521">
        <v>0</v>
      </c>
      <c r="U474" s="517"/>
      <c r="V474" s="342">
        <f t="shared" si="14"/>
        <v>0</v>
      </c>
      <c r="W474" s="518">
        <f t="shared" si="15"/>
        <v>0</v>
      </c>
      <c r="X474" s="257"/>
    </row>
    <row r="475" spans="1:24" x14ac:dyDescent="0.25">
      <c r="A475">
        <v>470</v>
      </c>
      <c r="B475" t="s">
        <v>2426</v>
      </c>
      <c r="C475" t="s">
        <v>366</v>
      </c>
      <c r="D475" t="s">
        <v>480</v>
      </c>
      <c r="F475" s="520">
        <v>75</v>
      </c>
      <c r="G475" s="521">
        <v>4284250</v>
      </c>
      <c r="H475" s="521">
        <v>3600</v>
      </c>
      <c r="I475" s="517"/>
      <c r="J475" s="520">
        <v>0</v>
      </c>
      <c r="K475" s="520">
        <v>0</v>
      </c>
      <c r="L475" s="520">
        <v>0</v>
      </c>
      <c r="M475" s="517"/>
      <c r="N475" s="542">
        <v>75</v>
      </c>
      <c r="O475" s="518">
        <v>4284250</v>
      </c>
      <c r="P475" s="518">
        <v>3600</v>
      </c>
      <c r="Q475" s="519"/>
      <c r="R475" s="516">
        <v>0</v>
      </c>
      <c r="S475" s="521">
        <v>0</v>
      </c>
      <c r="T475" s="521">
        <v>0</v>
      </c>
      <c r="U475" s="517"/>
      <c r="V475" s="342">
        <f t="shared" si="14"/>
        <v>75</v>
      </c>
      <c r="W475" s="518">
        <f t="shared" si="15"/>
        <v>4284250</v>
      </c>
      <c r="X475" s="257"/>
    </row>
    <row r="476" spans="1:24" x14ac:dyDescent="0.25">
      <c r="A476">
        <v>471</v>
      </c>
      <c r="B476" t="s">
        <v>2429</v>
      </c>
      <c r="C476" t="s">
        <v>366</v>
      </c>
      <c r="D476" t="s">
        <v>480</v>
      </c>
      <c r="F476" s="520">
        <v>2</v>
      </c>
      <c r="G476" s="521">
        <v>104457</v>
      </c>
      <c r="H476" s="521">
        <v>90</v>
      </c>
      <c r="I476" s="517"/>
      <c r="J476" s="520">
        <v>0</v>
      </c>
      <c r="K476" s="520">
        <v>0</v>
      </c>
      <c r="L476" s="520">
        <v>0</v>
      </c>
      <c r="M476" s="517"/>
      <c r="N476" s="542">
        <v>2</v>
      </c>
      <c r="O476" s="518">
        <v>104457</v>
      </c>
      <c r="P476" s="518">
        <v>90</v>
      </c>
      <c r="Q476" s="519"/>
      <c r="R476" s="516">
        <v>0</v>
      </c>
      <c r="S476" s="521">
        <v>0</v>
      </c>
      <c r="T476" s="521">
        <v>0</v>
      </c>
      <c r="U476" s="517"/>
      <c r="V476" s="342">
        <f t="shared" si="14"/>
        <v>2</v>
      </c>
      <c r="W476" s="518">
        <f t="shared" si="15"/>
        <v>104457</v>
      </c>
      <c r="X476" s="257"/>
    </row>
    <row r="477" spans="1:24" x14ac:dyDescent="0.25">
      <c r="A477">
        <v>472</v>
      </c>
      <c r="B477" t="s">
        <v>2440</v>
      </c>
      <c r="C477" t="s">
        <v>366</v>
      </c>
      <c r="D477" t="s">
        <v>480</v>
      </c>
      <c r="F477" s="520">
        <v>0</v>
      </c>
      <c r="G477" s="521">
        <v>0</v>
      </c>
      <c r="H477" s="521">
        <v>0</v>
      </c>
      <c r="I477" s="517"/>
      <c r="J477" s="520">
        <v>0</v>
      </c>
      <c r="K477" s="520">
        <v>0</v>
      </c>
      <c r="L477" s="520">
        <v>0</v>
      </c>
      <c r="M477" s="517"/>
      <c r="N477" s="542">
        <v>0</v>
      </c>
      <c r="O477" s="518">
        <v>0</v>
      </c>
      <c r="P477" s="518">
        <v>0</v>
      </c>
      <c r="Q477" s="519"/>
      <c r="R477" s="516">
        <v>0</v>
      </c>
      <c r="S477" s="521">
        <v>0</v>
      </c>
      <c r="T477" s="521">
        <v>0</v>
      </c>
      <c r="U477" s="517"/>
      <c r="V477" s="342">
        <f t="shared" si="14"/>
        <v>0</v>
      </c>
      <c r="W477" s="518">
        <f t="shared" si="15"/>
        <v>0</v>
      </c>
      <c r="X477" s="257"/>
    </row>
    <row r="478" spans="1:24" x14ac:dyDescent="0.25">
      <c r="A478">
        <v>473</v>
      </c>
      <c r="B478" t="s">
        <v>497</v>
      </c>
      <c r="C478" t="s">
        <v>15</v>
      </c>
      <c r="D478" t="s">
        <v>16</v>
      </c>
      <c r="F478" s="520">
        <v>0</v>
      </c>
      <c r="G478" s="521">
        <v>0</v>
      </c>
      <c r="H478" s="521">
        <v>0</v>
      </c>
      <c r="I478" s="517"/>
      <c r="J478" s="520">
        <v>0</v>
      </c>
      <c r="K478" s="520">
        <v>0</v>
      </c>
      <c r="L478" s="520">
        <v>0</v>
      </c>
      <c r="M478" s="517"/>
      <c r="N478" s="542">
        <v>0</v>
      </c>
      <c r="O478" s="518">
        <v>0</v>
      </c>
      <c r="P478" s="518">
        <v>0</v>
      </c>
      <c r="Q478" s="519"/>
      <c r="R478" s="516">
        <v>0</v>
      </c>
      <c r="S478" s="521">
        <v>0</v>
      </c>
      <c r="T478" s="521">
        <v>0</v>
      </c>
      <c r="U478" s="517"/>
      <c r="V478" s="342">
        <f t="shared" si="14"/>
        <v>0</v>
      </c>
      <c r="W478" s="518">
        <f t="shared" si="15"/>
        <v>0</v>
      </c>
      <c r="X478" s="257"/>
    </row>
    <row r="479" spans="1:24" x14ac:dyDescent="0.25">
      <c r="A479">
        <v>474</v>
      </c>
      <c r="B479" t="s">
        <v>479</v>
      </c>
      <c r="D479" t="s">
        <v>480</v>
      </c>
      <c r="F479" s="520">
        <v>0</v>
      </c>
      <c r="G479" s="521">
        <v>0</v>
      </c>
      <c r="H479" s="521">
        <v>0</v>
      </c>
      <c r="I479" s="517"/>
      <c r="J479" s="520">
        <v>0</v>
      </c>
      <c r="K479" s="520">
        <v>0</v>
      </c>
      <c r="L479" s="520">
        <v>0</v>
      </c>
      <c r="M479" s="517"/>
      <c r="N479" s="542">
        <v>0</v>
      </c>
      <c r="O479" s="518">
        <v>0</v>
      </c>
      <c r="P479" s="518">
        <v>0</v>
      </c>
      <c r="Q479" s="519"/>
      <c r="R479" s="516">
        <v>0</v>
      </c>
      <c r="S479" s="521">
        <v>0</v>
      </c>
      <c r="T479" s="521">
        <v>0</v>
      </c>
      <c r="U479" s="517"/>
      <c r="V479" s="342">
        <f t="shared" si="14"/>
        <v>0</v>
      </c>
      <c r="W479" s="518">
        <f t="shared" si="15"/>
        <v>0</v>
      </c>
      <c r="X479" s="257"/>
    </row>
    <row r="480" spans="1:24" x14ac:dyDescent="0.25">
      <c r="A480">
        <v>475</v>
      </c>
      <c r="B480" t="s">
        <v>3187</v>
      </c>
      <c r="C480" t="s">
        <v>366</v>
      </c>
      <c r="D480" t="s">
        <v>3188</v>
      </c>
      <c r="F480" s="520">
        <v>0</v>
      </c>
      <c r="G480" s="521">
        <v>0</v>
      </c>
      <c r="H480" s="521">
        <v>0</v>
      </c>
      <c r="I480" s="517"/>
      <c r="J480" s="520">
        <v>0</v>
      </c>
      <c r="K480" s="520">
        <v>0</v>
      </c>
      <c r="L480" s="520">
        <v>0</v>
      </c>
      <c r="M480" s="517"/>
      <c r="N480" s="542">
        <v>0</v>
      </c>
      <c r="O480" s="518">
        <v>0</v>
      </c>
      <c r="P480" s="518">
        <v>0</v>
      </c>
      <c r="Q480" s="519"/>
      <c r="R480" s="516">
        <v>0</v>
      </c>
      <c r="S480" s="521">
        <v>0</v>
      </c>
      <c r="T480" s="521">
        <v>0</v>
      </c>
      <c r="U480" s="517"/>
      <c r="V480" s="342">
        <f t="shared" si="14"/>
        <v>0</v>
      </c>
      <c r="W480" s="518">
        <f t="shared" si="15"/>
        <v>0</v>
      </c>
      <c r="X480" s="257"/>
    </row>
    <row r="481" spans="1:24" x14ac:dyDescent="0.25">
      <c r="A481">
        <v>476</v>
      </c>
      <c r="B481" t="s">
        <v>2220</v>
      </c>
      <c r="F481" s="520">
        <v>2</v>
      </c>
      <c r="G481" s="521">
        <v>15000</v>
      </c>
      <c r="H481" s="521">
        <v>35</v>
      </c>
      <c r="I481" s="517"/>
      <c r="J481" s="520">
        <v>0</v>
      </c>
      <c r="K481" s="520">
        <v>0</v>
      </c>
      <c r="L481" s="520">
        <v>0</v>
      </c>
      <c r="M481" s="517"/>
      <c r="N481" s="542">
        <v>2</v>
      </c>
      <c r="O481" s="518">
        <v>15000</v>
      </c>
      <c r="P481" s="518">
        <v>35</v>
      </c>
      <c r="Q481" s="519"/>
      <c r="R481" s="516">
        <v>0</v>
      </c>
      <c r="S481" s="521">
        <v>0</v>
      </c>
      <c r="T481" s="521">
        <v>0</v>
      </c>
      <c r="U481" s="517"/>
      <c r="V481" s="342">
        <f t="shared" si="14"/>
        <v>2</v>
      </c>
      <c r="W481" s="518">
        <f t="shared" si="15"/>
        <v>15000</v>
      </c>
      <c r="X481" s="257"/>
    </row>
    <row r="482" spans="1:24" x14ac:dyDescent="0.25">
      <c r="A482">
        <v>477</v>
      </c>
      <c r="B482" t="s">
        <v>481</v>
      </c>
      <c r="D482" t="s">
        <v>480</v>
      </c>
      <c r="F482" s="520">
        <v>0</v>
      </c>
      <c r="G482" s="521">
        <v>0</v>
      </c>
      <c r="H482" s="521">
        <v>0</v>
      </c>
      <c r="I482" s="517"/>
      <c r="J482" s="520">
        <v>0</v>
      </c>
      <c r="K482" s="520">
        <v>0</v>
      </c>
      <c r="L482" s="520">
        <v>0</v>
      </c>
      <c r="M482" s="517"/>
      <c r="N482" s="542">
        <v>0</v>
      </c>
      <c r="O482" s="518">
        <v>0</v>
      </c>
      <c r="P482" s="518">
        <v>0</v>
      </c>
      <c r="Q482" s="519"/>
      <c r="R482" s="516">
        <v>0</v>
      </c>
      <c r="S482" s="521">
        <v>0</v>
      </c>
      <c r="T482" s="521">
        <v>0</v>
      </c>
      <c r="U482" s="517"/>
      <c r="V482" s="342">
        <f t="shared" si="14"/>
        <v>0</v>
      </c>
      <c r="W482" s="518">
        <f t="shared" si="15"/>
        <v>0</v>
      </c>
      <c r="X482" s="257"/>
    </row>
    <row r="483" spans="1:24" x14ac:dyDescent="0.25">
      <c r="A483">
        <v>478</v>
      </c>
      <c r="B483" t="s">
        <v>482</v>
      </c>
      <c r="C483" t="s">
        <v>15</v>
      </c>
      <c r="D483" t="s">
        <v>45</v>
      </c>
      <c r="F483" s="520">
        <v>0</v>
      </c>
      <c r="G483" s="521">
        <v>0</v>
      </c>
      <c r="H483" s="521">
        <v>0</v>
      </c>
      <c r="I483" s="517"/>
      <c r="J483" s="520">
        <v>0</v>
      </c>
      <c r="K483" s="520">
        <v>0</v>
      </c>
      <c r="L483" s="520">
        <v>0</v>
      </c>
      <c r="M483" s="517"/>
      <c r="N483" s="542">
        <v>0</v>
      </c>
      <c r="O483" s="518">
        <v>0</v>
      </c>
      <c r="P483" s="518">
        <v>0</v>
      </c>
      <c r="Q483" s="519"/>
      <c r="R483" s="516">
        <v>0</v>
      </c>
      <c r="S483" s="521">
        <v>0</v>
      </c>
      <c r="T483" s="521">
        <v>0</v>
      </c>
      <c r="U483" s="517"/>
      <c r="V483" s="342">
        <f t="shared" si="14"/>
        <v>0</v>
      </c>
      <c r="W483" s="518">
        <f t="shared" si="15"/>
        <v>0</v>
      </c>
      <c r="X483" s="257"/>
    </row>
    <row r="484" spans="1:24" x14ac:dyDescent="0.25">
      <c r="A484">
        <v>479</v>
      </c>
      <c r="B484" t="s">
        <v>483</v>
      </c>
      <c r="C484" t="s">
        <v>15</v>
      </c>
      <c r="D484" t="s">
        <v>45</v>
      </c>
      <c r="F484" s="520">
        <v>0</v>
      </c>
      <c r="G484" s="521">
        <v>0</v>
      </c>
      <c r="H484" s="521">
        <v>0</v>
      </c>
      <c r="I484" s="517"/>
      <c r="J484" s="520">
        <v>0</v>
      </c>
      <c r="K484" s="520">
        <v>0</v>
      </c>
      <c r="L484" s="520">
        <v>0</v>
      </c>
      <c r="M484" s="517"/>
      <c r="N484" s="542">
        <v>0</v>
      </c>
      <c r="O484" s="518">
        <v>0</v>
      </c>
      <c r="P484" s="518">
        <v>0</v>
      </c>
      <c r="Q484" s="519"/>
      <c r="R484" s="516">
        <v>0</v>
      </c>
      <c r="S484" s="521">
        <v>0</v>
      </c>
      <c r="T484" s="521">
        <v>0</v>
      </c>
      <c r="U484" s="517"/>
      <c r="V484" s="342">
        <f t="shared" si="14"/>
        <v>0</v>
      </c>
      <c r="W484" s="518">
        <f t="shared" si="15"/>
        <v>0</v>
      </c>
      <c r="X484" s="257"/>
    </row>
    <row r="485" spans="1:24" x14ac:dyDescent="0.25">
      <c r="A485">
        <v>480</v>
      </c>
      <c r="B485" t="s">
        <v>484</v>
      </c>
      <c r="C485" t="s">
        <v>15</v>
      </c>
      <c r="D485" t="s">
        <v>45</v>
      </c>
      <c r="F485" s="520">
        <v>0</v>
      </c>
      <c r="G485" s="521">
        <v>0</v>
      </c>
      <c r="H485" s="521">
        <v>0</v>
      </c>
      <c r="I485" s="517"/>
      <c r="J485" s="520">
        <v>0</v>
      </c>
      <c r="K485" s="520">
        <v>0</v>
      </c>
      <c r="L485" s="520">
        <v>0</v>
      </c>
      <c r="M485" s="517"/>
      <c r="N485" s="542">
        <v>0</v>
      </c>
      <c r="O485" s="518">
        <v>0</v>
      </c>
      <c r="P485" s="518">
        <v>0</v>
      </c>
      <c r="Q485" s="519"/>
      <c r="R485" s="516">
        <v>0</v>
      </c>
      <c r="S485" s="521">
        <v>0</v>
      </c>
      <c r="T485" s="521">
        <v>0</v>
      </c>
      <c r="U485" s="517"/>
      <c r="V485" s="342">
        <f t="shared" si="14"/>
        <v>0</v>
      </c>
      <c r="W485" s="518">
        <f t="shared" si="15"/>
        <v>0</v>
      </c>
      <c r="X485" s="257"/>
    </row>
    <row r="486" spans="1:24" x14ac:dyDescent="0.25">
      <c r="A486">
        <v>481</v>
      </c>
      <c r="B486" t="s">
        <v>485</v>
      </c>
      <c r="C486" t="s">
        <v>15</v>
      </c>
      <c r="D486" t="s">
        <v>45</v>
      </c>
      <c r="F486" s="520">
        <v>0</v>
      </c>
      <c r="G486" s="521">
        <v>0</v>
      </c>
      <c r="H486" s="521">
        <v>0</v>
      </c>
      <c r="I486" s="517"/>
      <c r="J486" s="520">
        <v>0</v>
      </c>
      <c r="K486" s="520">
        <v>0</v>
      </c>
      <c r="L486" s="520">
        <v>0</v>
      </c>
      <c r="M486" s="517"/>
      <c r="N486" s="542">
        <v>0</v>
      </c>
      <c r="O486" s="518">
        <v>0</v>
      </c>
      <c r="P486" s="518">
        <v>0</v>
      </c>
      <c r="Q486" s="519"/>
      <c r="R486" s="516">
        <v>0</v>
      </c>
      <c r="S486" s="521">
        <v>0</v>
      </c>
      <c r="T486" s="521">
        <v>0</v>
      </c>
      <c r="U486" s="517"/>
      <c r="V486" s="342">
        <f t="shared" si="14"/>
        <v>0</v>
      </c>
      <c r="W486" s="518">
        <f t="shared" si="15"/>
        <v>0</v>
      </c>
      <c r="X486" s="257"/>
    </row>
    <row r="487" spans="1:24" x14ac:dyDescent="0.25">
      <c r="A487">
        <v>482</v>
      </c>
      <c r="B487" t="s">
        <v>486</v>
      </c>
      <c r="C487" t="s">
        <v>15</v>
      </c>
      <c r="D487" t="s">
        <v>45</v>
      </c>
      <c r="F487" s="520">
        <v>0</v>
      </c>
      <c r="G487" s="521">
        <v>0</v>
      </c>
      <c r="H487" s="521">
        <v>0</v>
      </c>
      <c r="I487" s="517"/>
      <c r="J487" s="520">
        <v>0</v>
      </c>
      <c r="K487" s="520">
        <v>0</v>
      </c>
      <c r="L487" s="520">
        <v>0</v>
      </c>
      <c r="M487" s="517"/>
      <c r="N487" s="542">
        <v>0</v>
      </c>
      <c r="O487" s="518">
        <v>0</v>
      </c>
      <c r="P487" s="518">
        <v>0</v>
      </c>
      <c r="Q487" s="519"/>
      <c r="R487" s="516">
        <v>0</v>
      </c>
      <c r="S487" s="521">
        <v>0</v>
      </c>
      <c r="T487" s="521">
        <v>0</v>
      </c>
      <c r="U487" s="517"/>
      <c r="V487" s="342">
        <f t="shared" si="14"/>
        <v>0</v>
      </c>
      <c r="W487" s="518">
        <f t="shared" si="15"/>
        <v>0</v>
      </c>
      <c r="X487" s="257"/>
    </row>
    <row r="488" spans="1:24" x14ac:dyDescent="0.25">
      <c r="A488">
        <v>483</v>
      </c>
      <c r="B488" t="s">
        <v>487</v>
      </c>
      <c r="C488" t="s">
        <v>15</v>
      </c>
      <c r="D488" t="s">
        <v>45</v>
      </c>
      <c r="F488" s="520">
        <v>0</v>
      </c>
      <c r="G488" s="521">
        <v>0</v>
      </c>
      <c r="H488" s="521">
        <v>0</v>
      </c>
      <c r="I488" s="517"/>
      <c r="J488" s="520">
        <v>0</v>
      </c>
      <c r="K488" s="520">
        <v>0</v>
      </c>
      <c r="L488" s="520">
        <v>0</v>
      </c>
      <c r="M488" s="517"/>
      <c r="N488" s="542">
        <v>0</v>
      </c>
      <c r="O488" s="518">
        <v>0</v>
      </c>
      <c r="P488" s="518">
        <v>0</v>
      </c>
      <c r="Q488" s="519"/>
      <c r="R488" s="516">
        <v>0</v>
      </c>
      <c r="S488" s="521">
        <v>0</v>
      </c>
      <c r="T488" s="521">
        <v>0</v>
      </c>
      <c r="U488" s="517"/>
      <c r="V488" s="342">
        <f t="shared" si="14"/>
        <v>0</v>
      </c>
      <c r="W488" s="518">
        <f t="shared" si="15"/>
        <v>0</v>
      </c>
      <c r="X488" s="257"/>
    </row>
    <row r="489" spans="1:24" x14ac:dyDescent="0.25">
      <c r="A489">
        <v>484</v>
      </c>
      <c r="B489" t="s">
        <v>488</v>
      </c>
      <c r="C489" t="s">
        <v>15</v>
      </c>
      <c r="D489" t="s">
        <v>45</v>
      </c>
      <c r="F489" s="520">
        <v>0</v>
      </c>
      <c r="G489" s="521">
        <v>0</v>
      </c>
      <c r="H489" s="521">
        <v>0</v>
      </c>
      <c r="I489" s="517"/>
      <c r="J489" s="520">
        <v>0</v>
      </c>
      <c r="K489" s="520">
        <v>0</v>
      </c>
      <c r="L489" s="520">
        <v>0</v>
      </c>
      <c r="M489" s="517"/>
      <c r="N489" s="542">
        <v>0</v>
      </c>
      <c r="O489" s="518">
        <v>0</v>
      </c>
      <c r="P489" s="518">
        <v>0</v>
      </c>
      <c r="Q489" s="519"/>
      <c r="R489" s="516">
        <v>0</v>
      </c>
      <c r="S489" s="521">
        <v>0</v>
      </c>
      <c r="T489" s="521">
        <v>0</v>
      </c>
      <c r="U489" s="517"/>
      <c r="V489" s="342">
        <f t="shared" si="14"/>
        <v>0</v>
      </c>
      <c r="W489" s="518">
        <f t="shared" si="15"/>
        <v>0</v>
      </c>
      <c r="X489" s="257"/>
    </row>
    <row r="490" spans="1:24" x14ac:dyDescent="0.25">
      <c r="A490">
        <v>485</v>
      </c>
      <c r="B490" t="s">
        <v>2221</v>
      </c>
      <c r="C490" t="s">
        <v>136</v>
      </c>
      <c r="D490" t="s">
        <v>380</v>
      </c>
      <c r="F490" s="520">
        <v>0</v>
      </c>
      <c r="G490" s="521">
        <v>0</v>
      </c>
      <c r="H490" s="521">
        <v>0</v>
      </c>
      <c r="I490" s="517"/>
      <c r="J490" s="520">
        <v>0</v>
      </c>
      <c r="K490" s="520">
        <v>0</v>
      </c>
      <c r="L490" s="520">
        <v>0</v>
      </c>
      <c r="M490" s="517"/>
      <c r="N490" s="542">
        <v>0</v>
      </c>
      <c r="O490" s="518">
        <v>0</v>
      </c>
      <c r="P490" s="518">
        <v>0</v>
      </c>
      <c r="Q490" s="519"/>
      <c r="R490" s="516">
        <v>0</v>
      </c>
      <c r="S490" s="521">
        <v>0</v>
      </c>
      <c r="T490" s="521">
        <v>0</v>
      </c>
      <c r="U490" s="517"/>
      <c r="V490" s="342">
        <f t="shared" si="14"/>
        <v>0</v>
      </c>
      <c r="W490" s="518">
        <f t="shared" si="15"/>
        <v>0</v>
      </c>
      <c r="X490" s="257"/>
    </row>
    <row r="491" spans="1:24" x14ac:dyDescent="0.25">
      <c r="A491">
        <v>486</v>
      </c>
      <c r="B491" t="s">
        <v>489</v>
      </c>
      <c r="C491" t="s">
        <v>18</v>
      </c>
      <c r="D491" t="s">
        <v>20</v>
      </c>
      <c r="F491" s="520">
        <v>4</v>
      </c>
      <c r="G491" s="521">
        <v>18051</v>
      </c>
      <c r="H491" s="521">
        <v>100</v>
      </c>
      <c r="I491" s="517"/>
      <c r="J491" s="520">
        <v>0</v>
      </c>
      <c r="K491" s="520">
        <v>0</v>
      </c>
      <c r="L491" s="520">
        <v>0</v>
      </c>
      <c r="M491" s="517"/>
      <c r="N491" s="542">
        <v>4</v>
      </c>
      <c r="O491" s="518">
        <v>18051</v>
      </c>
      <c r="P491" s="518">
        <v>100</v>
      </c>
      <c r="Q491" s="519"/>
      <c r="R491" s="516">
        <v>0</v>
      </c>
      <c r="S491" s="521">
        <v>0</v>
      </c>
      <c r="T491" s="521">
        <v>0</v>
      </c>
      <c r="U491" s="517"/>
      <c r="V491" s="342">
        <f t="shared" si="14"/>
        <v>4</v>
      </c>
      <c r="W491" s="518">
        <f t="shared" si="15"/>
        <v>18051</v>
      </c>
      <c r="X491" s="257"/>
    </row>
    <row r="492" spans="1:24" x14ac:dyDescent="0.25">
      <c r="A492">
        <v>487</v>
      </c>
      <c r="B492" t="s">
        <v>490</v>
      </c>
      <c r="C492" t="s">
        <v>15</v>
      </c>
      <c r="D492" t="s">
        <v>16</v>
      </c>
      <c r="F492" s="520">
        <v>1</v>
      </c>
      <c r="G492" s="521">
        <v>416</v>
      </c>
      <c r="H492" s="521">
        <v>10</v>
      </c>
      <c r="I492" s="517"/>
      <c r="J492" s="520">
        <v>0</v>
      </c>
      <c r="K492" s="520">
        <v>0</v>
      </c>
      <c r="L492" s="520">
        <v>0</v>
      </c>
      <c r="M492" s="517"/>
      <c r="N492" s="542">
        <v>1</v>
      </c>
      <c r="O492" s="518">
        <v>416</v>
      </c>
      <c r="P492" s="518">
        <v>10</v>
      </c>
      <c r="Q492" s="519"/>
      <c r="R492" s="516">
        <v>0</v>
      </c>
      <c r="S492" s="521">
        <v>0</v>
      </c>
      <c r="T492" s="521">
        <v>0</v>
      </c>
      <c r="U492" s="517"/>
      <c r="V492" s="342">
        <f t="shared" si="14"/>
        <v>1</v>
      </c>
      <c r="W492" s="518">
        <f t="shared" si="15"/>
        <v>416</v>
      </c>
      <c r="X492" s="257"/>
    </row>
    <row r="493" spans="1:24" x14ac:dyDescent="0.25">
      <c r="A493">
        <v>488</v>
      </c>
      <c r="B493" t="s">
        <v>491</v>
      </c>
      <c r="C493" t="s">
        <v>98</v>
      </c>
      <c r="D493" t="s">
        <v>16</v>
      </c>
      <c r="F493" s="520">
        <v>0</v>
      </c>
      <c r="G493" s="521">
        <v>0</v>
      </c>
      <c r="H493" s="521">
        <v>0</v>
      </c>
      <c r="I493" s="517"/>
      <c r="J493" s="520">
        <v>0</v>
      </c>
      <c r="K493" s="520">
        <v>0</v>
      </c>
      <c r="L493" s="520">
        <v>0</v>
      </c>
      <c r="M493" s="517"/>
      <c r="N493" s="542">
        <v>0</v>
      </c>
      <c r="O493" s="518">
        <v>0</v>
      </c>
      <c r="P493" s="518">
        <v>0</v>
      </c>
      <c r="Q493" s="519"/>
      <c r="R493" s="516">
        <v>0</v>
      </c>
      <c r="S493" s="521">
        <v>0</v>
      </c>
      <c r="T493" s="521">
        <v>0</v>
      </c>
      <c r="U493" s="517"/>
      <c r="V493" s="342">
        <f t="shared" si="14"/>
        <v>0</v>
      </c>
      <c r="W493" s="518">
        <f t="shared" si="15"/>
        <v>0</v>
      </c>
      <c r="X493" s="257"/>
    </row>
    <row r="494" spans="1:24" x14ac:dyDescent="0.25">
      <c r="A494">
        <v>489</v>
      </c>
      <c r="B494" t="s">
        <v>492</v>
      </c>
      <c r="C494" t="s">
        <v>18</v>
      </c>
      <c r="D494" t="s">
        <v>16</v>
      </c>
      <c r="F494" s="520">
        <v>16</v>
      </c>
      <c r="G494" s="521">
        <v>1139365</v>
      </c>
      <c r="H494" s="521">
        <v>490</v>
      </c>
      <c r="I494" s="517"/>
      <c r="J494" s="520">
        <v>0</v>
      </c>
      <c r="K494" s="520">
        <v>0</v>
      </c>
      <c r="L494" s="520">
        <v>0</v>
      </c>
      <c r="M494" s="517"/>
      <c r="N494" s="542">
        <v>16</v>
      </c>
      <c r="O494" s="518">
        <v>1139365</v>
      </c>
      <c r="P494" s="518">
        <v>490</v>
      </c>
      <c r="Q494" s="519"/>
      <c r="R494" s="516">
        <v>0</v>
      </c>
      <c r="S494" s="521">
        <v>0</v>
      </c>
      <c r="T494" s="521">
        <v>0</v>
      </c>
      <c r="U494" s="517"/>
      <c r="V494" s="342">
        <f t="shared" si="14"/>
        <v>16</v>
      </c>
      <c r="W494" s="518">
        <f t="shared" si="15"/>
        <v>1139365</v>
      </c>
      <c r="X494" s="257"/>
    </row>
    <row r="495" spans="1:24" x14ac:dyDescent="0.25">
      <c r="A495">
        <v>490</v>
      </c>
      <c r="B495" t="s">
        <v>493</v>
      </c>
      <c r="C495" t="s">
        <v>18</v>
      </c>
      <c r="D495" t="s">
        <v>20</v>
      </c>
      <c r="F495" s="520">
        <v>1</v>
      </c>
      <c r="G495" s="521">
        <v>42249</v>
      </c>
      <c r="H495" s="521">
        <v>30</v>
      </c>
      <c r="I495" s="517"/>
      <c r="J495" s="520">
        <v>0</v>
      </c>
      <c r="K495" s="520">
        <v>0</v>
      </c>
      <c r="L495" s="520">
        <v>0</v>
      </c>
      <c r="M495" s="517"/>
      <c r="N495" s="542">
        <v>1</v>
      </c>
      <c r="O495" s="518">
        <v>42249</v>
      </c>
      <c r="P495" s="518">
        <v>30</v>
      </c>
      <c r="Q495" s="519"/>
      <c r="R495" s="516">
        <v>0</v>
      </c>
      <c r="S495" s="521">
        <v>0</v>
      </c>
      <c r="T495" s="521">
        <v>0</v>
      </c>
      <c r="U495" s="517"/>
      <c r="V495" s="342">
        <f t="shared" si="14"/>
        <v>1</v>
      </c>
      <c r="W495" s="518">
        <f t="shared" si="15"/>
        <v>42249</v>
      </c>
      <c r="X495" s="257"/>
    </row>
    <row r="496" spans="1:24" x14ac:dyDescent="0.25">
      <c r="A496">
        <v>491</v>
      </c>
      <c r="B496" t="s">
        <v>494</v>
      </c>
      <c r="D496" t="s">
        <v>16</v>
      </c>
      <c r="F496" s="520">
        <v>0</v>
      </c>
      <c r="G496" s="521">
        <v>0</v>
      </c>
      <c r="H496" s="521">
        <v>0</v>
      </c>
      <c r="I496" s="517"/>
      <c r="J496" s="520">
        <v>0</v>
      </c>
      <c r="K496" s="520">
        <v>0</v>
      </c>
      <c r="L496" s="520">
        <v>0</v>
      </c>
      <c r="M496" s="517"/>
      <c r="N496" s="542">
        <v>0</v>
      </c>
      <c r="O496" s="518">
        <v>0</v>
      </c>
      <c r="P496" s="518">
        <v>0</v>
      </c>
      <c r="Q496" s="519"/>
      <c r="R496" s="516">
        <v>0</v>
      </c>
      <c r="S496" s="521">
        <v>0</v>
      </c>
      <c r="T496" s="521">
        <v>0</v>
      </c>
      <c r="U496" s="517"/>
      <c r="V496" s="342">
        <f t="shared" si="14"/>
        <v>0</v>
      </c>
      <c r="W496" s="518">
        <f t="shared" si="15"/>
        <v>0</v>
      </c>
      <c r="X496" s="257"/>
    </row>
    <row r="497" spans="1:24" x14ac:dyDescent="0.25">
      <c r="A497">
        <v>492</v>
      </c>
      <c r="B497" t="s">
        <v>495</v>
      </c>
      <c r="C497" t="s">
        <v>98</v>
      </c>
      <c r="D497" t="s">
        <v>20</v>
      </c>
      <c r="F497" s="520">
        <v>76</v>
      </c>
      <c r="G497" s="521">
        <v>1383200</v>
      </c>
      <c r="H497" s="521">
        <v>2280</v>
      </c>
      <c r="I497" s="517"/>
      <c r="J497" s="520">
        <v>0</v>
      </c>
      <c r="K497" s="520">
        <v>0</v>
      </c>
      <c r="L497" s="520">
        <v>0</v>
      </c>
      <c r="M497" s="517"/>
      <c r="N497" s="542">
        <v>76</v>
      </c>
      <c r="O497" s="518">
        <v>1383200</v>
      </c>
      <c r="P497" s="518">
        <v>2280</v>
      </c>
      <c r="Q497" s="519"/>
      <c r="R497" s="516">
        <v>0</v>
      </c>
      <c r="S497" s="521">
        <v>0</v>
      </c>
      <c r="T497" s="521">
        <v>0</v>
      </c>
      <c r="U497" s="517"/>
      <c r="V497" s="342">
        <f t="shared" si="14"/>
        <v>76</v>
      </c>
      <c r="W497" s="518">
        <f t="shared" si="15"/>
        <v>1383200</v>
      </c>
      <c r="X497" s="257"/>
    </row>
    <row r="498" spans="1:24" x14ac:dyDescent="0.25">
      <c r="A498">
        <v>493</v>
      </c>
      <c r="B498" t="s">
        <v>496</v>
      </c>
      <c r="C498" t="s">
        <v>329</v>
      </c>
      <c r="D498" t="s">
        <v>20</v>
      </c>
      <c r="F498" s="520">
        <v>13</v>
      </c>
      <c r="G498" s="521">
        <v>408396</v>
      </c>
      <c r="H498" s="521">
        <v>500</v>
      </c>
      <c r="I498" s="517"/>
      <c r="J498" s="520">
        <v>0</v>
      </c>
      <c r="K498" s="520">
        <v>0</v>
      </c>
      <c r="L498" s="520">
        <v>0</v>
      </c>
      <c r="M498" s="517"/>
      <c r="N498" s="542">
        <v>13</v>
      </c>
      <c r="O498" s="518">
        <v>408396</v>
      </c>
      <c r="P498" s="518">
        <v>500</v>
      </c>
      <c r="Q498" s="519"/>
      <c r="R498" s="516">
        <v>0</v>
      </c>
      <c r="S498" s="521">
        <v>0</v>
      </c>
      <c r="T498" s="521">
        <v>0</v>
      </c>
      <c r="U498" s="517"/>
      <c r="V498" s="342">
        <f t="shared" si="14"/>
        <v>13</v>
      </c>
      <c r="W498" s="518">
        <f t="shared" si="15"/>
        <v>408396</v>
      </c>
      <c r="X498" s="257"/>
    </row>
    <row r="499" spans="1:24" x14ac:dyDescent="0.25">
      <c r="A499">
        <v>494</v>
      </c>
      <c r="B499" t="s">
        <v>498</v>
      </c>
      <c r="C499" t="s">
        <v>15</v>
      </c>
      <c r="D499" t="s">
        <v>380</v>
      </c>
      <c r="F499" s="520">
        <v>3</v>
      </c>
      <c r="G499" s="521">
        <v>97691</v>
      </c>
      <c r="H499" s="521">
        <v>125</v>
      </c>
      <c r="I499" s="517"/>
      <c r="J499" s="520">
        <v>0</v>
      </c>
      <c r="K499" s="520">
        <v>0</v>
      </c>
      <c r="L499" s="520">
        <v>0</v>
      </c>
      <c r="M499" s="517"/>
      <c r="N499" s="542">
        <v>3</v>
      </c>
      <c r="O499" s="518">
        <v>97691</v>
      </c>
      <c r="P499" s="518">
        <v>125</v>
      </c>
      <c r="Q499" s="519"/>
      <c r="R499" s="516">
        <v>0</v>
      </c>
      <c r="S499" s="521">
        <v>0</v>
      </c>
      <c r="T499" s="521">
        <v>0</v>
      </c>
      <c r="U499" s="517"/>
      <c r="V499" s="342">
        <f t="shared" si="14"/>
        <v>3</v>
      </c>
      <c r="W499" s="518">
        <f t="shared" si="15"/>
        <v>97691</v>
      </c>
      <c r="X499" s="257"/>
    </row>
    <row r="500" spans="1:24" x14ac:dyDescent="0.25">
      <c r="A500">
        <v>495</v>
      </c>
      <c r="B500" t="s">
        <v>499</v>
      </c>
      <c r="C500" t="s">
        <v>366</v>
      </c>
      <c r="D500" t="s">
        <v>16</v>
      </c>
      <c r="F500" s="520">
        <v>0</v>
      </c>
      <c r="G500" s="521">
        <v>0</v>
      </c>
      <c r="H500" s="521">
        <v>0</v>
      </c>
      <c r="I500" s="517"/>
      <c r="J500" s="520">
        <v>0</v>
      </c>
      <c r="K500" s="520">
        <v>0</v>
      </c>
      <c r="L500" s="520">
        <v>0</v>
      </c>
      <c r="M500" s="517"/>
      <c r="N500" s="542">
        <v>0</v>
      </c>
      <c r="O500" s="518">
        <v>0</v>
      </c>
      <c r="P500" s="518">
        <v>0</v>
      </c>
      <c r="Q500" s="519"/>
      <c r="R500" s="516">
        <v>0</v>
      </c>
      <c r="S500" s="521">
        <v>0</v>
      </c>
      <c r="T500" s="521">
        <v>0</v>
      </c>
      <c r="U500" s="517"/>
      <c r="V500" s="342">
        <f t="shared" si="14"/>
        <v>0</v>
      </c>
      <c r="W500" s="518">
        <f t="shared" si="15"/>
        <v>0</v>
      </c>
      <c r="X500" s="257"/>
    </row>
    <row r="501" spans="1:24" x14ac:dyDescent="0.25">
      <c r="A501">
        <v>496</v>
      </c>
      <c r="B501" t="s">
        <v>500</v>
      </c>
      <c r="C501" t="s">
        <v>18</v>
      </c>
      <c r="D501" t="s">
        <v>16</v>
      </c>
      <c r="F501" s="520">
        <v>201</v>
      </c>
      <c r="G501" s="521">
        <v>210237.77000000002</v>
      </c>
      <c r="H501" s="521">
        <v>2010</v>
      </c>
      <c r="I501" s="517"/>
      <c r="J501" s="520">
        <v>0</v>
      </c>
      <c r="K501" s="520">
        <v>0</v>
      </c>
      <c r="L501" s="520">
        <v>0</v>
      </c>
      <c r="M501" s="517"/>
      <c r="N501" s="542">
        <v>201</v>
      </c>
      <c r="O501" s="518">
        <v>210237.77000000002</v>
      </c>
      <c r="P501" s="518">
        <v>2010</v>
      </c>
      <c r="Q501" s="519"/>
      <c r="R501" s="516">
        <v>0</v>
      </c>
      <c r="S501" s="521">
        <v>0</v>
      </c>
      <c r="T501" s="521">
        <v>0</v>
      </c>
      <c r="U501" s="517"/>
      <c r="V501" s="342">
        <f t="shared" si="14"/>
        <v>201</v>
      </c>
      <c r="W501" s="518">
        <f t="shared" si="15"/>
        <v>210237.77000000002</v>
      </c>
      <c r="X501" s="257"/>
    </row>
    <row r="502" spans="1:24" x14ac:dyDescent="0.25">
      <c r="A502">
        <v>497</v>
      </c>
      <c r="B502" t="s">
        <v>501</v>
      </c>
      <c r="C502" t="s">
        <v>18</v>
      </c>
      <c r="D502" t="s">
        <v>16</v>
      </c>
      <c r="F502" s="520">
        <v>1</v>
      </c>
      <c r="G502" s="521">
        <v>4845.51</v>
      </c>
      <c r="H502" s="521">
        <v>5</v>
      </c>
      <c r="I502" s="517"/>
      <c r="J502" s="520">
        <v>0</v>
      </c>
      <c r="K502" s="520">
        <v>0</v>
      </c>
      <c r="L502" s="520">
        <v>0</v>
      </c>
      <c r="M502" s="517"/>
      <c r="N502" s="542">
        <v>1</v>
      </c>
      <c r="O502" s="518">
        <v>4845.51</v>
      </c>
      <c r="P502" s="518">
        <v>5</v>
      </c>
      <c r="Q502" s="519"/>
      <c r="R502" s="516">
        <v>0</v>
      </c>
      <c r="S502" s="521">
        <v>0</v>
      </c>
      <c r="T502" s="521">
        <v>0</v>
      </c>
      <c r="U502" s="517"/>
      <c r="V502" s="342">
        <f t="shared" si="14"/>
        <v>1</v>
      </c>
      <c r="W502" s="518">
        <f t="shared" si="15"/>
        <v>4845.51</v>
      </c>
      <c r="X502" s="257"/>
    </row>
    <row r="503" spans="1:24" x14ac:dyDescent="0.25">
      <c r="A503">
        <v>498</v>
      </c>
      <c r="B503" t="s">
        <v>502</v>
      </c>
      <c r="D503" t="s">
        <v>16</v>
      </c>
      <c r="F503" s="520">
        <v>0</v>
      </c>
      <c r="G503" s="521">
        <v>0</v>
      </c>
      <c r="H503" s="521">
        <v>0</v>
      </c>
      <c r="I503" s="517"/>
      <c r="J503" s="520">
        <v>0</v>
      </c>
      <c r="K503" s="520">
        <v>0</v>
      </c>
      <c r="L503" s="520">
        <v>0</v>
      </c>
      <c r="M503" s="517"/>
      <c r="N503" s="542">
        <v>0</v>
      </c>
      <c r="O503" s="518">
        <v>0</v>
      </c>
      <c r="P503" s="518">
        <v>0</v>
      </c>
      <c r="Q503" s="519"/>
      <c r="R503" s="516">
        <v>0</v>
      </c>
      <c r="S503" s="521">
        <v>0</v>
      </c>
      <c r="T503" s="521">
        <v>0</v>
      </c>
      <c r="U503" s="517"/>
      <c r="V503" s="342">
        <f t="shared" si="14"/>
        <v>0</v>
      </c>
      <c r="W503" s="518">
        <f t="shared" si="15"/>
        <v>0</v>
      </c>
      <c r="X503" s="257"/>
    </row>
    <row r="504" spans="1:24" x14ac:dyDescent="0.25">
      <c r="A504">
        <v>499</v>
      </c>
      <c r="B504" t="s">
        <v>503</v>
      </c>
      <c r="C504" t="s">
        <v>24</v>
      </c>
      <c r="D504" t="s">
        <v>16</v>
      </c>
      <c r="F504" s="520">
        <v>0</v>
      </c>
      <c r="G504" s="521">
        <v>0</v>
      </c>
      <c r="H504" s="521">
        <v>0</v>
      </c>
      <c r="I504" s="517"/>
      <c r="J504" s="520">
        <v>0</v>
      </c>
      <c r="K504" s="520">
        <v>0</v>
      </c>
      <c r="L504" s="520">
        <v>0</v>
      </c>
      <c r="M504" s="517"/>
      <c r="N504" s="542">
        <v>0</v>
      </c>
      <c r="O504" s="518">
        <v>0</v>
      </c>
      <c r="P504" s="518">
        <v>0</v>
      </c>
      <c r="Q504" s="519"/>
      <c r="R504" s="516">
        <v>0</v>
      </c>
      <c r="S504" s="521">
        <v>0</v>
      </c>
      <c r="T504" s="521">
        <v>0</v>
      </c>
      <c r="U504" s="517"/>
      <c r="V504" s="342">
        <f t="shared" si="14"/>
        <v>0</v>
      </c>
      <c r="W504" s="518">
        <f t="shared" si="15"/>
        <v>0</v>
      </c>
      <c r="X504" s="257"/>
    </row>
    <row r="505" spans="1:24" x14ac:dyDescent="0.25">
      <c r="A505">
        <v>500</v>
      </c>
      <c r="B505" t="s">
        <v>3078</v>
      </c>
      <c r="C505" t="s">
        <v>242</v>
      </c>
      <c r="D505" t="s">
        <v>16</v>
      </c>
      <c r="F505" s="520">
        <v>0</v>
      </c>
      <c r="G505" s="521">
        <v>0</v>
      </c>
      <c r="H505" s="521">
        <v>0</v>
      </c>
      <c r="I505" s="517"/>
      <c r="J505" s="520">
        <v>0</v>
      </c>
      <c r="K505" s="520">
        <v>0</v>
      </c>
      <c r="L505" s="520">
        <v>0</v>
      </c>
      <c r="M505" s="517"/>
      <c r="N505" s="542">
        <v>0</v>
      </c>
      <c r="O505" s="518">
        <v>0</v>
      </c>
      <c r="P505" s="518">
        <v>0</v>
      </c>
      <c r="Q505" s="519"/>
      <c r="R505" s="516">
        <v>0</v>
      </c>
      <c r="S505" s="521">
        <v>0</v>
      </c>
      <c r="T505" s="521">
        <v>0</v>
      </c>
      <c r="U505" s="517"/>
      <c r="V505" s="342">
        <f t="shared" si="14"/>
        <v>0</v>
      </c>
      <c r="W505" s="518">
        <f t="shared" si="15"/>
        <v>0</v>
      </c>
      <c r="X505" s="257"/>
    </row>
    <row r="506" spans="1:24" x14ac:dyDescent="0.25">
      <c r="A506">
        <v>501</v>
      </c>
      <c r="B506" t="s">
        <v>504</v>
      </c>
      <c r="C506" t="s">
        <v>24</v>
      </c>
      <c r="D506" t="s">
        <v>16</v>
      </c>
      <c r="F506" s="520">
        <v>3</v>
      </c>
      <c r="G506" s="521">
        <v>2328</v>
      </c>
      <c r="H506" s="521">
        <v>30</v>
      </c>
      <c r="I506" s="517"/>
      <c r="J506" s="520">
        <v>0</v>
      </c>
      <c r="K506" s="520">
        <v>0</v>
      </c>
      <c r="L506" s="520">
        <v>0</v>
      </c>
      <c r="M506" s="517"/>
      <c r="N506" s="542">
        <v>3</v>
      </c>
      <c r="O506" s="518">
        <v>2328</v>
      </c>
      <c r="P506" s="518">
        <v>30</v>
      </c>
      <c r="Q506" s="519"/>
      <c r="R506" s="516">
        <v>0</v>
      </c>
      <c r="S506" s="521">
        <v>0</v>
      </c>
      <c r="T506" s="521">
        <v>0</v>
      </c>
      <c r="U506" s="517"/>
      <c r="V506" s="342">
        <f t="shared" si="14"/>
        <v>3</v>
      </c>
      <c r="W506" s="518">
        <f t="shared" si="15"/>
        <v>2328</v>
      </c>
      <c r="X506" s="257"/>
    </row>
    <row r="507" spans="1:24" x14ac:dyDescent="0.25">
      <c r="A507">
        <v>502</v>
      </c>
      <c r="B507" t="s">
        <v>505</v>
      </c>
      <c r="C507" t="s">
        <v>25</v>
      </c>
      <c r="D507" t="s">
        <v>16</v>
      </c>
      <c r="F507" s="520">
        <v>14</v>
      </c>
      <c r="G507" s="521">
        <v>233917</v>
      </c>
      <c r="H507" s="521">
        <v>420</v>
      </c>
      <c r="I507" s="517"/>
      <c r="J507" s="520">
        <v>0</v>
      </c>
      <c r="K507" s="520">
        <v>0</v>
      </c>
      <c r="L507" s="520">
        <v>0</v>
      </c>
      <c r="M507" s="517"/>
      <c r="N507" s="542">
        <v>14</v>
      </c>
      <c r="O507" s="518">
        <v>233917</v>
      </c>
      <c r="P507" s="518">
        <v>420</v>
      </c>
      <c r="Q507" s="519"/>
      <c r="R507" s="516">
        <v>0</v>
      </c>
      <c r="S507" s="521">
        <v>0</v>
      </c>
      <c r="T507" s="521">
        <v>0</v>
      </c>
      <c r="U507" s="517"/>
      <c r="V507" s="342">
        <f t="shared" si="14"/>
        <v>14</v>
      </c>
      <c r="W507" s="518">
        <f t="shared" si="15"/>
        <v>233917</v>
      </c>
      <c r="X507" s="257"/>
    </row>
    <row r="508" spans="1:24" x14ac:dyDescent="0.25">
      <c r="A508">
        <v>503</v>
      </c>
      <c r="B508" t="s">
        <v>506</v>
      </c>
      <c r="C508" t="s">
        <v>18</v>
      </c>
      <c r="D508" t="s">
        <v>20</v>
      </c>
      <c r="F508" s="520">
        <v>0</v>
      </c>
      <c r="G508" s="521">
        <v>0</v>
      </c>
      <c r="H508" s="521">
        <v>0</v>
      </c>
      <c r="I508" s="517"/>
      <c r="J508" s="520">
        <v>0</v>
      </c>
      <c r="K508" s="520">
        <v>0</v>
      </c>
      <c r="L508" s="520">
        <v>0</v>
      </c>
      <c r="M508" s="517"/>
      <c r="N508" s="542">
        <v>0</v>
      </c>
      <c r="O508" s="518">
        <v>0</v>
      </c>
      <c r="P508" s="518">
        <v>0</v>
      </c>
      <c r="Q508" s="519"/>
      <c r="R508" s="516">
        <v>0</v>
      </c>
      <c r="S508" s="521">
        <v>0</v>
      </c>
      <c r="T508" s="521">
        <v>0</v>
      </c>
      <c r="U508" s="517"/>
      <c r="V508" s="342">
        <f t="shared" si="14"/>
        <v>0</v>
      </c>
      <c r="W508" s="518">
        <f t="shared" si="15"/>
        <v>0</v>
      </c>
      <c r="X508" s="257"/>
    </row>
    <row r="509" spans="1:24" x14ac:dyDescent="0.25">
      <c r="A509">
        <v>504</v>
      </c>
      <c r="B509" t="s">
        <v>507</v>
      </c>
      <c r="C509" t="s">
        <v>15</v>
      </c>
      <c r="D509" t="s">
        <v>16</v>
      </c>
      <c r="F509" s="520">
        <v>1</v>
      </c>
      <c r="G509" s="521">
        <v>10000</v>
      </c>
      <c r="H509" s="521">
        <v>50</v>
      </c>
      <c r="I509" s="517"/>
      <c r="J509" s="520">
        <v>0</v>
      </c>
      <c r="K509" s="520">
        <v>0</v>
      </c>
      <c r="L509" s="520">
        <v>0</v>
      </c>
      <c r="M509" s="517"/>
      <c r="N509" s="542">
        <v>1</v>
      </c>
      <c r="O509" s="518">
        <v>10000</v>
      </c>
      <c r="P509" s="518">
        <v>50</v>
      </c>
      <c r="Q509" s="519"/>
      <c r="R509" s="516">
        <v>0</v>
      </c>
      <c r="S509" s="521">
        <v>0</v>
      </c>
      <c r="T509" s="521">
        <v>0</v>
      </c>
      <c r="U509" s="517"/>
      <c r="V509" s="342">
        <f t="shared" si="14"/>
        <v>1</v>
      </c>
      <c r="W509" s="518">
        <f t="shared" si="15"/>
        <v>10000</v>
      </c>
      <c r="X509" s="257"/>
    </row>
    <row r="510" spans="1:24" x14ac:dyDescent="0.25">
      <c r="A510">
        <v>505</v>
      </c>
      <c r="B510" t="s">
        <v>508</v>
      </c>
      <c r="C510" t="s">
        <v>154</v>
      </c>
      <c r="D510" t="s">
        <v>16</v>
      </c>
      <c r="F510" s="520">
        <v>19</v>
      </c>
      <c r="G510" s="521">
        <v>439945</v>
      </c>
      <c r="H510" s="521">
        <v>570</v>
      </c>
      <c r="I510" s="517"/>
      <c r="J510" s="520">
        <v>0</v>
      </c>
      <c r="K510" s="520">
        <v>0</v>
      </c>
      <c r="L510" s="520">
        <v>0</v>
      </c>
      <c r="M510" s="517"/>
      <c r="N510" s="542">
        <v>19</v>
      </c>
      <c r="O510" s="518">
        <v>439945</v>
      </c>
      <c r="P510" s="518">
        <v>570</v>
      </c>
      <c r="Q510" s="519"/>
      <c r="R510" s="516">
        <v>1</v>
      </c>
      <c r="S510" s="521">
        <v>865</v>
      </c>
      <c r="T510" s="521">
        <v>0</v>
      </c>
      <c r="U510" s="517"/>
      <c r="V510" s="342">
        <f t="shared" si="14"/>
        <v>18</v>
      </c>
      <c r="W510" s="518">
        <f t="shared" si="15"/>
        <v>439080</v>
      </c>
      <c r="X510" s="257"/>
    </row>
    <row r="511" spans="1:24" x14ac:dyDescent="0.25">
      <c r="A511">
        <v>506</v>
      </c>
      <c r="B511" t="s">
        <v>509</v>
      </c>
      <c r="C511" t="s">
        <v>135</v>
      </c>
      <c r="D511" t="s">
        <v>327</v>
      </c>
      <c r="F511" s="520">
        <v>0</v>
      </c>
      <c r="G511" s="521">
        <v>0</v>
      </c>
      <c r="H511" s="521">
        <v>0</v>
      </c>
      <c r="I511" s="517"/>
      <c r="J511" s="520">
        <v>0</v>
      </c>
      <c r="K511" s="520">
        <v>0</v>
      </c>
      <c r="L511" s="520">
        <v>0</v>
      </c>
      <c r="M511" s="517"/>
      <c r="N511" s="542">
        <v>0</v>
      </c>
      <c r="O511" s="518">
        <v>0</v>
      </c>
      <c r="P511" s="518">
        <v>0</v>
      </c>
      <c r="Q511" s="519"/>
      <c r="R511" s="516">
        <v>5</v>
      </c>
      <c r="S511" s="521">
        <v>99721</v>
      </c>
      <c r="T511" s="521">
        <v>0</v>
      </c>
      <c r="U511" s="517"/>
      <c r="V511" s="342">
        <f t="shared" si="14"/>
        <v>-5</v>
      </c>
      <c r="W511" s="518">
        <f t="shared" si="15"/>
        <v>-99721</v>
      </c>
      <c r="X511" s="257"/>
    </row>
    <row r="512" spans="1:24" x14ac:dyDescent="0.25">
      <c r="A512">
        <v>507</v>
      </c>
      <c r="B512" t="s">
        <v>510</v>
      </c>
      <c r="C512" t="s">
        <v>351</v>
      </c>
      <c r="D512" t="s">
        <v>40</v>
      </c>
      <c r="F512" s="520">
        <v>3</v>
      </c>
      <c r="G512" s="521">
        <v>968.4</v>
      </c>
      <c r="H512" s="521">
        <v>0</v>
      </c>
      <c r="I512" s="517"/>
      <c r="J512" s="520">
        <v>0</v>
      </c>
      <c r="K512" s="520">
        <v>0</v>
      </c>
      <c r="L512" s="520">
        <v>0</v>
      </c>
      <c r="M512" s="517"/>
      <c r="N512" s="542">
        <v>3</v>
      </c>
      <c r="O512" s="518">
        <v>968.4</v>
      </c>
      <c r="P512" s="518">
        <v>0</v>
      </c>
      <c r="Q512" s="519"/>
      <c r="R512" s="516">
        <v>3</v>
      </c>
      <c r="S512" s="521">
        <v>171922.42</v>
      </c>
      <c r="T512" s="521">
        <v>0</v>
      </c>
      <c r="U512" s="517"/>
      <c r="V512" s="342">
        <f t="shared" si="14"/>
        <v>0</v>
      </c>
      <c r="W512" s="518">
        <f t="shared" si="15"/>
        <v>-170954.02000000002</v>
      </c>
      <c r="X512" s="257"/>
    </row>
    <row r="513" spans="1:24" x14ac:dyDescent="0.25">
      <c r="A513">
        <v>508</v>
      </c>
      <c r="B513" t="s">
        <v>511</v>
      </c>
      <c r="D513" t="s">
        <v>40</v>
      </c>
      <c r="F513" s="520">
        <v>0</v>
      </c>
      <c r="G513" s="521">
        <v>0</v>
      </c>
      <c r="H513" s="521">
        <v>0</v>
      </c>
      <c r="I513" s="517"/>
      <c r="J513" s="520">
        <v>0</v>
      </c>
      <c r="K513" s="520">
        <v>0</v>
      </c>
      <c r="L513" s="520">
        <v>0</v>
      </c>
      <c r="M513" s="517"/>
      <c r="N513" s="542">
        <v>0</v>
      </c>
      <c r="O513" s="518">
        <v>0</v>
      </c>
      <c r="P513" s="518">
        <v>0</v>
      </c>
      <c r="Q513" s="519"/>
      <c r="R513" s="516">
        <v>0</v>
      </c>
      <c r="S513" s="521">
        <v>0</v>
      </c>
      <c r="T513" s="521">
        <v>0</v>
      </c>
      <c r="U513" s="517"/>
      <c r="V513" s="342">
        <f t="shared" si="14"/>
        <v>0</v>
      </c>
      <c r="W513" s="518">
        <f t="shared" si="15"/>
        <v>0</v>
      </c>
      <c r="X513" s="257"/>
    </row>
    <row r="514" spans="1:24" x14ac:dyDescent="0.25">
      <c r="A514">
        <v>509</v>
      </c>
      <c r="B514" t="s">
        <v>512</v>
      </c>
      <c r="D514" t="s">
        <v>26</v>
      </c>
      <c r="F514" s="520">
        <v>14</v>
      </c>
      <c r="G514" s="521">
        <v>140455</v>
      </c>
      <c r="H514" s="521">
        <v>0</v>
      </c>
      <c r="I514" s="517"/>
      <c r="J514" s="520">
        <v>0</v>
      </c>
      <c r="K514" s="520">
        <v>0</v>
      </c>
      <c r="L514" s="520">
        <v>0</v>
      </c>
      <c r="M514" s="517"/>
      <c r="N514" s="542">
        <v>14</v>
      </c>
      <c r="O514" s="518">
        <v>140455</v>
      </c>
      <c r="P514" s="518">
        <v>0</v>
      </c>
      <c r="Q514" s="519"/>
      <c r="R514" s="516">
        <v>0</v>
      </c>
      <c r="S514" s="521">
        <v>0</v>
      </c>
      <c r="T514" s="521">
        <v>0</v>
      </c>
      <c r="U514" s="517"/>
      <c r="V514" s="342">
        <f t="shared" si="14"/>
        <v>14</v>
      </c>
      <c r="W514" s="518">
        <f t="shared" si="15"/>
        <v>140455</v>
      </c>
      <c r="X514" s="257"/>
    </row>
    <row r="515" spans="1:24" x14ac:dyDescent="0.25">
      <c r="A515">
        <v>510</v>
      </c>
      <c r="B515" t="s">
        <v>2236</v>
      </c>
      <c r="F515" s="520">
        <v>0</v>
      </c>
      <c r="G515" s="521">
        <v>0</v>
      </c>
      <c r="H515" s="521">
        <v>0</v>
      </c>
      <c r="I515" s="517"/>
      <c r="J515" s="520">
        <v>0</v>
      </c>
      <c r="K515" s="520">
        <v>0</v>
      </c>
      <c r="L515" s="520">
        <v>0</v>
      </c>
      <c r="M515" s="517"/>
      <c r="N515" s="542">
        <v>0</v>
      </c>
      <c r="O515" s="518">
        <v>0</v>
      </c>
      <c r="P515" s="518">
        <v>0</v>
      </c>
      <c r="Q515" s="519"/>
      <c r="R515" s="516">
        <v>0</v>
      </c>
      <c r="S515" s="521">
        <v>0</v>
      </c>
      <c r="T515" s="521">
        <v>0</v>
      </c>
      <c r="U515" s="517"/>
      <c r="V515" s="342">
        <f t="shared" si="14"/>
        <v>0</v>
      </c>
      <c r="W515" s="518">
        <f t="shared" si="15"/>
        <v>0</v>
      </c>
      <c r="X515" s="257"/>
    </row>
    <row r="516" spans="1:24" x14ac:dyDescent="0.25">
      <c r="A516">
        <v>511</v>
      </c>
      <c r="B516" t="s">
        <v>2430</v>
      </c>
      <c r="F516" s="520">
        <v>0</v>
      </c>
      <c r="G516" s="521">
        <v>0</v>
      </c>
      <c r="H516" s="521">
        <v>0</v>
      </c>
      <c r="I516" s="517"/>
      <c r="J516" s="520">
        <v>0</v>
      </c>
      <c r="K516" s="520">
        <v>0</v>
      </c>
      <c r="L516" s="520">
        <v>0</v>
      </c>
      <c r="M516" s="517"/>
      <c r="N516" s="542">
        <v>0</v>
      </c>
      <c r="O516" s="518">
        <v>0</v>
      </c>
      <c r="P516" s="518">
        <v>0</v>
      </c>
      <c r="Q516" s="519"/>
      <c r="R516" s="516">
        <v>0</v>
      </c>
      <c r="S516" s="521">
        <v>0</v>
      </c>
      <c r="T516" s="521">
        <v>0</v>
      </c>
      <c r="U516" s="517"/>
      <c r="V516" s="342">
        <f t="shared" si="14"/>
        <v>0</v>
      </c>
      <c r="W516" s="518">
        <f t="shared" si="15"/>
        <v>0</v>
      </c>
      <c r="X516" s="257"/>
    </row>
    <row r="517" spans="1:24" x14ac:dyDescent="0.25">
      <c r="A517">
        <v>512</v>
      </c>
      <c r="B517" t="s">
        <v>3226</v>
      </c>
      <c r="F517" s="520">
        <v>0</v>
      </c>
      <c r="G517" s="521">
        <v>0</v>
      </c>
      <c r="H517" s="521">
        <v>0</v>
      </c>
      <c r="I517" s="517"/>
      <c r="J517" s="520">
        <v>0</v>
      </c>
      <c r="K517" s="520">
        <v>0</v>
      </c>
      <c r="L517" s="520">
        <v>0</v>
      </c>
      <c r="M517" s="517"/>
      <c r="N517" s="542">
        <v>0</v>
      </c>
      <c r="O517" s="518">
        <v>0</v>
      </c>
      <c r="P517" s="518">
        <v>0</v>
      </c>
      <c r="Q517" s="519"/>
      <c r="R517" s="516">
        <v>1</v>
      </c>
      <c r="S517" s="521">
        <v>2156.8200000000002</v>
      </c>
      <c r="T517" s="521">
        <v>10</v>
      </c>
      <c r="U517" s="517"/>
      <c r="V517" s="342">
        <f t="shared" si="14"/>
        <v>-1</v>
      </c>
      <c r="W517" s="518">
        <f t="shared" si="15"/>
        <v>-2166.8200000000002</v>
      </c>
      <c r="X517" s="257"/>
    </row>
    <row r="518" spans="1:24" x14ac:dyDescent="0.25">
      <c r="A518">
        <v>513</v>
      </c>
      <c r="B518" t="s">
        <v>2237</v>
      </c>
      <c r="F518" s="520">
        <v>29</v>
      </c>
      <c r="G518" s="521">
        <v>30556.59</v>
      </c>
      <c r="H518" s="521">
        <v>0</v>
      </c>
      <c r="I518" s="517"/>
      <c r="J518" s="520">
        <v>0</v>
      </c>
      <c r="K518" s="520">
        <v>0</v>
      </c>
      <c r="L518" s="520">
        <v>0</v>
      </c>
      <c r="M518" s="517"/>
      <c r="N518" s="542">
        <v>29</v>
      </c>
      <c r="O518" s="518">
        <v>30556.59</v>
      </c>
      <c r="P518" s="518">
        <v>0</v>
      </c>
      <c r="Q518" s="519"/>
      <c r="R518" s="516">
        <v>0</v>
      </c>
      <c r="S518" s="521">
        <v>0</v>
      </c>
      <c r="T518" s="521">
        <v>0</v>
      </c>
      <c r="U518" s="517"/>
      <c r="V518" s="342">
        <f t="shared" ref="V518:V581" si="16">N518-R518</f>
        <v>29</v>
      </c>
      <c r="W518" s="518">
        <f t="shared" ref="W518:W581" si="17">O518-S518-T518</f>
        <v>30556.59</v>
      </c>
      <c r="X518" s="257"/>
    </row>
    <row r="519" spans="1:24" x14ac:dyDescent="0.25">
      <c r="A519">
        <v>514</v>
      </c>
      <c r="B519" t="s">
        <v>521</v>
      </c>
      <c r="C519" t="s">
        <v>136</v>
      </c>
      <c r="D519" t="s">
        <v>16</v>
      </c>
      <c r="F519" s="520">
        <v>141</v>
      </c>
      <c r="G519" s="521">
        <v>38679</v>
      </c>
      <c r="H519" s="521">
        <v>0</v>
      </c>
      <c r="I519" s="517"/>
      <c r="J519" s="520">
        <v>0</v>
      </c>
      <c r="K519" s="520">
        <v>0</v>
      </c>
      <c r="L519" s="520">
        <v>0</v>
      </c>
      <c r="M519" s="517"/>
      <c r="N519" s="542">
        <v>141</v>
      </c>
      <c r="O519" s="518">
        <v>38679</v>
      </c>
      <c r="P519" s="518">
        <v>0</v>
      </c>
      <c r="Q519" s="519"/>
      <c r="R519" s="516">
        <v>11</v>
      </c>
      <c r="S519" s="521">
        <v>19408.38</v>
      </c>
      <c r="T519" s="521">
        <v>110</v>
      </c>
      <c r="U519" s="517"/>
      <c r="V519" s="342">
        <f t="shared" si="16"/>
        <v>130</v>
      </c>
      <c r="W519" s="518">
        <f t="shared" si="17"/>
        <v>19160.62</v>
      </c>
      <c r="X519" s="257"/>
    </row>
    <row r="520" spans="1:24" x14ac:dyDescent="0.25">
      <c r="A520">
        <v>515</v>
      </c>
      <c r="B520" t="s">
        <v>513</v>
      </c>
      <c r="C520" t="s">
        <v>27</v>
      </c>
      <c r="D520" t="s">
        <v>16</v>
      </c>
      <c r="F520" s="520">
        <v>23</v>
      </c>
      <c r="G520" s="521">
        <v>286338</v>
      </c>
      <c r="H520" s="521">
        <v>540</v>
      </c>
      <c r="I520" s="517"/>
      <c r="J520" s="520">
        <v>0</v>
      </c>
      <c r="K520" s="520">
        <v>0</v>
      </c>
      <c r="L520" s="520">
        <v>0</v>
      </c>
      <c r="M520" s="517"/>
      <c r="N520" s="542">
        <v>23</v>
      </c>
      <c r="O520" s="518">
        <v>286338</v>
      </c>
      <c r="P520" s="518">
        <v>540</v>
      </c>
      <c r="Q520" s="519"/>
      <c r="R520" s="516">
        <v>0</v>
      </c>
      <c r="S520" s="521">
        <v>0</v>
      </c>
      <c r="T520" s="521">
        <v>0</v>
      </c>
      <c r="U520" s="517"/>
      <c r="V520" s="342">
        <f t="shared" si="16"/>
        <v>23</v>
      </c>
      <c r="W520" s="518">
        <f t="shared" si="17"/>
        <v>286338</v>
      </c>
      <c r="X520" s="257"/>
    </row>
    <row r="521" spans="1:24" x14ac:dyDescent="0.25">
      <c r="A521">
        <v>516</v>
      </c>
      <c r="B521" t="s">
        <v>3232</v>
      </c>
      <c r="C521" t="s">
        <v>525</v>
      </c>
      <c r="D521" t="s">
        <v>3231</v>
      </c>
      <c r="F521" s="520">
        <v>4</v>
      </c>
      <c r="G521" s="521">
        <v>157923</v>
      </c>
      <c r="H521" s="521">
        <v>230</v>
      </c>
      <c r="I521" s="517"/>
      <c r="J521" s="520">
        <v>0</v>
      </c>
      <c r="K521" s="520">
        <v>0</v>
      </c>
      <c r="L521" s="520">
        <v>0</v>
      </c>
      <c r="M521" s="517"/>
      <c r="N521" s="542">
        <v>4</v>
      </c>
      <c r="O521" s="518">
        <v>157923</v>
      </c>
      <c r="P521" s="518">
        <v>230</v>
      </c>
      <c r="Q521" s="519"/>
      <c r="R521" s="516">
        <v>0</v>
      </c>
      <c r="S521" s="521">
        <v>0</v>
      </c>
      <c r="T521" s="521">
        <v>0</v>
      </c>
      <c r="U521" s="517"/>
      <c r="V521" s="342">
        <f t="shared" si="16"/>
        <v>4</v>
      </c>
      <c r="W521" s="518">
        <f t="shared" si="17"/>
        <v>157923</v>
      </c>
      <c r="X521" s="257"/>
    </row>
    <row r="522" spans="1:24" x14ac:dyDescent="0.25">
      <c r="A522">
        <v>517</v>
      </c>
      <c r="B522" t="s">
        <v>514</v>
      </c>
      <c r="C522" t="s">
        <v>18</v>
      </c>
      <c r="D522" t="s">
        <v>16</v>
      </c>
      <c r="F522" s="520">
        <v>2</v>
      </c>
      <c r="G522" s="521">
        <v>9410</v>
      </c>
      <c r="H522" s="521">
        <v>70</v>
      </c>
      <c r="I522" s="517"/>
      <c r="J522" s="520">
        <v>0</v>
      </c>
      <c r="K522" s="520">
        <v>0</v>
      </c>
      <c r="L522" s="520">
        <v>0</v>
      </c>
      <c r="M522" s="517"/>
      <c r="N522" s="542">
        <v>2</v>
      </c>
      <c r="O522" s="518">
        <v>9410</v>
      </c>
      <c r="P522" s="518">
        <v>70</v>
      </c>
      <c r="Q522" s="519"/>
      <c r="R522" s="516">
        <v>0</v>
      </c>
      <c r="S522" s="521">
        <v>0</v>
      </c>
      <c r="T522" s="521">
        <v>0</v>
      </c>
      <c r="U522" s="517"/>
      <c r="V522" s="342">
        <f t="shared" si="16"/>
        <v>2</v>
      </c>
      <c r="W522" s="518">
        <f t="shared" si="17"/>
        <v>9410</v>
      </c>
      <c r="X522" s="257"/>
    </row>
    <row r="523" spans="1:24" x14ac:dyDescent="0.25">
      <c r="A523">
        <v>518</v>
      </c>
      <c r="B523" t="s">
        <v>517</v>
      </c>
      <c r="D523" t="s">
        <v>516</v>
      </c>
      <c r="F523" s="520">
        <v>148</v>
      </c>
      <c r="G523" s="521">
        <v>872433.97</v>
      </c>
      <c r="H523" s="521">
        <v>2960</v>
      </c>
      <c r="I523" s="517"/>
      <c r="J523" s="520">
        <v>0</v>
      </c>
      <c r="K523" s="520">
        <v>0</v>
      </c>
      <c r="L523" s="520">
        <v>0</v>
      </c>
      <c r="M523" s="517"/>
      <c r="N523" s="542">
        <v>148</v>
      </c>
      <c r="O523" s="518">
        <v>872433.97</v>
      </c>
      <c r="P523" s="518">
        <v>2960</v>
      </c>
      <c r="Q523" s="519"/>
      <c r="R523" s="516">
        <v>97</v>
      </c>
      <c r="S523" s="521">
        <v>3280958.33</v>
      </c>
      <c r="T523" s="521">
        <v>0</v>
      </c>
      <c r="U523" s="517"/>
      <c r="V523" s="342">
        <f t="shared" si="16"/>
        <v>51</v>
      </c>
      <c r="W523" s="518">
        <f t="shared" si="17"/>
        <v>-2408524.3600000003</v>
      </c>
      <c r="X523" s="257"/>
    </row>
    <row r="524" spans="1:24" x14ac:dyDescent="0.25">
      <c r="A524">
        <v>519</v>
      </c>
      <c r="B524" t="s">
        <v>518</v>
      </c>
      <c r="C524" t="s">
        <v>112</v>
      </c>
      <c r="F524" s="520">
        <v>0</v>
      </c>
      <c r="G524" s="521">
        <v>0</v>
      </c>
      <c r="H524" s="521">
        <v>0</v>
      </c>
      <c r="I524" s="517"/>
      <c r="J524" s="520">
        <v>0</v>
      </c>
      <c r="K524" s="520">
        <v>0</v>
      </c>
      <c r="L524" s="520">
        <v>0</v>
      </c>
      <c r="M524" s="517"/>
      <c r="N524" s="542">
        <v>0</v>
      </c>
      <c r="O524" s="518">
        <v>0</v>
      </c>
      <c r="P524" s="518">
        <v>0</v>
      </c>
      <c r="Q524" s="519"/>
      <c r="R524" s="516">
        <v>4</v>
      </c>
      <c r="S524" s="521">
        <v>60143</v>
      </c>
      <c r="T524" s="521">
        <v>0</v>
      </c>
      <c r="U524" s="517"/>
      <c r="V524" s="342">
        <f t="shared" si="16"/>
        <v>-4</v>
      </c>
      <c r="W524" s="518">
        <f t="shared" si="17"/>
        <v>-60143</v>
      </c>
      <c r="X524" s="257"/>
    </row>
    <row r="525" spans="1:24" x14ac:dyDescent="0.25">
      <c r="A525">
        <v>520</v>
      </c>
      <c r="B525" t="s">
        <v>519</v>
      </c>
      <c r="C525" t="s">
        <v>18</v>
      </c>
      <c r="D525" t="s">
        <v>414</v>
      </c>
      <c r="F525" s="520">
        <v>0</v>
      </c>
      <c r="G525" s="521">
        <v>0</v>
      </c>
      <c r="H525" s="521">
        <v>0</v>
      </c>
      <c r="I525" s="517"/>
      <c r="J525" s="520">
        <v>0</v>
      </c>
      <c r="K525" s="520">
        <v>0</v>
      </c>
      <c r="L525" s="520">
        <v>0</v>
      </c>
      <c r="M525" s="517"/>
      <c r="N525" s="542">
        <v>0</v>
      </c>
      <c r="O525" s="518">
        <v>0</v>
      </c>
      <c r="P525" s="518">
        <v>0</v>
      </c>
      <c r="Q525" s="519"/>
      <c r="R525" s="516">
        <v>28</v>
      </c>
      <c r="S525" s="521">
        <v>260477.5</v>
      </c>
      <c r="T525" s="521">
        <v>0</v>
      </c>
      <c r="U525" s="517"/>
      <c r="V525" s="342">
        <f t="shared" si="16"/>
        <v>-28</v>
      </c>
      <c r="W525" s="518">
        <f t="shared" si="17"/>
        <v>-260477.5</v>
      </c>
      <c r="X525" s="257"/>
    </row>
    <row r="526" spans="1:24" x14ac:dyDescent="0.25">
      <c r="A526">
        <v>521</v>
      </c>
      <c r="B526" t="s">
        <v>520</v>
      </c>
      <c r="D526" t="s">
        <v>16</v>
      </c>
      <c r="F526" s="520">
        <v>0</v>
      </c>
      <c r="G526" s="521">
        <v>0</v>
      </c>
      <c r="H526" s="521">
        <v>0</v>
      </c>
      <c r="I526" s="517"/>
      <c r="J526" s="520">
        <v>0</v>
      </c>
      <c r="K526" s="520">
        <v>0</v>
      </c>
      <c r="L526" s="520">
        <v>0</v>
      </c>
      <c r="M526" s="517"/>
      <c r="N526" s="542">
        <v>0</v>
      </c>
      <c r="O526" s="518">
        <v>0</v>
      </c>
      <c r="P526" s="518">
        <v>0</v>
      </c>
      <c r="Q526" s="519"/>
      <c r="R526" s="516">
        <v>0</v>
      </c>
      <c r="S526" s="521">
        <v>0</v>
      </c>
      <c r="T526" s="521">
        <v>0</v>
      </c>
      <c r="U526" s="517"/>
      <c r="V526" s="342">
        <f t="shared" si="16"/>
        <v>0</v>
      </c>
      <c r="W526" s="518">
        <f t="shared" si="17"/>
        <v>0</v>
      </c>
      <c r="X526" s="257"/>
    </row>
    <row r="527" spans="1:24" x14ac:dyDescent="0.25">
      <c r="A527">
        <v>522</v>
      </c>
      <c r="B527" t="s">
        <v>522</v>
      </c>
      <c r="C527" t="s">
        <v>366</v>
      </c>
      <c r="D527" t="s">
        <v>16</v>
      </c>
      <c r="F527" s="520">
        <v>38</v>
      </c>
      <c r="G527" s="521">
        <v>734334</v>
      </c>
      <c r="H527" s="521">
        <v>760</v>
      </c>
      <c r="I527" s="517"/>
      <c r="J527" s="520">
        <v>0</v>
      </c>
      <c r="K527" s="520">
        <v>0</v>
      </c>
      <c r="L527" s="520">
        <v>0</v>
      </c>
      <c r="M527" s="517"/>
      <c r="N527" s="542">
        <v>38</v>
      </c>
      <c r="O527" s="518">
        <v>734334</v>
      </c>
      <c r="P527" s="518">
        <v>760</v>
      </c>
      <c r="Q527" s="519"/>
      <c r="R527" s="516">
        <v>0</v>
      </c>
      <c r="S527" s="521">
        <v>0</v>
      </c>
      <c r="T527" s="521">
        <v>0</v>
      </c>
      <c r="U527" s="517"/>
      <c r="V527" s="342">
        <f t="shared" si="16"/>
        <v>38</v>
      </c>
      <c r="W527" s="518">
        <f t="shared" si="17"/>
        <v>734334</v>
      </c>
      <c r="X527" s="257"/>
    </row>
    <row r="528" spans="1:24" x14ac:dyDescent="0.25">
      <c r="A528">
        <v>523</v>
      </c>
      <c r="B528" t="s">
        <v>523</v>
      </c>
      <c r="C528" t="s">
        <v>41</v>
      </c>
      <c r="D528" t="s">
        <v>16</v>
      </c>
      <c r="F528" s="520">
        <v>191</v>
      </c>
      <c r="G528" s="521">
        <v>276959.08000000007</v>
      </c>
      <c r="H528" s="521">
        <v>1910</v>
      </c>
      <c r="I528" s="517"/>
      <c r="J528" s="520">
        <v>0</v>
      </c>
      <c r="K528" s="520">
        <v>0</v>
      </c>
      <c r="L528" s="520">
        <v>0</v>
      </c>
      <c r="M528" s="517"/>
      <c r="N528" s="542">
        <v>191</v>
      </c>
      <c r="O528" s="518">
        <v>276959.08000000007</v>
      </c>
      <c r="P528" s="518">
        <v>1910</v>
      </c>
      <c r="Q528" s="519"/>
      <c r="R528" s="516">
        <v>0</v>
      </c>
      <c r="S528" s="521">
        <v>0</v>
      </c>
      <c r="T528" s="521">
        <v>0</v>
      </c>
      <c r="U528" s="517"/>
      <c r="V528" s="342">
        <f t="shared" si="16"/>
        <v>191</v>
      </c>
      <c r="W528" s="518">
        <f t="shared" si="17"/>
        <v>276959.08000000007</v>
      </c>
      <c r="X528" s="257"/>
    </row>
    <row r="529" spans="1:24" x14ac:dyDescent="0.25">
      <c r="A529">
        <v>524</v>
      </c>
      <c r="B529" t="s">
        <v>524</v>
      </c>
      <c r="C529" t="s">
        <v>525</v>
      </c>
      <c r="D529" t="s">
        <v>16</v>
      </c>
      <c r="F529" s="520">
        <v>0</v>
      </c>
      <c r="G529" s="521">
        <v>0</v>
      </c>
      <c r="H529" s="521">
        <v>0</v>
      </c>
      <c r="I529" s="517"/>
      <c r="J529" s="520">
        <v>0</v>
      </c>
      <c r="K529" s="520">
        <v>0</v>
      </c>
      <c r="L529" s="520">
        <v>0</v>
      </c>
      <c r="M529" s="517"/>
      <c r="N529" s="542">
        <v>0</v>
      </c>
      <c r="O529" s="518">
        <v>0</v>
      </c>
      <c r="P529" s="518">
        <v>0</v>
      </c>
      <c r="Q529" s="519"/>
      <c r="R529" s="516">
        <v>0</v>
      </c>
      <c r="S529" s="521">
        <v>0</v>
      </c>
      <c r="T529" s="521">
        <v>0</v>
      </c>
      <c r="U529" s="517"/>
      <c r="V529" s="342">
        <f t="shared" si="16"/>
        <v>0</v>
      </c>
      <c r="W529" s="518">
        <f t="shared" si="17"/>
        <v>0</v>
      </c>
      <c r="X529" s="257"/>
    </row>
    <row r="530" spans="1:24" x14ac:dyDescent="0.25">
      <c r="A530">
        <v>525</v>
      </c>
      <c r="B530" t="s">
        <v>526</v>
      </c>
      <c r="C530" t="s">
        <v>148</v>
      </c>
      <c r="D530" t="s">
        <v>16</v>
      </c>
      <c r="F530" s="520">
        <v>0</v>
      </c>
      <c r="G530" s="521">
        <v>0</v>
      </c>
      <c r="H530" s="521">
        <v>0</v>
      </c>
      <c r="I530" s="517"/>
      <c r="J530" s="520">
        <v>0</v>
      </c>
      <c r="K530" s="520">
        <v>0</v>
      </c>
      <c r="L530" s="520">
        <v>0</v>
      </c>
      <c r="M530" s="517"/>
      <c r="N530" s="542">
        <v>0</v>
      </c>
      <c r="O530" s="518">
        <v>0</v>
      </c>
      <c r="P530" s="518">
        <v>0</v>
      </c>
      <c r="Q530" s="519"/>
      <c r="R530" s="516">
        <v>32</v>
      </c>
      <c r="S530" s="521">
        <v>915155</v>
      </c>
      <c r="T530" s="521">
        <v>0</v>
      </c>
      <c r="U530" s="517"/>
      <c r="V530" s="342">
        <f t="shared" si="16"/>
        <v>-32</v>
      </c>
      <c r="W530" s="518">
        <f t="shared" si="17"/>
        <v>-915155</v>
      </c>
      <c r="X530" s="257"/>
    </row>
    <row r="531" spans="1:24" x14ac:dyDescent="0.25">
      <c r="A531">
        <v>526</v>
      </c>
      <c r="B531" t="s">
        <v>2996</v>
      </c>
      <c r="C531" t="s">
        <v>15</v>
      </c>
      <c r="D531" t="s">
        <v>16</v>
      </c>
      <c r="F531" s="520">
        <v>0</v>
      </c>
      <c r="G531" s="521">
        <v>0</v>
      </c>
      <c r="H531" s="521">
        <v>0</v>
      </c>
      <c r="I531" s="517"/>
      <c r="J531" s="520">
        <v>0</v>
      </c>
      <c r="K531" s="520">
        <v>0</v>
      </c>
      <c r="L531" s="520">
        <v>0</v>
      </c>
      <c r="M531" s="517"/>
      <c r="N531" s="542">
        <v>0</v>
      </c>
      <c r="O531" s="518">
        <v>0</v>
      </c>
      <c r="P531" s="518">
        <v>0</v>
      </c>
      <c r="Q531" s="519"/>
      <c r="R531" s="516">
        <v>0</v>
      </c>
      <c r="S531" s="521">
        <v>0</v>
      </c>
      <c r="T531" s="521">
        <v>0</v>
      </c>
      <c r="U531" s="517"/>
      <c r="V531" s="342">
        <f t="shared" si="16"/>
        <v>0</v>
      </c>
      <c r="W531" s="518">
        <f t="shared" si="17"/>
        <v>0</v>
      </c>
      <c r="X531" s="257"/>
    </row>
    <row r="532" spans="1:24" x14ac:dyDescent="0.25">
      <c r="A532">
        <v>527</v>
      </c>
      <c r="B532" t="s">
        <v>527</v>
      </c>
      <c r="C532" t="s">
        <v>27</v>
      </c>
      <c r="D532" t="s">
        <v>16</v>
      </c>
      <c r="F532" s="520">
        <v>0</v>
      </c>
      <c r="G532" s="521">
        <v>0</v>
      </c>
      <c r="H532" s="521">
        <v>0</v>
      </c>
      <c r="I532" s="517"/>
      <c r="J532" s="520">
        <v>0</v>
      </c>
      <c r="K532" s="520">
        <v>0</v>
      </c>
      <c r="L532" s="520">
        <v>0</v>
      </c>
      <c r="M532" s="517"/>
      <c r="N532" s="542">
        <v>0</v>
      </c>
      <c r="O532" s="518">
        <v>0</v>
      </c>
      <c r="P532" s="518">
        <v>0</v>
      </c>
      <c r="Q532" s="519"/>
      <c r="R532" s="520">
        <v>5</v>
      </c>
      <c r="S532" s="521">
        <v>126030</v>
      </c>
      <c r="T532" s="521">
        <v>0</v>
      </c>
      <c r="U532" s="517"/>
      <c r="V532" s="342">
        <f t="shared" si="16"/>
        <v>-5</v>
      </c>
      <c r="W532" s="518">
        <f t="shared" si="17"/>
        <v>-126030</v>
      </c>
      <c r="X532" s="257"/>
    </row>
    <row r="533" spans="1:24" x14ac:dyDescent="0.25">
      <c r="A533">
        <v>528</v>
      </c>
      <c r="B533" t="s">
        <v>528</v>
      </c>
      <c r="C533" t="s">
        <v>529</v>
      </c>
      <c r="D533" t="s">
        <v>16</v>
      </c>
      <c r="F533" s="520">
        <v>1</v>
      </c>
      <c r="G533" s="521">
        <v>5500</v>
      </c>
      <c r="H533" s="521">
        <v>20</v>
      </c>
      <c r="I533" s="517"/>
      <c r="J533" s="520">
        <v>0</v>
      </c>
      <c r="K533" s="520">
        <v>0</v>
      </c>
      <c r="L533" s="520">
        <v>0</v>
      </c>
      <c r="M533" s="517"/>
      <c r="N533" s="542">
        <v>1</v>
      </c>
      <c r="O533" s="518">
        <v>5500</v>
      </c>
      <c r="P533" s="518">
        <v>20</v>
      </c>
      <c r="Q533" s="519"/>
      <c r="R533" s="516">
        <v>0</v>
      </c>
      <c r="S533" s="521">
        <v>0</v>
      </c>
      <c r="T533" s="521">
        <v>0</v>
      </c>
      <c r="U533" s="517"/>
      <c r="V533" s="342">
        <f t="shared" si="16"/>
        <v>1</v>
      </c>
      <c r="W533" s="518">
        <f t="shared" si="17"/>
        <v>5500</v>
      </c>
      <c r="X533" s="257"/>
    </row>
    <row r="534" spans="1:24" x14ac:dyDescent="0.25">
      <c r="A534">
        <v>529</v>
      </c>
      <c r="B534" t="s">
        <v>530</v>
      </c>
      <c r="C534" t="s">
        <v>98</v>
      </c>
      <c r="D534" t="s">
        <v>16</v>
      </c>
      <c r="F534" s="520">
        <v>1</v>
      </c>
      <c r="G534" s="521">
        <v>6000</v>
      </c>
      <c r="H534" s="521">
        <v>30</v>
      </c>
      <c r="I534" s="517"/>
      <c r="J534" s="520">
        <v>0</v>
      </c>
      <c r="K534" s="520">
        <v>0</v>
      </c>
      <c r="L534" s="520">
        <v>0</v>
      </c>
      <c r="M534" s="517"/>
      <c r="N534" s="542">
        <v>1</v>
      </c>
      <c r="O534" s="518">
        <v>6000</v>
      </c>
      <c r="P534" s="518">
        <v>30</v>
      </c>
      <c r="Q534" s="519"/>
      <c r="R534" s="516">
        <v>0</v>
      </c>
      <c r="S534" s="521">
        <v>0</v>
      </c>
      <c r="T534" s="521">
        <v>0</v>
      </c>
      <c r="U534" s="517"/>
      <c r="V534" s="342">
        <f t="shared" si="16"/>
        <v>1</v>
      </c>
      <c r="W534" s="518">
        <f t="shared" si="17"/>
        <v>6000</v>
      </c>
      <c r="X534" s="257"/>
    </row>
    <row r="535" spans="1:24" x14ac:dyDescent="0.25">
      <c r="A535">
        <v>530</v>
      </c>
      <c r="B535" t="s">
        <v>531</v>
      </c>
      <c r="C535" t="s">
        <v>18</v>
      </c>
      <c r="D535" t="s">
        <v>16</v>
      </c>
      <c r="F535" s="520">
        <v>0</v>
      </c>
      <c r="G535" s="521">
        <v>0</v>
      </c>
      <c r="H535" s="521">
        <v>0</v>
      </c>
      <c r="I535" s="517"/>
      <c r="J535" s="520">
        <v>0</v>
      </c>
      <c r="K535" s="520">
        <v>0</v>
      </c>
      <c r="L535" s="520">
        <v>0</v>
      </c>
      <c r="M535" s="517"/>
      <c r="N535" s="542">
        <v>0</v>
      </c>
      <c r="O535" s="518">
        <v>0</v>
      </c>
      <c r="P535" s="518">
        <v>0</v>
      </c>
      <c r="Q535" s="519"/>
      <c r="R535" s="516">
        <v>5</v>
      </c>
      <c r="S535" s="521">
        <v>127787</v>
      </c>
      <c r="T535" s="521">
        <v>0</v>
      </c>
      <c r="U535" s="517"/>
      <c r="V535" s="342">
        <f t="shared" si="16"/>
        <v>-5</v>
      </c>
      <c r="W535" s="518">
        <f t="shared" si="17"/>
        <v>-127787</v>
      </c>
      <c r="X535" s="257"/>
    </row>
    <row r="536" spans="1:24" x14ac:dyDescent="0.25">
      <c r="A536">
        <v>531</v>
      </c>
      <c r="B536" t="s">
        <v>532</v>
      </c>
      <c r="D536" t="s">
        <v>16</v>
      </c>
      <c r="F536" s="520">
        <v>0</v>
      </c>
      <c r="G536" s="521">
        <v>0</v>
      </c>
      <c r="H536" s="521">
        <v>0</v>
      </c>
      <c r="I536" s="517"/>
      <c r="J536" s="520">
        <v>0</v>
      </c>
      <c r="K536" s="520">
        <v>0</v>
      </c>
      <c r="L536" s="520">
        <v>0</v>
      </c>
      <c r="M536" s="517"/>
      <c r="N536" s="542">
        <v>0</v>
      </c>
      <c r="O536" s="518">
        <v>0</v>
      </c>
      <c r="P536" s="518">
        <v>0</v>
      </c>
      <c r="Q536" s="519"/>
      <c r="R536" s="516">
        <v>224</v>
      </c>
      <c r="S536" s="521">
        <v>16846093.539999999</v>
      </c>
      <c r="T536" s="521">
        <v>0</v>
      </c>
      <c r="U536" s="517"/>
      <c r="V536" s="342">
        <f t="shared" si="16"/>
        <v>-224</v>
      </c>
      <c r="W536" s="518">
        <f t="shared" si="17"/>
        <v>-16846093.539999999</v>
      </c>
      <c r="X536" s="257"/>
    </row>
    <row r="537" spans="1:24" x14ac:dyDescent="0.25">
      <c r="A537">
        <v>532</v>
      </c>
      <c r="B537" t="s">
        <v>533</v>
      </c>
      <c r="C537" t="s">
        <v>18</v>
      </c>
      <c r="D537" t="s">
        <v>16</v>
      </c>
      <c r="F537" s="520">
        <v>0</v>
      </c>
      <c r="G537" s="521">
        <v>0</v>
      </c>
      <c r="H537" s="521">
        <v>0</v>
      </c>
      <c r="I537" s="517"/>
      <c r="J537" s="520">
        <v>0</v>
      </c>
      <c r="K537" s="520">
        <v>0</v>
      </c>
      <c r="L537" s="520">
        <v>0</v>
      </c>
      <c r="M537" s="517"/>
      <c r="N537" s="542">
        <v>0</v>
      </c>
      <c r="O537" s="518">
        <v>0</v>
      </c>
      <c r="P537" s="518">
        <v>0</v>
      </c>
      <c r="Q537" s="519"/>
      <c r="R537" s="520">
        <v>4</v>
      </c>
      <c r="S537" s="521">
        <v>169000</v>
      </c>
      <c r="T537" s="521">
        <v>0</v>
      </c>
      <c r="U537" s="517"/>
      <c r="V537" s="342">
        <f t="shared" si="16"/>
        <v>-4</v>
      </c>
      <c r="W537" s="518">
        <f t="shared" si="17"/>
        <v>-169000</v>
      </c>
      <c r="X537" s="257"/>
    </row>
    <row r="538" spans="1:24" x14ac:dyDescent="0.25">
      <c r="A538">
        <v>533</v>
      </c>
      <c r="B538" t="s">
        <v>534</v>
      </c>
      <c r="C538" t="s">
        <v>18</v>
      </c>
      <c r="D538" t="s">
        <v>16</v>
      </c>
      <c r="F538" s="520">
        <v>0</v>
      </c>
      <c r="G538" s="521">
        <v>0</v>
      </c>
      <c r="H538" s="521">
        <v>0</v>
      </c>
      <c r="I538" s="517"/>
      <c r="J538" s="520">
        <v>0</v>
      </c>
      <c r="K538" s="520">
        <v>0</v>
      </c>
      <c r="L538" s="520">
        <v>0</v>
      </c>
      <c r="M538" s="517"/>
      <c r="N538" s="542">
        <v>0</v>
      </c>
      <c r="O538" s="518">
        <v>0</v>
      </c>
      <c r="P538" s="518">
        <v>0</v>
      </c>
      <c r="Q538" s="519"/>
      <c r="R538" s="516">
        <v>19</v>
      </c>
      <c r="S538" s="521">
        <v>110746.88</v>
      </c>
      <c r="T538" s="521">
        <v>0</v>
      </c>
      <c r="U538" s="517"/>
      <c r="V538" s="342">
        <f t="shared" si="16"/>
        <v>-19</v>
      </c>
      <c r="W538" s="518">
        <f t="shared" si="17"/>
        <v>-110746.88</v>
      </c>
      <c r="X538" s="257"/>
    </row>
    <row r="539" spans="1:24" x14ac:dyDescent="0.25">
      <c r="A539">
        <v>534</v>
      </c>
      <c r="B539" t="s">
        <v>535</v>
      </c>
      <c r="C539" t="s">
        <v>18</v>
      </c>
      <c r="D539" t="s">
        <v>16</v>
      </c>
      <c r="F539" s="520">
        <v>0</v>
      </c>
      <c r="G539" s="521">
        <v>0</v>
      </c>
      <c r="H539" s="521">
        <v>0</v>
      </c>
      <c r="I539" s="517"/>
      <c r="J539" s="520">
        <v>0</v>
      </c>
      <c r="K539" s="520">
        <v>0</v>
      </c>
      <c r="L539" s="520">
        <v>0</v>
      </c>
      <c r="M539" s="517"/>
      <c r="N539" s="542">
        <v>0</v>
      </c>
      <c r="O539" s="518">
        <v>0</v>
      </c>
      <c r="P539" s="518">
        <v>0</v>
      </c>
      <c r="Q539" s="519"/>
      <c r="R539" s="516">
        <v>0</v>
      </c>
      <c r="S539" s="521">
        <v>0</v>
      </c>
      <c r="T539" s="521">
        <v>0</v>
      </c>
      <c r="U539" s="517"/>
      <c r="V539" s="342">
        <f t="shared" si="16"/>
        <v>0</v>
      </c>
      <c r="W539" s="518">
        <f t="shared" si="17"/>
        <v>0</v>
      </c>
      <c r="X539" s="257"/>
    </row>
    <row r="540" spans="1:24" x14ac:dyDescent="0.25">
      <c r="A540">
        <v>535</v>
      </c>
      <c r="B540" t="s">
        <v>536</v>
      </c>
      <c r="C540" t="s">
        <v>18</v>
      </c>
      <c r="D540" t="s">
        <v>16</v>
      </c>
      <c r="F540" s="520">
        <v>0</v>
      </c>
      <c r="G540" s="521">
        <v>0</v>
      </c>
      <c r="H540" s="521">
        <v>0</v>
      </c>
      <c r="I540" s="517"/>
      <c r="J540" s="520">
        <v>0</v>
      </c>
      <c r="K540" s="520">
        <v>0</v>
      </c>
      <c r="L540" s="520">
        <v>0</v>
      </c>
      <c r="M540" s="517"/>
      <c r="N540" s="542">
        <v>0</v>
      </c>
      <c r="O540" s="518">
        <v>0</v>
      </c>
      <c r="P540" s="518">
        <v>0</v>
      </c>
      <c r="Q540" s="519"/>
      <c r="R540" s="520">
        <v>2</v>
      </c>
      <c r="S540" s="521">
        <v>183944.5</v>
      </c>
      <c r="T540" s="521">
        <v>0</v>
      </c>
      <c r="U540" s="517"/>
      <c r="V540" s="342">
        <f t="shared" si="16"/>
        <v>-2</v>
      </c>
      <c r="W540" s="518">
        <f t="shared" si="17"/>
        <v>-183944.5</v>
      </c>
      <c r="X540" s="257"/>
    </row>
    <row r="541" spans="1:24" x14ac:dyDescent="0.25">
      <c r="A541">
        <v>536</v>
      </c>
      <c r="B541" t="s">
        <v>537</v>
      </c>
      <c r="C541" t="s">
        <v>18</v>
      </c>
      <c r="D541" t="s">
        <v>16</v>
      </c>
      <c r="F541" s="520">
        <v>0</v>
      </c>
      <c r="G541" s="521">
        <v>0</v>
      </c>
      <c r="H541" s="521">
        <v>0</v>
      </c>
      <c r="I541" s="517"/>
      <c r="J541" s="520">
        <v>0</v>
      </c>
      <c r="K541" s="520">
        <v>0</v>
      </c>
      <c r="L541" s="520">
        <v>0</v>
      </c>
      <c r="M541" s="517"/>
      <c r="N541" s="542">
        <v>0</v>
      </c>
      <c r="O541" s="518">
        <v>0</v>
      </c>
      <c r="P541" s="518">
        <v>0</v>
      </c>
      <c r="Q541" s="519"/>
      <c r="R541" s="520">
        <v>1</v>
      </c>
      <c r="S541" s="521">
        <v>22840</v>
      </c>
      <c r="T541" s="521">
        <v>0</v>
      </c>
      <c r="U541" s="517"/>
      <c r="V541" s="342">
        <f t="shared" si="16"/>
        <v>-1</v>
      </c>
      <c r="W541" s="518">
        <f t="shared" si="17"/>
        <v>-22840</v>
      </c>
      <c r="X541" s="257"/>
    </row>
    <row r="542" spans="1:24" x14ac:dyDescent="0.25">
      <c r="A542">
        <v>537</v>
      </c>
      <c r="B542" t="s">
        <v>538</v>
      </c>
      <c r="C542" t="s">
        <v>18</v>
      </c>
      <c r="D542" t="s">
        <v>16</v>
      </c>
      <c r="F542" s="520">
        <v>0</v>
      </c>
      <c r="G542" s="521">
        <v>0</v>
      </c>
      <c r="H542" s="521">
        <v>0</v>
      </c>
      <c r="I542" s="517"/>
      <c r="J542" s="520">
        <v>0</v>
      </c>
      <c r="K542" s="520">
        <v>0</v>
      </c>
      <c r="L542" s="520">
        <v>0</v>
      </c>
      <c r="M542" s="517"/>
      <c r="N542" s="542">
        <v>0</v>
      </c>
      <c r="O542" s="518">
        <v>0</v>
      </c>
      <c r="P542" s="518">
        <v>0</v>
      </c>
      <c r="Q542" s="519"/>
      <c r="R542" s="516">
        <v>0</v>
      </c>
      <c r="S542" s="521">
        <v>0</v>
      </c>
      <c r="T542" s="521">
        <v>0</v>
      </c>
      <c r="U542" s="517"/>
      <c r="V542" s="342">
        <f t="shared" si="16"/>
        <v>0</v>
      </c>
      <c r="W542" s="518">
        <f t="shared" si="17"/>
        <v>0</v>
      </c>
      <c r="X542" s="257"/>
    </row>
    <row r="543" spans="1:24" ht="14.25" customHeight="1" x14ac:dyDescent="0.25">
      <c r="A543">
        <v>538</v>
      </c>
      <c r="B543" t="s">
        <v>539</v>
      </c>
      <c r="C543" t="s">
        <v>18</v>
      </c>
      <c r="D543" t="s">
        <v>16</v>
      </c>
      <c r="F543" s="520">
        <v>0</v>
      </c>
      <c r="G543" s="521">
        <v>0</v>
      </c>
      <c r="H543" s="521">
        <v>0</v>
      </c>
      <c r="I543" s="517"/>
      <c r="J543" s="520">
        <v>0</v>
      </c>
      <c r="K543" s="520">
        <v>0</v>
      </c>
      <c r="L543" s="520">
        <v>0</v>
      </c>
      <c r="M543" s="517"/>
      <c r="N543" s="542">
        <v>0</v>
      </c>
      <c r="O543" s="518">
        <v>0</v>
      </c>
      <c r="P543" s="518">
        <v>0</v>
      </c>
      <c r="Q543" s="519"/>
      <c r="R543" s="516">
        <v>0</v>
      </c>
      <c r="S543" s="521">
        <v>0</v>
      </c>
      <c r="T543" s="521">
        <v>0</v>
      </c>
      <c r="U543" s="517"/>
      <c r="V543" s="342">
        <f t="shared" si="16"/>
        <v>0</v>
      </c>
      <c r="W543" s="518">
        <f t="shared" si="17"/>
        <v>0</v>
      </c>
      <c r="X543" s="257"/>
    </row>
    <row r="544" spans="1:24" x14ac:dyDescent="0.25">
      <c r="A544">
        <v>539</v>
      </c>
      <c r="B544" t="s">
        <v>540</v>
      </c>
      <c r="C544" t="s">
        <v>18</v>
      </c>
      <c r="D544" t="s">
        <v>16</v>
      </c>
      <c r="F544" s="520">
        <v>0</v>
      </c>
      <c r="G544" s="521">
        <v>0</v>
      </c>
      <c r="H544" s="521">
        <v>0</v>
      </c>
      <c r="I544" s="517"/>
      <c r="J544" s="520">
        <v>0</v>
      </c>
      <c r="K544" s="520">
        <v>0</v>
      </c>
      <c r="L544" s="520">
        <v>0</v>
      </c>
      <c r="M544" s="517"/>
      <c r="N544" s="542">
        <v>0</v>
      </c>
      <c r="O544" s="518">
        <v>0</v>
      </c>
      <c r="P544" s="518">
        <v>0</v>
      </c>
      <c r="Q544" s="519"/>
      <c r="R544" s="516">
        <v>28</v>
      </c>
      <c r="S544" s="521">
        <v>2198188</v>
      </c>
      <c r="T544" s="521">
        <v>0</v>
      </c>
      <c r="U544" s="517"/>
      <c r="V544" s="342">
        <f t="shared" si="16"/>
        <v>-28</v>
      </c>
      <c r="W544" s="518">
        <f t="shared" si="17"/>
        <v>-2198188</v>
      </c>
      <c r="X544" s="257"/>
    </row>
    <row r="545" spans="1:24" x14ac:dyDescent="0.25">
      <c r="A545">
        <v>540</v>
      </c>
      <c r="B545" t="s">
        <v>541</v>
      </c>
      <c r="C545" t="s">
        <v>18</v>
      </c>
      <c r="D545" t="s">
        <v>16</v>
      </c>
      <c r="F545" s="520">
        <v>0</v>
      </c>
      <c r="G545" s="521">
        <v>0</v>
      </c>
      <c r="H545" s="521">
        <v>0</v>
      </c>
      <c r="I545" s="517"/>
      <c r="J545" s="520">
        <v>0</v>
      </c>
      <c r="K545" s="520">
        <v>0</v>
      </c>
      <c r="L545" s="520">
        <v>0</v>
      </c>
      <c r="M545" s="517"/>
      <c r="N545" s="542">
        <v>0</v>
      </c>
      <c r="O545" s="518">
        <v>0</v>
      </c>
      <c r="P545" s="518">
        <v>0</v>
      </c>
      <c r="Q545" s="519"/>
      <c r="R545" s="516">
        <v>4</v>
      </c>
      <c r="S545" s="521">
        <v>80335</v>
      </c>
      <c r="T545" s="521">
        <v>0</v>
      </c>
      <c r="U545" s="517"/>
      <c r="V545" s="342">
        <f t="shared" si="16"/>
        <v>-4</v>
      </c>
      <c r="W545" s="518">
        <f t="shared" si="17"/>
        <v>-80335</v>
      </c>
      <c r="X545" s="257"/>
    </row>
    <row r="546" spans="1:24" x14ac:dyDescent="0.25">
      <c r="A546">
        <v>541</v>
      </c>
      <c r="B546" t="s">
        <v>542</v>
      </c>
      <c r="C546" t="s">
        <v>18</v>
      </c>
      <c r="D546" t="s">
        <v>16</v>
      </c>
      <c r="F546" s="520">
        <v>0</v>
      </c>
      <c r="G546" s="521">
        <v>0</v>
      </c>
      <c r="H546" s="521">
        <v>0</v>
      </c>
      <c r="I546" s="517"/>
      <c r="J546" s="520">
        <v>0</v>
      </c>
      <c r="K546" s="520">
        <v>0</v>
      </c>
      <c r="L546" s="520">
        <v>0</v>
      </c>
      <c r="M546" s="517"/>
      <c r="N546" s="542">
        <v>0</v>
      </c>
      <c r="O546" s="518">
        <v>0</v>
      </c>
      <c r="P546" s="518">
        <v>0</v>
      </c>
      <c r="Q546" s="519"/>
      <c r="R546" s="516">
        <v>12</v>
      </c>
      <c r="S546" s="521">
        <v>485672</v>
      </c>
      <c r="T546" s="521">
        <v>0</v>
      </c>
      <c r="U546" s="517"/>
      <c r="V546" s="342">
        <f t="shared" si="16"/>
        <v>-12</v>
      </c>
      <c r="W546" s="518">
        <f t="shared" si="17"/>
        <v>-485672</v>
      </c>
      <c r="X546" s="257"/>
    </row>
    <row r="547" spans="1:24" x14ac:dyDescent="0.25">
      <c r="A547">
        <v>542</v>
      </c>
      <c r="B547" t="s">
        <v>543</v>
      </c>
      <c r="C547" t="s">
        <v>18</v>
      </c>
      <c r="D547" t="s">
        <v>16</v>
      </c>
      <c r="F547" s="520">
        <v>0</v>
      </c>
      <c r="G547" s="521">
        <v>0</v>
      </c>
      <c r="H547" s="521">
        <v>0</v>
      </c>
      <c r="I547" s="517"/>
      <c r="J547" s="520">
        <v>0</v>
      </c>
      <c r="K547" s="520">
        <v>0</v>
      </c>
      <c r="L547" s="520">
        <v>0</v>
      </c>
      <c r="M547" s="517"/>
      <c r="N547" s="542">
        <v>0</v>
      </c>
      <c r="O547" s="518">
        <v>0</v>
      </c>
      <c r="P547" s="518">
        <v>0</v>
      </c>
      <c r="Q547" s="519"/>
      <c r="R547" s="516">
        <v>19</v>
      </c>
      <c r="S547" s="521">
        <v>728037</v>
      </c>
      <c r="T547" s="521">
        <v>0</v>
      </c>
      <c r="U547" s="517"/>
      <c r="V547" s="342">
        <f t="shared" si="16"/>
        <v>-19</v>
      </c>
      <c r="W547" s="518">
        <f t="shared" si="17"/>
        <v>-728037</v>
      </c>
      <c r="X547" s="257"/>
    </row>
    <row r="548" spans="1:24" x14ac:dyDescent="0.25">
      <c r="A548">
        <v>543</v>
      </c>
      <c r="B548" t="s">
        <v>544</v>
      </c>
      <c r="C548" t="s">
        <v>18</v>
      </c>
      <c r="D548" t="s">
        <v>16</v>
      </c>
      <c r="F548" s="520">
        <v>0</v>
      </c>
      <c r="G548" s="521">
        <v>0</v>
      </c>
      <c r="H548" s="521">
        <v>0</v>
      </c>
      <c r="I548" s="517"/>
      <c r="J548" s="520">
        <v>0</v>
      </c>
      <c r="K548" s="520">
        <v>0</v>
      </c>
      <c r="L548" s="520">
        <v>0</v>
      </c>
      <c r="M548" s="517"/>
      <c r="N548" s="542">
        <v>0</v>
      </c>
      <c r="O548" s="518">
        <v>0</v>
      </c>
      <c r="P548" s="518">
        <v>0</v>
      </c>
      <c r="Q548" s="519"/>
      <c r="R548" s="516">
        <v>0</v>
      </c>
      <c r="S548" s="521">
        <v>0</v>
      </c>
      <c r="T548" s="521">
        <v>0</v>
      </c>
      <c r="U548" s="517"/>
      <c r="V548" s="342">
        <f t="shared" si="16"/>
        <v>0</v>
      </c>
      <c r="W548" s="518">
        <f t="shared" si="17"/>
        <v>0</v>
      </c>
      <c r="X548" s="257"/>
    </row>
    <row r="549" spans="1:24" x14ac:dyDescent="0.25">
      <c r="A549">
        <v>544</v>
      </c>
      <c r="B549" t="s">
        <v>545</v>
      </c>
      <c r="C549" t="s">
        <v>18</v>
      </c>
      <c r="D549" t="s">
        <v>16</v>
      </c>
      <c r="F549" s="520">
        <v>0</v>
      </c>
      <c r="G549" s="521">
        <v>0</v>
      </c>
      <c r="H549" s="521">
        <v>0</v>
      </c>
      <c r="I549" s="517"/>
      <c r="J549" s="520">
        <v>0</v>
      </c>
      <c r="K549" s="520">
        <v>0</v>
      </c>
      <c r="L549" s="520">
        <v>0</v>
      </c>
      <c r="M549" s="517"/>
      <c r="N549" s="542">
        <v>0</v>
      </c>
      <c r="O549" s="518">
        <v>0</v>
      </c>
      <c r="P549" s="518">
        <v>0</v>
      </c>
      <c r="Q549" s="519"/>
      <c r="R549" s="516">
        <v>50</v>
      </c>
      <c r="S549" s="521">
        <v>2034009.5</v>
      </c>
      <c r="T549" s="521">
        <v>0</v>
      </c>
      <c r="U549" s="517"/>
      <c r="V549" s="342">
        <f t="shared" si="16"/>
        <v>-50</v>
      </c>
      <c r="W549" s="518">
        <f t="shared" si="17"/>
        <v>-2034009.5</v>
      </c>
      <c r="X549" s="257"/>
    </row>
    <row r="550" spans="1:24" x14ac:dyDescent="0.25">
      <c r="A550">
        <v>545</v>
      </c>
      <c r="B550" t="s">
        <v>546</v>
      </c>
      <c r="C550" t="s">
        <v>18</v>
      </c>
      <c r="D550" t="s">
        <v>16</v>
      </c>
      <c r="F550" s="520">
        <v>0</v>
      </c>
      <c r="G550" s="521">
        <v>0</v>
      </c>
      <c r="H550" s="521">
        <v>0</v>
      </c>
      <c r="I550" s="517"/>
      <c r="J550" s="520">
        <v>0</v>
      </c>
      <c r="K550" s="520">
        <v>0</v>
      </c>
      <c r="L550" s="520">
        <v>0</v>
      </c>
      <c r="M550" s="517"/>
      <c r="N550" s="542">
        <v>0</v>
      </c>
      <c r="O550" s="518">
        <v>0</v>
      </c>
      <c r="P550" s="518">
        <v>0</v>
      </c>
      <c r="Q550" s="519"/>
      <c r="R550" s="516">
        <v>40</v>
      </c>
      <c r="S550" s="521">
        <v>2041796</v>
      </c>
      <c r="T550" s="521">
        <v>0</v>
      </c>
      <c r="U550" s="517"/>
      <c r="V550" s="342">
        <f t="shared" si="16"/>
        <v>-40</v>
      </c>
      <c r="W550" s="518">
        <f t="shared" si="17"/>
        <v>-2041796</v>
      </c>
      <c r="X550" s="257"/>
    </row>
    <row r="551" spans="1:24" x14ac:dyDescent="0.25">
      <c r="A551">
        <v>546</v>
      </c>
      <c r="B551" t="s">
        <v>547</v>
      </c>
      <c r="C551" t="s">
        <v>18</v>
      </c>
      <c r="D551" t="s">
        <v>16</v>
      </c>
      <c r="F551" s="520">
        <v>0</v>
      </c>
      <c r="G551" s="521">
        <v>0</v>
      </c>
      <c r="H551" s="521">
        <v>0</v>
      </c>
      <c r="I551" s="517"/>
      <c r="J551" s="520">
        <v>0</v>
      </c>
      <c r="K551" s="520">
        <v>0</v>
      </c>
      <c r="L551" s="520">
        <v>0</v>
      </c>
      <c r="M551" s="517"/>
      <c r="N551" s="542">
        <v>0</v>
      </c>
      <c r="O551" s="518">
        <v>0</v>
      </c>
      <c r="P551" s="518">
        <v>0</v>
      </c>
      <c r="Q551" s="519"/>
      <c r="R551" s="516">
        <v>28</v>
      </c>
      <c r="S551" s="521">
        <v>920144</v>
      </c>
      <c r="T551" s="521">
        <v>0</v>
      </c>
      <c r="U551" s="517"/>
      <c r="V551" s="342">
        <f t="shared" si="16"/>
        <v>-28</v>
      </c>
      <c r="W551" s="518">
        <f t="shared" si="17"/>
        <v>-920144</v>
      </c>
      <c r="X551" s="257"/>
    </row>
    <row r="552" spans="1:24" x14ac:dyDescent="0.25">
      <c r="A552">
        <v>547</v>
      </c>
      <c r="B552" t="s">
        <v>548</v>
      </c>
      <c r="C552" t="s">
        <v>18</v>
      </c>
      <c r="D552" t="s">
        <v>16</v>
      </c>
      <c r="F552" s="520">
        <v>0</v>
      </c>
      <c r="G552" s="521">
        <v>0</v>
      </c>
      <c r="H552" s="521">
        <v>0</v>
      </c>
      <c r="I552" s="517"/>
      <c r="J552" s="520">
        <v>0</v>
      </c>
      <c r="K552" s="520">
        <v>0</v>
      </c>
      <c r="L552" s="520">
        <v>0</v>
      </c>
      <c r="M552" s="517"/>
      <c r="N552" s="542">
        <v>0</v>
      </c>
      <c r="O552" s="518">
        <v>0</v>
      </c>
      <c r="P552" s="518">
        <v>0</v>
      </c>
      <c r="Q552" s="519"/>
      <c r="R552" s="516">
        <v>0</v>
      </c>
      <c r="S552" s="521">
        <v>0</v>
      </c>
      <c r="T552" s="521">
        <v>0</v>
      </c>
      <c r="U552" s="517"/>
      <c r="V552" s="342">
        <f t="shared" si="16"/>
        <v>0</v>
      </c>
      <c r="W552" s="518">
        <f t="shared" si="17"/>
        <v>0</v>
      </c>
      <c r="X552" s="257"/>
    </row>
    <row r="553" spans="1:24" x14ac:dyDescent="0.25">
      <c r="A553">
        <v>548</v>
      </c>
      <c r="B553" t="s">
        <v>549</v>
      </c>
      <c r="C553" t="s">
        <v>18</v>
      </c>
      <c r="D553" t="s">
        <v>16</v>
      </c>
      <c r="F553" s="520">
        <v>0</v>
      </c>
      <c r="G553" s="521">
        <v>0</v>
      </c>
      <c r="H553" s="521">
        <v>0</v>
      </c>
      <c r="I553" s="517"/>
      <c r="J553" s="520">
        <v>0</v>
      </c>
      <c r="K553" s="520">
        <v>0</v>
      </c>
      <c r="L553" s="520">
        <v>0</v>
      </c>
      <c r="M553" s="517"/>
      <c r="N553" s="542">
        <v>0</v>
      </c>
      <c r="O553" s="518">
        <v>0</v>
      </c>
      <c r="P553" s="518">
        <v>0</v>
      </c>
      <c r="Q553" s="519"/>
      <c r="R553" s="516">
        <v>0</v>
      </c>
      <c r="S553" s="521">
        <v>0</v>
      </c>
      <c r="T553" s="521">
        <v>0</v>
      </c>
      <c r="U553" s="517"/>
      <c r="V553" s="342">
        <f t="shared" si="16"/>
        <v>0</v>
      </c>
      <c r="W553" s="518">
        <f t="shared" si="17"/>
        <v>0</v>
      </c>
      <c r="X553" s="257"/>
    </row>
    <row r="554" spans="1:24" x14ac:dyDescent="0.25">
      <c r="A554">
        <v>549</v>
      </c>
      <c r="B554" t="s">
        <v>550</v>
      </c>
      <c r="C554" t="s">
        <v>18</v>
      </c>
      <c r="D554" t="s">
        <v>16</v>
      </c>
      <c r="F554" s="520">
        <v>0</v>
      </c>
      <c r="G554" s="521">
        <v>0</v>
      </c>
      <c r="H554" s="521">
        <v>0</v>
      </c>
      <c r="I554" s="517"/>
      <c r="J554" s="520">
        <v>0</v>
      </c>
      <c r="K554" s="520">
        <v>0</v>
      </c>
      <c r="L554" s="520">
        <v>0</v>
      </c>
      <c r="M554" s="517"/>
      <c r="N554" s="542">
        <v>0</v>
      </c>
      <c r="O554" s="518">
        <v>0</v>
      </c>
      <c r="P554" s="518">
        <v>0</v>
      </c>
      <c r="Q554" s="519"/>
      <c r="R554" s="516">
        <v>0</v>
      </c>
      <c r="S554" s="521">
        <v>0</v>
      </c>
      <c r="T554" s="521">
        <v>0</v>
      </c>
      <c r="U554" s="517"/>
      <c r="V554" s="342">
        <f t="shared" si="16"/>
        <v>0</v>
      </c>
      <c r="W554" s="518">
        <f t="shared" si="17"/>
        <v>0</v>
      </c>
      <c r="X554" s="257"/>
    </row>
    <row r="555" spans="1:24" x14ac:dyDescent="0.25">
      <c r="A555">
        <v>550</v>
      </c>
      <c r="B555" t="s">
        <v>551</v>
      </c>
      <c r="C555" t="s">
        <v>18</v>
      </c>
      <c r="D555" t="s">
        <v>16</v>
      </c>
      <c r="F555" s="520">
        <v>0</v>
      </c>
      <c r="G555" s="521">
        <v>0</v>
      </c>
      <c r="H555" s="521">
        <v>0</v>
      </c>
      <c r="I555" s="517"/>
      <c r="J555" s="520">
        <v>0</v>
      </c>
      <c r="K555" s="520">
        <v>0</v>
      </c>
      <c r="L555" s="520">
        <v>0</v>
      </c>
      <c r="M555" s="517"/>
      <c r="N555" s="542">
        <v>0</v>
      </c>
      <c r="O555" s="518">
        <v>0</v>
      </c>
      <c r="P555" s="518">
        <v>0</v>
      </c>
      <c r="Q555" s="519"/>
      <c r="R555" s="516">
        <v>1</v>
      </c>
      <c r="S555" s="521">
        <v>24000</v>
      </c>
      <c r="T555" s="521">
        <v>0</v>
      </c>
      <c r="U555" s="517"/>
      <c r="V555" s="342">
        <f t="shared" si="16"/>
        <v>-1</v>
      </c>
      <c r="W555" s="518">
        <f t="shared" si="17"/>
        <v>-24000</v>
      </c>
      <c r="X555" s="257"/>
    </row>
    <row r="556" spans="1:24" x14ac:dyDescent="0.25">
      <c r="A556">
        <v>551</v>
      </c>
      <c r="B556" t="s">
        <v>552</v>
      </c>
      <c r="C556" t="s">
        <v>18</v>
      </c>
      <c r="D556" t="s">
        <v>16</v>
      </c>
      <c r="F556" s="520">
        <v>0</v>
      </c>
      <c r="G556" s="521">
        <v>0</v>
      </c>
      <c r="H556" s="521">
        <v>0</v>
      </c>
      <c r="I556" s="517"/>
      <c r="J556" s="520">
        <v>0</v>
      </c>
      <c r="K556" s="520">
        <v>0</v>
      </c>
      <c r="L556" s="520">
        <v>0</v>
      </c>
      <c r="M556" s="517"/>
      <c r="N556" s="542">
        <v>0</v>
      </c>
      <c r="O556" s="518">
        <v>0</v>
      </c>
      <c r="P556" s="518">
        <v>0</v>
      </c>
      <c r="Q556" s="519"/>
      <c r="R556" s="516">
        <v>33</v>
      </c>
      <c r="S556" s="521">
        <v>668845.5</v>
      </c>
      <c r="T556" s="521">
        <v>0</v>
      </c>
      <c r="U556" s="517"/>
      <c r="V556" s="342">
        <f t="shared" si="16"/>
        <v>-33</v>
      </c>
      <c r="W556" s="518">
        <f t="shared" si="17"/>
        <v>-668845.5</v>
      </c>
      <c r="X556" s="257"/>
    </row>
    <row r="557" spans="1:24" x14ac:dyDescent="0.25">
      <c r="A557">
        <v>552</v>
      </c>
      <c r="B557" t="s">
        <v>553</v>
      </c>
      <c r="C557" t="s">
        <v>18</v>
      </c>
      <c r="D557" t="s">
        <v>16</v>
      </c>
      <c r="F557" s="520">
        <v>0</v>
      </c>
      <c r="G557" s="521">
        <v>0</v>
      </c>
      <c r="H557" s="521">
        <v>0</v>
      </c>
      <c r="I557" s="517"/>
      <c r="J557" s="520">
        <v>0</v>
      </c>
      <c r="K557" s="520">
        <v>0</v>
      </c>
      <c r="L557" s="520">
        <v>0</v>
      </c>
      <c r="M557" s="517"/>
      <c r="N557" s="542">
        <v>0</v>
      </c>
      <c r="O557" s="518">
        <v>0</v>
      </c>
      <c r="P557" s="518">
        <v>0</v>
      </c>
      <c r="Q557" s="519"/>
      <c r="R557" s="516">
        <v>8</v>
      </c>
      <c r="S557" s="521">
        <v>189180</v>
      </c>
      <c r="T557" s="521">
        <v>0</v>
      </c>
      <c r="U557" s="517"/>
      <c r="V557" s="342">
        <f t="shared" si="16"/>
        <v>-8</v>
      </c>
      <c r="W557" s="518">
        <f t="shared" si="17"/>
        <v>-189180</v>
      </c>
      <c r="X557" s="257"/>
    </row>
    <row r="558" spans="1:24" x14ac:dyDescent="0.25">
      <c r="A558">
        <v>553</v>
      </c>
      <c r="B558" t="s">
        <v>554</v>
      </c>
      <c r="C558" t="s">
        <v>18</v>
      </c>
      <c r="D558" t="s">
        <v>16</v>
      </c>
      <c r="F558" s="520">
        <v>0</v>
      </c>
      <c r="G558" s="521">
        <v>0</v>
      </c>
      <c r="H558" s="521">
        <v>0</v>
      </c>
      <c r="I558" s="517"/>
      <c r="J558" s="520">
        <v>0</v>
      </c>
      <c r="K558" s="520">
        <v>0</v>
      </c>
      <c r="L558" s="520">
        <v>0</v>
      </c>
      <c r="M558" s="517"/>
      <c r="N558" s="542">
        <v>0</v>
      </c>
      <c r="O558" s="518">
        <v>0</v>
      </c>
      <c r="P558" s="518">
        <v>0</v>
      </c>
      <c r="Q558" s="519"/>
      <c r="R558" s="516">
        <v>3</v>
      </c>
      <c r="S558" s="521">
        <v>35355</v>
      </c>
      <c r="T558" s="521">
        <v>0</v>
      </c>
      <c r="U558" s="517"/>
      <c r="V558" s="342">
        <f t="shared" si="16"/>
        <v>-3</v>
      </c>
      <c r="W558" s="518">
        <f t="shared" si="17"/>
        <v>-35355</v>
      </c>
      <c r="X558" s="257"/>
    </row>
    <row r="559" spans="1:24" x14ac:dyDescent="0.25">
      <c r="A559">
        <v>554</v>
      </c>
      <c r="B559" t="s">
        <v>555</v>
      </c>
      <c r="C559" t="s">
        <v>18</v>
      </c>
      <c r="D559" t="s">
        <v>16</v>
      </c>
      <c r="F559" s="520">
        <v>0</v>
      </c>
      <c r="G559" s="521">
        <v>0</v>
      </c>
      <c r="H559" s="521">
        <v>0</v>
      </c>
      <c r="I559" s="517"/>
      <c r="J559" s="520">
        <v>0</v>
      </c>
      <c r="K559" s="520">
        <v>0</v>
      </c>
      <c r="L559" s="520">
        <v>0</v>
      </c>
      <c r="M559" s="517"/>
      <c r="N559" s="542">
        <v>0</v>
      </c>
      <c r="O559" s="518">
        <v>0</v>
      </c>
      <c r="P559" s="518">
        <v>0</v>
      </c>
      <c r="Q559" s="519"/>
      <c r="R559" s="516">
        <v>50</v>
      </c>
      <c r="S559" s="521">
        <v>1511751.5</v>
      </c>
      <c r="T559" s="521">
        <v>0</v>
      </c>
      <c r="U559" s="517"/>
      <c r="V559" s="342">
        <f t="shared" si="16"/>
        <v>-50</v>
      </c>
      <c r="W559" s="518">
        <f t="shared" si="17"/>
        <v>-1511751.5</v>
      </c>
      <c r="X559" s="257"/>
    </row>
    <row r="560" spans="1:24" x14ac:dyDescent="0.25">
      <c r="A560">
        <v>555</v>
      </c>
      <c r="B560" t="s">
        <v>556</v>
      </c>
      <c r="C560" t="s">
        <v>18</v>
      </c>
      <c r="D560" t="s">
        <v>16</v>
      </c>
      <c r="F560" s="520">
        <v>0</v>
      </c>
      <c r="G560" s="521">
        <v>0</v>
      </c>
      <c r="H560" s="521">
        <v>0</v>
      </c>
      <c r="I560" s="517"/>
      <c r="J560" s="520">
        <v>0</v>
      </c>
      <c r="K560" s="520">
        <v>0</v>
      </c>
      <c r="L560" s="520">
        <v>0</v>
      </c>
      <c r="M560" s="517"/>
      <c r="N560" s="542">
        <v>0</v>
      </c>
      <c r="O560" s="518">
        <v>0</v>
      </c>
      <c r="P560" s="518">
        <v>0</v>
      </c>
      <c r="Q560" s="519"/>
      <c r="R560" s="516">
        <v>5</v>
      </c>
      <c r="S560" s="521">
        <v>217230</v>
      </c>
      <c r="T560" s="521">
        <v>0</v>
      </c>
      <c r="U560" s="517"/>
      <c r="V560" s="342">
        <f t="shared" si="16"/>
        <v>-5</v>
      </c>
      <c r="W560" s="518">
        <f t="shared" si="17"/>
        <v>-217230</v>
      </c>
      <c r="X560" s="257"/>
    </row>
    <row r="561" spans="1:24" x14ac:dyDescent="0.25">
      <c r="A561">
        <v>556</v>
      </c>
      <c r="B561" t="s">
        <v>557</v>
      </c>
      <c r="C561" t="s">
        <v>18</v>
      </c>
      <c r="D561" t="s">
        <v>16</v>
      </c>
      <c r="F561" s="520">
        <v>0</v>
      </c>
      <c r="G561" s="521">
        <v>0</v>
      </c>
      <c r="H561" s="521">
        <v>0</v>
      </c>
      <c r="I561" s="517"/>
      <c r="J561" s="520">
        <v>0</v>
      </c>
      <c r="K561" s="520">
        <v>0</v>
      </c>
      <c r="L561" s="520">
        <v>0</v>
      </c>
      <c r="M561" s="517"/>
      <c r="N561" s="542">
        <v>0</v>
      </c>
      <c r="O561" s="518">
        <v>0</v>
      </c>
      <c r="P561" s="518">
        <v>0</v>
      </c>
      <c r="Q561" s="519"/>
      <c r="R561" s="516">
        <v>3</v>
      </c>
      <c r="S561" s="521">
        <v>108745</v>
      </c>
      <c r="T561" s="521">
        <v>0</v>
      </c>
      <c r="U561" s="517"/>
      <c r="V561" s="342">
        <f t="shared" si="16"/>
        <v>-3</v>
      </c>
      <c r="W561" s="518">
        <f t="shared" si="17"/>
        <v>-108745</v>
      </c>
      <c r="X561" s="257"/>
    </row>
    <row r="562" spans="1:24" x14ac:dyDescent="0.25">
      <c r="A562">
        <v>557</v>
      </c>
      <c r="B562" t="s">
        <v>558</v>
      </c>
      <c r="C562" t="s">
        <v>18</v>
      </c>
      <c r="D562" t="s">
        <v>16</v>
      </c>
      <c r="F562" s="520">
        <v>0</v>
      </c>
      <c r="G562" s="521">
        <v>0</v>
      </c>
      <c r="H562" s="521">
        <v>0</v>
      </c>
      <c r="I562" s="517"/>
      <c r="J562" s="520">
        <v>0</v>
      </c>
      <c r="K562" s="520">
        <v>0</v>
      </c>
      <c r="L562" s="520">
        <v>0</v>
      </c>
      <c r="M562" s="517"/>
      <c r="N562" s="542">
        <v>0</v>
      </c>
      <c r="O562" s="518">
        <v>0</v>
      </c>
      <c r="P562" s="518">
        <v>0</v>
      </c>
      <c r="Q562" s="519"/>
      <c r="R562" s="516">
        <v>0</v>
      </c>
      <c r="S562" s="521">
        <v>0</v>
      </c>
      <c r="T562" s="521">
        <v>0</v>
      </c>
      <c r="U562" s="517"/>
      <c r="V562" s="342">
        <f t="shared" si="16"/>
        <v>0</v>
      </c>
      <c r="W562" s="518">
        <f t="shared" si="17"/>
        <v>0</v>
      </c>
      <c r="X562" s="257"/>
    </row>
    <row r="563" spans="1:24" x14ac:dyDescent="0.25">
      <c r="A563">
        <v>558</v>
      </c>
      <c r="B563" t="s">
        <v>559</v>
      </c>
      <c r="C563" t="s">
        <v>18</v>
      </c>
      <c r="D563" t="s">
        <v>16</v>
      </c>
      <c r="F563" s="520">
        <v>0</v>
      </c>
      <c r="G563" s="521">
        <v>0</v>
      </c>
      <c r="H563" s="521">
        <v>0</v>
      </c>
      <c r="I563" s="517"/>
      <c r="J563" s="520">
        <v>0</v>
      </c>
      <c r="K563" s="520">
        <v>0</v>
      </c>
      <c r="L563" s="520">
        <v>0</v>
      </c>
      <c r="M563" s="517"/>
      <c r="N563" s="542">
        <v>0</v>
      </c>
      <c r="O563" s="518">
        <v>0</v>
      </c>
      <c r="P563" s="518">
        <v>0</v>
      </c>
      <c r="Q563" s="519"/>
      <c r="R563" s="516">
        <v>0</v>
      </c>
      <c r="S563" s="521">
        <v>0</v>
      </c>
      <c r="T563" s="521">
        <v>0</v>
      </c>
      <c r="U563" s="517"/>
      <c r="V563" s="342">
        <f t="shared" si="16"/>
        <v>0</v>
      </c>
      <c r="W563" s="518">
        <f t="shared" si="17"/>
        <v>0</v>
      </c>
      <c r="X563" s="257"/>
    </row>
    <row r="564" spans="1:24" x14ac:dyDescent="0.25">
      <c r="A564">
        <v>559</v>
      </c>
      <c r="B564" t="s">
        <v>560</v>
      </c>
      <c r="C564" t="s">
        <v>18</v>
      </c>
      <c r="D564" t="s">
        <v>16</v>
      </c>
      <c r="F564" s="520">
        <v>0</v>
      </c>
      <c r="G564" s="521">
        <v>0</v>
      </c>
      <c r="H564" s="521">
        <v>0</v>
      </c>
      <c r="I564" s="517"/>
      <c r="J564" s="520">
        <v>0</v>
      </c>
      <c r="K564" s="520">
        <v>0</v>
      </c>
      <c r="L564" s="520">
        <v>0</v>
      </c>
      <c r="M564" s="517"/>
      <c r="N564" s="542">
        <v>0</v>
      </c>
      <c r="O564" s="518">
        <v>0</v>
      </c>
      <c r="P564" s="518">
        <v>0</v>
      </c>
      <c r="Q564" s="519"/>
      <c r="R564" s="516">
        <v>72</v>
      </c>
      <c r="S564" s="521">
        <v>1717023.25</v>
      </c>
      <c r="T564" s="521">
        <v>2500</v>
      </c>
      <c r="U564" s="517"/>
      <c r="V564" s="342">
        <f t="shared" si="16"/>
        <v>-72</v>
      </c>
      <c r="W564" s="518">
        <f t="shared" si="17"/>
        <v>-1719523.25</v>
      </c>
      <c r="X564" s="257"/>
    </row>
    <row r="565" spans="1:24" x14ac:dyDescent="0.25">
      <c r="A565">
        <v>560</v>
      </c>
      <c r="B565" t="s">
        <v>561</v>
      </c>
      <c r="C565" t="s">
        <v>18</v>
      </c>
      <c r="D565" t="s">
        <v>16</v>
      </c>
      <c r="F565" s="520">
        <v>0</v>
      </c>
      <c r="G565" s="521">
        <v>0</v>
      </c>
      <c r="H565" s="521">
        <v>0</v>
      </c>
      <c r="I565" s="517"/>
      <c r="J565" s="520">
        <v>0</v>
      </c>
      <c r="K565" s="520">
        <v>0</v>
      </c>
      <c r="L565" s="520">
        <v>0</v>
      </c>
      <c r="M565" s="517"/>
      <c r="N565" s="542">
        <v>0</v>
      </c>
      <c r="O565" s="518">
        <v>0</v>
      </c>
      <c r="P565" s="518">
        <v>0</v>
      </c>
      <c r="Q565" s="519"/>
      <c r="R565" s="516">
        <v>1</v>
      </c>
      <c r="S565" s="521">
        <v>4501.21</v>
      </c>
      <c r="T565" s="521">
        <v>0</v>
      </c>
      <c r="U565" s="517"/>
      <c r="V565" s="342">
        <f t="shared" si="16"/>
        <v>-1</v>
      </c>
      <c r="W565" s="518">
        <f t="shared" si="17"/>
        <v>-4501.21</v>
      </c>
      <c r="X565" s="257"/>
    </row>
    <row r="566" spans="1:24" x14ac:dyDescent="0.25">
      <c r="A566">
        <v>561</v>
      </c>
      <c r="B566" t="s">
        <v>562</v>
      </c>
      <c r="C566" t="s">
        <v>18</v>
      </c>
      <c r="D566" t="s">
        <v>16</v>
      </c>
      <c r="F566" s="520">
        <v>0</v>
      </c>
      <c r="G566" s="521">
        <v>0</v>
      </c>
      <c r="H566" s="521">
        <v>0</v>
      </c>
      <c r="I566" s="517"/>
      <c r="J566" s="520">
        <v>0</v>
      </c>
      <c r="K566" s="520">
        <v>0</v>
      </c>
      <c r="L566" s="520">
        <v>0</v>
      </c>
      <c r="M566" s="517"/>
      <c r="N566" s="542">
        <v>0</v>
      </c>
      <c r="O566" s="518">
        <v>0</v>
      </c>
      <c r="P566" s="518">
        <v>0</v>
      </c>
      <c r="Q566" s="519"/>
      <c r="R566" s="516">
        <v>0</v>
      </c>
      <c r="S566" s="521">
        <v>0</v>
      </c>
      <c r="T566" s="521">
        <v>0</v>
      </c>
      <c r="U566" s="517"/>
      <c r="V566" s="342">
        <f t="shared" si="16"/>
        <v>0</v>
      </c>
      <c r="W566" s="518">
        <f t="shared" si="17"/>
        <v>0</v>
      </c>
      <c r="X566" s="257"/>
    </row>
    <row r="567" spans="1:24" x14ac:dyDescent="0.25">
      <c r="A567">
        <v>562</v>
      </c>
      <c r="B567" t="s">
        <v>563</v>
      </c>
      <c r="C567" t="s">
        <v>18</v>
      </c>
      <c r="D567" t="s">
        <v>16</v>
      </c>
      <c r="F567" s="520">
        <v>0</v>
      </c>
      <c r="G567" s="521">
        <v>0</v>
      </c>
      <c r="H567" s="521">
        <v>0</v>
      </c>
      <c r="I567" s="517"/>
      <c r="J567" s="520">
        <v>0</v>
      </c>
      <c r="K567" s="520">
        <v>0</v>
      </c>
      <c r="L567" s="520">
        <v>0</v>
      </c>
      <c r="M567" s="517"/>
      <c r="N567" s="542">
        <v>0</v>
      </c>
      <c r="O567" s="518">
        <v>0</v>
      </c>
      <c r="P567" s="518">
        <v>0</v>
      </c>
      <c r="Q567" s="519"/>
      <c r="R567" s="516">
        <v>62</v>
      </c>
      <c r="S567" s="521">
        <v>5117497.57</v>
      </c>
      <c r="T567" s="521">
        <v>1920</v>
      </c>
      <c r="U567" s="517"/>
      <c r="V567" s="342">
        <f t="shared" si="16"/>
        <v>-62</v>
      </c>
      <c r="W567" s="518">
        <f t="shared" si="17"/>
        <v>-5119417.57</v>
      </c>
      <c r="X567" s="257"/>
    </row>
    <row r="568" spans="1:24" x14ac:dyDescent="0.25">
      <c r="A568">
        <v>563</v>
      </c>
      <c r="B568" t="s">
        <v>564</v>
      </c>
      <c r="C568" t="s">
        <v>18</v>
      </c>
      <c r="D568" t="s">
        <v>16</v>
      </c>
      <c r="F568" s="520">
        <v>0</v>
      </c>
      <c r="G568" s="521">
        <v>0</v>
      </c>
      <c r="H568" s="521">
        <v>0</v>
      </c>
      <c r="I568" s="517"/>
      <c r="J568" s="520">
        <v>0</v>
      </c>
      <c r="K568" s="520">
        <v>0</v>
      </c>
      <c r="L568" s="520">
        <v>0</v>
      </c>
      <c r="M568" s="517"/>
      <c r="N568" s="542">
        <v>0</v>
      </c>
      <c r="O568" s="518">
        <v>0</v>
      </c>
      <c r="P568" s="518">
        <v>0</v>
      </c>
      <c r="Q568" s="519"/>
      <c r="R568" s="516">
        <v>38</v>
      </c>
      <c r="S568" s="521">
        <v>2447011.7999999998</v>
      </c>
      <c r="T568" s="521">
        <v>1160</v>
      </c>
      <c r="U568" s="517"/>
      <c r="V568" s="342">
        <f t="shared" si="16"/>
        <v>-38</v>
      </c>
      <c r="W568" s="518">
        <f t="shared" si="17"/>
        <v>-2448171.7999999998</v>
      </c>
      <c r="X568" s="257"/>
    </row>
    <row r="569" spans="1:24" x14ac:dyDescent="0.25">
      <c r="A569">
        <v>564</v>
      </c>
      <c r="B569" t="s">
        <v>565</v>
      </c>
      <c r="C569" t="s">
        <v>18</v>
      </c>
      <c r="D569" t="s">
        <v>16</v>
      </c>
      <c r="F569" s="520">
        <v>0</v>
      </c>
      <c r="G569" s="521">
        <v>0</v>
      </c>
      <c r="H569" s="521">
        <v>0</v>
      </c>
      <c r="I569" s="517"/>
      <c r="J569" s="520">
        <v>0</v>
      </c>
      <c r="K569" s="520">
        <v>0</v>
      </c>
      <c r="L569" s="520">
        <v>0</v>
      </c>
      <c r="M569" s="517"/>
      <c r="N569" s="542">
        <v>0</v>
      </c>
      <c r="O569" s="518">
        <v>0</v>
      </c>
      <c r="P569" s="518">
        <v>0</v>
      </c>
      <c r="Q569" s="519"/>
      <c r="R569" s="516">
        <v>11</v>
      </c>
      <c r="S569" s="521">
        <v>91317.48</v>
      </c>
      <c r="T569" s="521">
        <v>0</v>
      </c>
      <c r="U569" s="517"/>
      <c r="V569" s="342">
        <f t="shared" si="16"/>
        <v>-11</v>
      </c>
      <c r="W569" s="518">
        <f t="shared" si="17"/>
        <v>-91317.48</v>
      </c>
      <c r="X569" s="257"/>
    </row>
    <row r="570" spans="1:24" x14ac:dyDescent="0.25">
      <c r="A570">
        <v>565</v>
      </c>
      <c r="B570" t="s">
        <v>566</v>
      </c>
      <c r="C570" t="s">
        <v>18</v>
      </c>
      <c r="D570" t="s">
        <v>16</v>
      </c>
      <c r="F570" s="520">
        <v>0</v>
      </c>
      <c r="G570" s="521">
        <v>0</v>
      </c>
      <c r="H570" s="521">
        <v>0</v>
      </c>
      <c r="I570" s="517"/>
      <c r="J570" s="520">
        <v>0</v>
      </c>
      <c r="K570" s="520">
        <v>0</v>
      </c>
      <c r="L570" s="520">
        <v>0</v>
      </c>
      <c r="M570" s="517"/>
      <c r="N570" s="542">
        <v>0</v>
      </c>
      <c r="O570" s="518">
        <v>0</v>
      </c>
      <c r="P570" s="518">
        <v>0</v>
      </c>
      <c r="Q570" s="519"/>
      <c r="R570" s="520">
        <v>37</v>
      </c>
      <c r="S570" s="521">
        <v>497859.2</v>
      </c>
      <c r="T570" s="521">
        <v>1110</v>
      </c>
      <c r="U570" s="517"/>
      <c r="V570" s="342">
        <f t="shared" si="16"/>
        <v>-37</v>
      </c>
      <c r="W570" s="518">
        <f t="shared" si="17"/>
        <v>-498969.2</v>
      </c>
      <c r="X570" s="257"/>
    </row>
    <row r="571" spans="1:24" x14ac:dyDescent="0.25">
      <c r="A571">
        <v>566</v>
      </c>
      <c r="B571" t="s">
        <v>567</v>
      </c>
      <c r="C571" t="s">
        <v>18</v>
      </c>
      <c r="D571" t="s">
        <v>16</v>
      </c>
      <c r="F571" s="520">
        <v>0</v>
      </c>
      <c r="G571" s="521">
        <v>0</v>
      </c>
      <c r="H571" s="521">
        <v>0</v>
      </c>
      <c r="I571" s="517"/>
      <c r="J571" s="520">
        <v>0</v>
      </c>
      <c r="K571" s="520">
        <v>0</v>
      </c>
      <c r="L571" s="520">
        <v>0</v>
      </c>
      <c r="M571" s="517"/>
      <c r="N571" s="542">
        <v>0</v>
      </c>
      <c r="O571" s="518">
        <v>0</v>
      </c>
      <c r="P571" s="518">
        <v>0</v>
      </c>
      <c r="Q571" s="519"/>
      <c r="R571" s="516">
        <v>5</v>
      </c>
      <c r="S571" s="521">
        <v>128461</v>
      </c>
      <c r="T571" s="521">
        <v>0</v>
      </c>
      <c r="U571" s="517"/>
      <c r="V571" s="342">
        <f t="shared" si="16"/>
        <v>-5</v>
      </c>
      <c r="W571" s="518">
        <f t="shared" si="17"/>
        <v>-128461</v>
      </c>
      <c r="X571" s="257"/>
    </row>
    <row r="572" spans="1:24" x14ac:dyDescent="0.25">
      <c r="A572">
        <v>567</v>
      </c>
      <c r="B572" t="s">
        <v>568</v>
      </c>
      <c r="C572" t="s">
        <v>18</v>
      </c>
      <c r="D572" t="s">
        <v>16</v>
      </c>
      <c r="F572" s="520">
        <v>0</v>
      </c>
      <c r="G572" s="521">
        <v>0</v>
      </c>
      <c r="H572" s="521">
        <v>0</v>
      </c>
      <c r="I572" s="517"/>
      <c r="J572" s="520">
        <v>0</v>
      </c>
      <c r="K572" s="520">
        <v>0</v>
      </c>
      <c r="L572" s="520">
        <v>0</v>
      </c>
      <c r="M572" s="517"/>
      <c r="N572" s="542">
        <v>0</v>
      </c>
      <c r="O572" s="518">
        <v>0</v>
      </c>
      <c r="P572" s="518">
        <v>0</v>
      </c>
      <c r="Q572" s="519"/>
      <c r="R572" s="516">
        <v>9</v>
      </c>
      <c r="S572" s="521">
        <v>243494.37</v>
      </c>
      <c r="T572" s="521">
        <v>0</v>
      </c>
      <c r="U572" s="517"/>
      <c r="V572" s="342">
        <f t="shared" si="16"/>
        <v>-9</v>
      </c>
      <c r="W572" s="518">
        <f t="shared" si="17"/>
        <v>-243494.37</v>
      </c>
      <c r="X572" s="257"/>
    </row>
    <row r="573" spans="1:24" x14ac:dyDescent="0.25">
      <c r="A573">
        <v>568</v>
      </c>
      <c r="B573" t="s">
        <v>569</v>
      </c>
      <c r="C573" t="s">
        <v>18</v>
      </c>
      <c r="D573" t="s">
        <v>16</v>
      </c>
      <c r="F573" s="520">
        <v>0</v>
      </c>
      <c r="G573" s="521">
        <v>0</v>
      </c>
      <c r="H573" s="521">
        <v>0</v>
      </c>
      <c r="I573" s="517"/>
      <c r="J573" s="520">
        <v>0</v>
      </c>
      <c r="K573" s="520">
        <v>0</v>
      </c>
      <c r="L573" s="520">
        <v>0</v>
      </c>
      <c r="M573" s="517"/>
      <c r="N573" s="542">
        <v>0</v>
      </c>
      <c r="O573" s="518">
        <v>0</v>
      </c>
      <c r="P573" s="518">
        <v>0</v>
      </c>
      <c r="Q573" s="519"/>
      <c r="R573" s="516">
        <v>0</v>
      </c>
      <c r="S573" s="521">
        <v>0</v>
      </c>
      <c r="T573" s="521">
        <v>0</v>
      </c>
      <c r="U573" s="517"/>
      <c r="V573" s="342">
        <f t="shared" si="16"/>
        <v>0</v>
      </c>
      <c r="W573" s="518">
        <f t="shared" si="17"/>
        <v>0</v>
      </c>
      <c r="X573" s="257"/>
    </row>
    <row r="574" spans="1:24" x14ac:dyDescent="0.25">
      <c r="A574">
        <v>569</v>
      </c>
      <c r="B574" t="s">
        <v>570</v>
      </c>
      <c r="C574" t="s">
        <v>18</v>
      </c>
      <c r="D574" t="s">
        <v>16</v>
      </c>
      <c r="F574" s="520">
        <v>0</v>
      </c>
      <c r="G574" s="521">
        <v>0</v>
      </c>
      <c r="H574" s="521">
        <v>0</v>
      </c>
      <c r="I574" s="517"/>
      <c r="J574" s="520">
        <v>0</v>
      </c>
      <c r="K574" s="520">
        <v>0</v>
      </c>
      <c r="L574" s="520">
        <v>0</v>
      </c>
      <c r="M574" s="517"/>
      <c r="N574" s="542">
        <v>0</v>
      </c>
      <c r="O574" s="518">
        <v>0</v>
      </c>
      <c r="P574" s="518">
        <v>0</v>
      </c>
      <c r="Q574" s="519"/>
      <c r="R574" s="516">
        <v>231</v>
      </c>
      <c r="S574" s="521">
        <v>222216.62</v>
      </c>
      <c r="T574" s="521">
        <v>0</v>
      </c>
      <c r="U574" s="517"/>
      <c r="V574" s="342">
        <f t="shared" si="16"/>
        <v>-231</v>
      </c>
      <c r="W574" s="518">
        <f t="shared" si="17"/>
        <v>-222216.62</v>
      </c>
      <c r="X574" s="257"/>
    </row>
    <row r="575" spans="1:24" x14ac:dyDescent="0.25">
      <c r="A575">
        <v>570</v>
      </c>
      <c r="B575" t="s">
        <v>571</v>
      </c>
      <c r="C575" t="s">
        <v>18</v>
      </c>
      <c r="D575" t="s">
        <v>16</v>
      </c>
      <c r="F575" s="520">
        <v>0</v>
      </c>
      <c r="G575" s="521">
        <v>0</v>
      </c>
      <c r="H575" s="521">
        <v>0</v>
      </c>
      <c r="I575" s="517"/>
      <c r="J575" s="520">
        <v>0</v>
      </c>
      <c r="K575" s="520">
        <v>0</v>
      </c>
      <c r="L575" s="520">
        <v>0</v>
      </c>
      <c r="M575" s="517"/>
      <c r="N575" s="542">
        <v>0</v>
      </c>
      <c r="O575" s="518">
        <v>0</v>
      </c>
      <c r="P575" s="518">
        <v>0</v>
      </c>
      <c r="Q575" s="519"/>
      <c r="R575" s="516">
        <v>1</v>
      </c>
      <c r="S575" s="521">
        <v>479.83</v>
      </c>
      <c r="T575" s="521">
        <v>0</v>
      </c>
      <c r="U575" s="517"/>
      <c r="V575" s="342">
        <f t="shared" si="16"/>
        <v>-1</v>
      </c>
      <c r="W575" s="518">
        <f t="shared" si="17"/>
        <v>-479.83</v>
      </c>
      <c r="X575" s="257"/>
    </row>
    <row r="576" spans="1:24" x14ac:dyDescent="0.25">
      <c r="A576">
        <v>571</v>
      </c>
      <c r="B576" t="s">
        <v>572</v>
      </c>
      <c r="C576" t="s">
        <v>18</v>
      </c>
      <c r="D576" t="s">
        <v>16</v>
      </c>
      <c r="F576" s="520">
        <v>0</v>
      </c>
      <c r="G576" s="521">
        <v>0</v>
      </c>
      <c r="H576" s="521">
        <v>0</v>
      </c>
      <c r="I576" s="517"/>
      <c r="J576" s="520">
        <v>0</v>
      </c>
      <c r="K576" s="520">
        <v>0</v>
      </c>
      <c r="L576" s="520">
        <v>0</v>
      </c>
      <c r="M576" s="517"/>
      <c r="N576" s="542">
        <v>0</v>
      </c>
      <c r="O576" s="518">
        <v>0</v>
      </c>
      <c r="P576" s="518">
        <v>0</v>
      </c>
      <c r="Q576" s="519"/>
      <c r="R576" s="516">
        <v>0</v>
      </c>
      <c r="S576" s="521">
        <v>0</v>
      </c>
      <c r="T576" s="521">
        <v>0</v>
      </c>
      <c r="U576" s="517"/>
      <c r="V576" s="342">
        <f t="shared" si="16"/>
        <v>0</v>
      </c>
      <c r="W576" s="518">
        <f t="shared" si="17"/>
        <v>0</v>
      </c>
      <c r="X576" s="257"/>
    </row>
    <row r="577" spans="1:24" x14ac:dyDescent="0.25">
      <c r="A577">
        <v>572</v>
      </c>
      <c r="B577" t="s">
        <v>573</v>
      </c>
      <c r="C577" t="s">
        <v>24</v>
      </c>
      <c r="D577" t="s">
        <v>16</v>
      </c>
      <c r="F577" s="520">
        <v>25</v>
      </c>
      <c r="G577" s="521">
        <v>128097.58</v>
      </c>
      <c r="H577" s="521">
        <v>385</v>
      </c>
      <c r="I577" s="517"/>
      <c r="J577" s="520">
        <v>0</v>
      </c>
      <c r="K577" s="520">
        <v>0</v>
      </c>
      <c r="L577" s="520">
        <v>0</v>
      </c>
      <c r="M577" s="517"/>
      <c r="N577" s="542">
        <v>25</v>
      </c>
      <c r="O577" s="518">
        <v>128097.58</v>
      </c>
      <c r="P577" s="518">
        <v>385</v>
      </c>
      <c r="Q577" s="519"/>
      <c r="R577" s="516">
        <v>1</v>
      </c>
      <c r="S577" s="521">
        <v>5316</v>
      </c>
      <c r="T577" s="521">
        <v>0</v>
      </c>
      <c r="U577" s="517"/>
      <c r="V577" s="342">
        <f t="shared" si="16"/>
        <v>24</v>
      </c>
      <c r="W577" s="518">
        <f t="shared" si="17"/>
        <v>122781.58</v>
      </c>
      <c r="X577" s="257"/>
    </row>
    <row r="578" spans="1:24" x14ac:dyDescent="0.25">
      <c r="A578">
        <v>573</v>
      </c>
      <c r="B578" t="s">
        <v>574</v>
      </c>
      <c r="C578" t="s">
        <v>18</v>
      </c>
      <c r="D578" t="s">
        <v>16</v>
      </c>
      <c r="F578" s="520">
        <v>2</v>
      </c>
      <c r="G578" s="521">
        <v>6473</v>
      </c>
      <c r="H578" s="521">
        <v>100</v>
      </c>
      <c r="I578" s="517"/>
      <c r="J578" s="520">
        <v>0</v>
      </c>
      <c r="K578" s="520">
        <v>0</v>
      </c>
      <c r="L578" s="520">
        <v>0</v>
      </c>
      <c r="M578" s="517"/>
      <c r="N578" s="542">
        <v>2</v>
      </c>
      <c r="O578" s="518">
        <v>6473</v>
      </c>
      <c r="P578" s="518">
        <v>100</v>
      </c>
      <c r="Q578" s="519"/>
      <c r="R578" s="516">
        <v>0</v>
      </c>
      <c r="S578" s="521">
        <v>0</v>
      </c>
      <c r="T578" s="521">
        <v>0</v>
      </c>
      <c r="U578" s="517"/>
      <c r="V578" s="342">
        <f t="shared" si="16"/>
        <v>2</v>
      </c>
      <c r="W578" s="518">
        <f t="shared" si="17"/>
        <v>6473</v>
      </c>
      <c r="X578" s="257"/>
    </row>
    <row r="579" spans="1:24" x14ac:dyDescent="0.25">
      <c r="A579">
        <v>574</v>
      </c>
      <c r="B579" t="s">
        <v>575</v>
      </c>
      <c r="C579" t="s">
        <v>18</v>
      </c>
      <c r="D579" t="s">
        <v>20</v>
      </c>
      <c r="F579" s="520">
        <v>0</v>
      </c>
      <c r="G579" s="521">
        <v>0</v>
      </c>
      <c r="H579" s="521">
        <v>0</v>
      </c>
      <c r="I579" s="517"/>
      <c r="J579" s="520">
        <v>0</v>
      </c>
      <c r="K579" s="520">
        <v>0</v>
      </c>
      <c r="L579" s="520">
        <v>0</v>
      </c>
      <c r="M579" s="517"/>
      <c r="N579" s="542">
        <v>0</v>
      </c>
      <c r="O579" s="518">
        <v>0</v>
      </c>
      <c r="P579" s="518">
        <v>0</v>
      </c>
      <c r="Q579" s="519"/>
      <c r="R579" s="516">
        <v>1</v>
      </c>
      <c r="S579" s="521">
        <v>660</v>
      </c>
      <c r="T579" s="521">
        <v>0</v>
      </c>
      <c r="U579" s="517"/>
      <c r="V579" s="342">
        <f t="shared" si="16"/>
        <v>-1</v>
      </c>
      <c r="W579" s="518">
        <f t="shared" si="17"/>
        <v>-660</v>
      </c>
      <c r="X579" s="257"/>
    </row>
    <row r="580" spans="1:24" x14ac:dyDescent="0.25">
      <c r="A580">
        <v>575</v>
      </c>
      <c r="B580" t="s">
        <v>3305</v>
      </c>
      <c r="C580" t="s">
        <v>355</v>
      </c>
      <c r="D580" t="s">
        <v>16</v>
      </c>
      <c r="F580" s="520">
        <v>0</v>
      </c>
      <c r="G580" s="521">
        <v>0</v>
      </c>
      <c r="H580" s="521">
        <v>0</v>
      </c>
      <c r="I580" s="517"/>
      <c r="J580" s="520">
        <v>0</v>
      </c>
      <c r="K580" s="520">
        <v>0</v>
      </c>
      <c r="L580" s="520">
        <v>0</v>
      </c>
      <c r="M580" s="517"/>
      <c r="N580" s="542">
        <v>0</v>
      </c>
      <c r="O580" s="518">
        <v>0</v>
      </c>
      <c r="P580" s="518">
        <v>0</v>
      </c>
      <c r="Q580" s="519"/>
      <c r="R580" s="516">
        <v>11</v>
      </c>
      <c r="S580" s="521">
        <v>128392</v>
      </c>
      <c r="T580" s="521">
        <v>0</v>
      </c>
      <c r="U580" s="517"/>
      <c r="V580" s="342">
        <f t="shared" si="16"/>
        <v>-11</v>
      </c>
      <c r="W580" s="518">
        <f t="shared" si="17"/>
        <v>-128392</v>
      </c>
      <c r="X580" s="257"/>
    </row>
    <row r="581" spans="1:24" x14ac:dyDescent="0.25">
      <c r="A581">
        <v>576</v>
      </c>
      <c r="B581" t="s">
        <v>576</v>
      </c>
      <c r="C581" t="s">
        <v>90</v>
      </c>
      <c r="D581" t="s">
        <v>20</v>
      </c>
      <c r="F581" s="520">
        <v>0</v>
      </c>
      <c r="G581" s="521">
        <v>0</v>
      </c>
      <c r="H581" s="521">
        <v>0</v>
      </c>
      <c r="I581" s="517"/>
      <c r="J581" s="520">
        <v>0</v>
      </c>
      <c r="K581" s="520">
        <v>0</v>
      </c>
      <c r="L581" s="520">
        <v>0</v>
      </c>
      <c r="M581" s="517"/>
      <c r="N581" s="542">
        <v>0</v>
      </c>
      <c r="O581" s="518">
        <v>0</v>
      </c>
      <c r="P581" s="518">
        <v>0</v>
      </c>
      <c r="Q581" s="519"/>
      <c r="R581" s="516">
        <v>34</v>
      </c>
      <c r="S581" s="521">
        <v>596065.06999999995</v>
      </c>
      <c r="T581" s="521">
        <v>1700</v>
      </c>
      <c r="U581" s="517"/>
      <c r="V581" s="342">
        <f t="shared" si="16"/>
        <v>-34</v>
      </c>
      <c r="W581" s="518">
        <f t="shared" si="17"/>
        <v>-597765.06999999995</v>
      </c>
      <c r="X581" s="257"/>
    </row>
    <row r="582" spans="1:24" x14ac:dyDescent="0.25">
      <c r="A582">
        <v>577</v>
      </c>
      <c r="B582" t="s">
        <v>577</v>
      </c>
      <c r="C582" t="s">
        <v>25</v>
      </c>
      <c r="D582" t="s">
        <v>16</v>
      </c>
      <c r="F582" s="520">
        <v>36</v>
      </c>
      <c r="G582" s="521">
        <v>49313.29</v>
      </c>
      <c r="H582" s="521">
        <v>288</v>
      </c>
      <c r="I582" s="517"/>
      <c r="J582" s="520">
        <v>0</v>
      </c>
      <c r="K582" s="520">
        <v>0</v>
      </c>
      <c r="L582" s="520">
        <v>0</v>
      </c>
      <c r="M582" s="517"/>
      <c r="N582" s="542">
        <v>36</v>
      </c>
      <c r="O582" s="518">
        <v>49313.29</v>
      </c>
      <c r="P582" s="518">
        <v>288</v>
      </c>
      <c r="Q582" s="519"/>
      <c r="R582" s="516">
        <v>2</v>
      </c>
      <c r="S582" s="521">
        <v>33000</v>
      </c>
      <c r="T582" s="521">
        <v>0</v>
      </c>
      <c r="U582" s="517"/>
      <c r="V582" s="342">
        <f t="shared" ref="V582:V645" si="18">N582-R582</f>
        <v>34</v>
      </c>
      <c r="W582" s="518">
        <f t="shared" ref="W582:W645" si="19">O582-S582-T582</f>
        <v>16313.29</v>
      </c>
      <c r="X582" s="257"/>
    </row>
    <row r="583" spans="1:24" x14ac:dyDescent="0.25">
      <c r="A583">
        <v>578</v>
      </c>
      <c r="B583" t="s">
        <v>578</v>
      </c>
      <c r="C583" t="s">
        <v>18</v>
      </c>
      <c r="D583" t="s">
        <v>16</v>
      </c>
      <c r="F583" s="520">
        <v>4</v>
      </c>
      <c r="G583" s="521">
        <v>28225</v>
      </c>
      <c r="H583" s="521">
        <v>200</v>
      </c>
      <c r="I583" s="517"/>
      <c r="J583" s="520">
        <v>0</v>
      </c>
      <c r="K583" s="520">
        <v>0</v>
      </c>
      <c r="L583" s="520">
        <v>0</v>
      </c>
      <c r="M583" s="517"/>
      <c r="N583" s="542">
        <v>4</v>
      </c>
      <c r="O583" s="518">
        <v>28225</v>
      </c>
      <c r="P583" s="518">
        <v>200</v>
      </c>
      <c r="Q583" s="519"/>
      <c r="R583" s="516">
        <v>8</v>
      </c>
      <c r="S583" s="521">
        <v>163503.25</v>
      </c>
      <c r="T583" s="521">
        <v>0</v>
      </c>
      <c r="U583" s="517"/>
      <c r="V583" s="342">
        <f t="shared" si="18"/>
        <v>-4</v>
      </c>
      <c r="W583" s="518">
        <f t="shared" si="19"/>
        <v>-135278.25</v>
      </c>
      <c r="X583" s="257"/>
    </row>
    <row r="584" spans="1:24" x14ac:dyDescent="0.25">
      <c r="A584">
        <v>579</v>
      </c>
      <c r="B584" t="s">
        <v>579</v>
      </c>
      <c r="C584" t="s">
        <v>18</v>
      </c>
      <c r="D584" t="s">
        <v>16</v>
      </c>
      <c r="F584" s="520">
        <v>0</v>
      </c>
      <c r="G584" s="521">
        <v>0</v>
      </c>
      <c r="H584" s="521">
        <v>0</v>
      </c>
      <c r="I584" s="517"/>
      <c r="J584" s="520">
        <v>0</v>
      </c>
      <c r="K584" s="520">
        <v>0</v>
      </c>
      <c r="L584" s="520">
        <v>0</v>
      </c>
      <c r="M584" s="517"/>
      <c r="N584" s="542">
        <v>0</v>
      </c>
      <c r="O584" s="518">
        <v>0</v>
      </c>
      <c r="P584" s="518">
        <v>0</v>
      </c>
      <c r="Q584" s="519"/>
      <c r="R584" s="516">
        <v>0</v>
      </c>
      <c r="S584" s="521">
        <v>0</v>
      </c>
      <c r="T584" s="521">
        <v>0</v>
      </c>
      <c r="U584" s="517"/>
      <c r="V584" s="342">
        <f t="shared" si="18"/>
        <v>0</v>
      </c>
      <c r="W584" s="518">
        <f t="shared" si="19"/>
        <v>0</v>
      </c>
      <c r="X584" s="257"/>
    </row>
    <row r="585" spans="1:24" x14ac:dyDescent="0.25">
      <c r="A585">
        <v>580</v>
      </c>
      <c r="B585" t="s">
        <v>580</v>
      </c>
      <c r="C585" t="s">
        <v>18</v>
      </c>
      <c r="D585" t="s">
        <v>16</v>
      </c>
      <c r="F585" s="520">
        <v>0</v>
      </c>
      <c r="G585" s="521">
        <v>0</v>
      </c>
      <c r="H585" s="521">
        <v>0</v>
      </c>
      <c r="I585" s="517"/>
      <c r="J585" s="520">
        <v>0</v>
      </c>
      <c r="K585" s="520">
        <v>0</v>
      </c>
      <c r="L585" s="520">
        <v>0</v>
      </c>
      <c r="M585" s="517"/>
      <c r="N585" s="542">
        <v>0</v>
      </c>
      <c r="O585" s="518">
        <v>0</v>
      </c>
      <c r="P585" s="518">
        <v>0</v>
      </c>
      <c r="Q585" s="519"/>
      <c r="R585" s="516">
        <v>27</v>
      </c>
      <c r="S585" s="521">
        <v>125546.53000000001</v>
      </c>
      <c r="T585" s="521">
        <v>0</v>
      </c>
      <c r="U585" s="517"/>
      <c r="V585" s="342">
        <f t="shared" si="18"/>
        <v>-27</v>
      </c>
      <c r="W585" s="518">
        <f t="shared" si="19"/>
        <v>-125546.53000000001</v>
      </c>
      <c r="X585" s="257"/>
    </row>
    <row r="586" spans="1:24" x14ac:dyDescent="0.25">
      <c r="A586">
        <v>581</v>
      </c>
      <c r="B586" t="s">
        <v>581</v>
      </c>
      <c r="C586" t="s">
        <v>18</v>
      </c>
      <c r="D586" t="s">
        <v>16</v>
      </c>
      <c r="F586" s="520">
        <v>0</v>
      </c>
      <c r="G586" s="521">
        <v>0</v>
      </c>
      <c r="H586" s="521">
        <v>0</v>
      </c>
      <c r="I586" s="517"/>
      <c r="J586" s="520">
        <v>0</v>
      </c>
      <c r="K586" s="520">
        <v>0</v>
      </c>
      <c r="L586" s="520">
        <v>0</v>
      </c>
      <c r="M586" s="517"/>
      <c r="N586" s="542">
        <v>0</v>
      </c>
      <c r="O586" s="518">
        <v>0</v>
      </c>
      <c r="P586" s="518">
        <v>0</v>
      </c>
      <c r="Q586" s="519"/>
      <c r="R586" s="516">
        <v>0</v>
      </c>
      <c r="S586" s="521">
        <v>0</v>
      </c>
      <c r="T586" s="521">
        <v>0</v>
      </c>
      <c r="U586" s="517"/>
      <c r="V586" s="342">
        <f t="shared" si="18"/>
        <v>0</v>
      </c>
      <c r="W586" s="518">
        <f t="shared" si="19"/>
        <v>0</v>
      </c>
      <c r="X586" s="257"/>
    </row>
    <row r="587" spans="1:24" x14ac:dyDescent="0.25">
      <c r="A587">
        <v>582</v>
      </c>
      <c r="B587" t="s">
        <v>582</v>
      </c>
      <c r="C587" t="s">
        <v>18</v>
      </c>
      <c r="D587" t="s">
        <v>16</v>
      </c>
      <c r="F587" s="520">
        <v>0</v>
      </c>
      <c r="G587" s="521">
        <v>0</v>
      </c>
      <c r="H587" s="521">
        <v>0</v>
      </c>
      <c r="I587" s="517"/>
      <c r="J587" s="520">
        <v>0</v>
      </c>
      <c r="K587" s="520">
        <v>0</v>
      </c>
      <c r="L587" s="520">
        <v>0</v>
      </c>
      <c r="M587" s="517"/>
      <c r="N587" s="542">
        <v>0</v>
      </c>
      <c r="O587" s="518">
        <v>0</v>
      </c>
      <c r="P587" s="518">
        <v>0</v>
      </c>
      <c r="Q587" s="519"/>
      <c r="R587" s="516">
        <v>0</v>
      </c>
      <c r="S587" s="521">
        <v>0</v>
      </c>
      <c r="T587" s="521">
        <v>0</v>
      </c>
      <c r="U587" s="517"/>
      <c r="V587" s="342">
        <f t="shared" si="18"/>
        <v>0</v>
      </c>
      <c r="W587" s="518">
        <f t="shared" si="19"/>
        <v>0</v>
      </c>
      <c r="X587" s="257"/>
    </row>
    <row r="588" spans="1:24" x14ac:dyDescent="0.25">
      <c r="A588">
        <v>583</v>
      </c>
      <c r="B588" t="s">
        <v>583</v>
      </c>
      <c r="C588" t="s">
        <v>18</v>
      </c>
      <c r="D588" t="s">
        <v>16</v>
      </c>
      <c r="F588" s="520">
        <v>0</v>
      </c>
      <c r="G588" s="521">
        <v>0</v>
      </c>
      <c r="H588" s="521">
        <v>0</v>
      </c>
      <c r="I588" s="517"/>
      <c r="J588" s="520">
        <v>0</v>
      </c>
      <c r="K588" s="520">
        <v>0</v>
      </c>
      <c r="L588" s="520">
        <v>0</v>
      </c>
      <c r="M588" s="517"/>
      <c r="N588" s="542">
        <v>0</v>
      </c>
      <c r="O588" s="518">
        <v>0</v>
      </c>
      <c r="P588" s="518">
        <v>0</v>
      </c>
      <c r="Q588" s="519"/>
      <c r="R588" s="516">
        <v>0</v>
      </c>
      <c r="S588" s="521">
        <v>0</v>
      </c>
      <c r="T588" s="521">
        <v>0</v>
      </c>
      <c r="U588" s="517"/>
      <c r="V588" s="342">
        <f t="shared" si="18"/>
        <v>0</v>
      </c>
      <c r="W588" s="518">
        <f t="shared" si="19"/>
        <v>0</v>
      </c>
      <c r="X588" s="257"/>
    </row>
    <row r="589" spans="1:24" x14ac:dyDescent="0.25">
      <c r="A589">
        <v>584</v>
      </c>
      <c r="B589" t="s">
        <v>584</v>
      </c>
      <c r="C589" t="s">
        <v>15</v>
      </c>
      <c r="D589" t="s">
        <v>16</v>
      </c>
      <c r="F589" s="520">
        <v>21</v>
      </c>
      <c r="G589" s="521">
        <v>32885.970000000008</v>
      </c>
      <c r="H589" s="521">
        <v>220</v>
      </c>
      <c r="I589" s="517"/>
      <c r="J589" s="520">
        <v>0</v>
      </c>
      <c r="K589" s="520">
        <v>0</v>
      </c>
      <c r="L589" s="520">
        <v>0</v>
      </c>
      <c r="M589" s="517"/>
      <c r="N589" s="542">
        <v>21</v>
      </c>
      <c r="O589" s="518">
        <v>32885.970000000008</v>
      </c>
      <c r="P589" s="518">
        <v>220</v>
      </c>
      <c r="Q589" s="519"/>
      <c r="R589" s="516">
        <v>0</v>
      </c>
      <c r="S589" s="521">
        <v>0</v>
      </c>
      <c r="T589" s="521">
        <v>0</v>
      </c>
      <c r="U589" s="517"/>
      <c r="V589" s="342">
        <f t="shared" si="18"/>
        <v>21</v>
      </c>
      <c r="W589" s="518">
        <f t="shared" si="19"/>
        <v>32885.970000000008</v>
      </c>
      <c r="X589" s="257"/>
    </row>
    <row r="590" spans="1:24" x14ac:dyDescent="0.25">
      <c r="A590">
        <v>585</v>
      </c>
      <c r="B590" t="s">
        <v>585</v>
      </c>
      <c r="C590" t="s">
        <v>18</v>
      </c>
      <c r="D590" t="s">
        <v>20</v>
      </c>
      <c r="F590" s="520">
        <v>1</v>
      </c>
      <c r="G590" s="521">
        <v>20000</v>
      </c>
      <c r="H590" s="521">
        <v>35</v>
      </c>
      <c r="I590" s="517"/>
      <c r="J590" s="520">
        <v>0</v>
      </c>
      <c r="K590" s="520">
        <v>0</v>
      </c>
      <c r="L590" s="520">
        <v>0</v>
      </c>
      <c r="M590" s="517"/>
      <c r="N590" s="542">
        <v>1</v>
      </c>
      <c r="O590" s="518">
        <v>20000</v>
      </c>
      <c r="P590" s="518">
        <v>35</v>
      </c>
      <c r="Q590" s="519"/>
      <c r="R590" s="516">
        <v>0</v>
      </c>
      <c r="S590" s="521">
        <v>0</v>
      </c>
      <c r="T590" s="521">
        <v>0</v>
      </c>
      <c r="U590" s="517"/>
      <c r="V590" s="342">
        <f t="shared" si="18"/>
        <v>1</v>
      </c>
      <c r="W590" s="518">
        <f t="shared" si="19"/>
        <v>20000</v>
      </c>
      <c r="X590" s="257"/>
    </row>
    <row r="591" spans="1:24" x14ac:dyDescent="0.25">
      <c r="A591">
        <v>586</v>
      </c>
      <c r="B591" t="s">
        <v>586</v>
      </c>
      <c r="C591" t="s">
        <v>51</v>
      </c>
      <c r="D591" t="s">
        <v>16</v>
      </c>
      <c r="F591" s="520">
        <v>168</v>
      </c>
      <c r="G591" s="521">
        <v>237066.41999999998</v>
      </c>
      <c r="H591" s="521">
        <v>1680</v>
      </c>
      <c r="I591" s="517"/>
      <c r="J591" s="520">
        <v>0</v>
      </c>
      <c r="K591" s="520">
        <v>0</v>
      </c>
      <c r="L591" s="520">
        <v>0</v>
      </c>
      <c r="M591" s="517"/>
      <c r="N591" s="542">
        <v>168</v>
      </c>
      <c r="O591" s="518">
        <v>237066.41999999998</v>
      </c>
      <c r="P591" s="518">
        <v>1680</v>
      </c>
      <c r="Q591" s="519"/>
      <c r="R591" s="516">
        <v>5</v>
      </c>
      <c r="S591" s="521">
        <v>59317.91</v>
      </c>
      <c r="T591" s="521">
        <v>0</v>
      </c>
      <c r="U591" s="517"/>
      <c r="V591" s="342">
        <f t="shared" si="18"/>
        <v>163</v>
      </c>
      <c r="W591" s="518">
        <f t="shared" si="19"/>
        <v>177748.50999999998</v>
      </c>
      <c r="X591" s="257"/>
    </row>
    <row r="592" spans="1:24" x14ac:dyDescent="0.25">
      <c r="A592">
        <v>587</v>
      </c>
      <c r="B592" t="s">
        <v>587</v>
      </c>
      <c r="C592" t="s">
        <v>39</v>
      </c>
      <c r="D592" t="s">
        <v>16</v>
      </c>
      <c r="F592" s="520">
        <v>92</v>
      </c>
      <c r="G592" s="521">
        <v>138453.84999999998</v>
      </c>
      <c r="H592" s="521">
        <v>460</v>
      </c>
      <c r="I592" s="517"/>
      <c r="J592" s="520">
        <v>0</v>
      </c>
      <c r="K592" s="520">
        <v>0</v>
      </c>
      <c r="L592" s="520">
        <v>0</v>
      </c>
      <c r="M592" s="517"/>
      <c r="N592" s="542">
        <v>92</v>
      </c>
      <c r="O592" s="518">
        <v>138453.84999999998</v>
      </c>
      <c r="P592" s="518">
        <v>460</v>
      </c>
      <c r="Q592" s="519"/>
      <c r="R592" s="516">
        <v>0</v>
      </c>
      <c r="S592" s="521">
        <v>0</v>
      </c>
      <c r="T592" s="521">
        <v>0</v>
      </c>
      <c r="U592" s="517"/>
      <c r="V592" s="342">
        <f t="shared" si="18"/>
        <v>92</v>
      </c>
      <c r="W592" s="518">
        <f t="shared" si="19"/>
        <v>138453.84999999998</v>
      </c>
      <c r="X592" s="257"/>
    </row>
    <row r="593" spans="1:24" x14ac:dyDescent="0.25">
      <c r="A593">
        <v>588</v>
      </c>
      <c r="B593" t="s">
        <v>588</v>
      </c>
      <c r="C593" t="s">
        <v>355</v>
      </c>
      <c r="D593" t="s">
        <v>16</v>
      </c>
      <c r="F593" s="520">
        <v>3</v>
      </c>
      <c r="G593" s="521">
        <v>1297.27</v>
      </c>
      <c r="H593" s="521">
        <v>30</v>
      </c>
      <c r="I593" s="517"/>
      <c r="J593" s="520">
        <v>0</v>
      </c>
      <c r="K593" s="520">
        <v>0</v>
      </c>
      <c r="L593" s="520">
        <v>0</v>
      </c>
      <c r="M593" s="517"/>
      <c r="N593" s="542">
        <v>3</v>
      </c>
      <c r="O593" s="518">
        <v>1297.27</v>
      </c>
      <c r="P593" s="518">
        <v>30</v>
      </c>
      <c r="Q593" s="519"/>
      <c r="R593" s="516">
        <v>27</v>
      </c>
      <c r="S593" s="521">
        <v>179101</v>
      </c>
      <c r="T593" s="521">
        <v>0</v>
      </c>
      <c r="U593" s="517"/>
      <c r="V593" s="342">
        <f t="shared" si="18"/>
        <v>-24</v>
      </c>
      <c r="W593" s="518">
        <f t="shared" si="19"/>
        <v>-177803.73</v>
      </c>
      <c r="X593" s="257"/>
    </row>
    <row r="594" spans="1:24" x14ac:dyDescent="0.25">
      <c r="A594">
        <v>589</v>
      </c>
      <c r="B594" t="s">
        <v>589</v>
      </c>
      <c r="C594" t="s">
        <v>136</v>
      </c>
      <c r="D594" t="s">
        <v>16</v>
      </c>
      <c r="F594" s="520">
        <v>0</v>
      </c>
      <c r="G594" s="521">
        <v>0</v>
      </c>
      <c r="H594" s="521">
        <v>0</v>
      </c>
      <c r="I594" s="517"/>
      <c r="J594" s="520">
        <v>0</v>
      </c>
      <c r="K594" s="520">
        <v>0</v>
      </c>
      <c r="L594" s="520">
        <v>0</v>
      </c>
      <c r="M594" s="517"/>
      <c r="N594" s="542">
        <v>0</v>
      </c>
      <c r="O594" s="518">
        <v>0</v>
      </c>
      <c r="P594" s="518">
        <v>0</v>
      </c>
      <c r="Q594" s="519"/>
      <c r="R594" s="516">
        <v>1</v>
      </c>
      <c r="S594" s="521">
        <v>1471.2</v>
      </c>
      <c r="T594" s="521">
        <v>0</v>
      </c>
      <c r="U594" s="517"/>
      <c r="V594" s="342">
        <f t="shared" si="18"/>
        <v>-1</v>
      </c>
      <c r="W594" s="518">
        <f t="shared" si="19"/>
        <v>-1471.2</v>
      </c>
      <c r="X594" s="257"/>
    </row>
    <row r="595" spans="1:24" x14ac:dyDescent="0.25">
      <c r="A595">
        <v>590</v>
      </c>
      <c r="B595" t="s">
        <v>3306</v>
      </c>
      <c r="C595" t="s">
        <v>39</v>
      </c>
      <c r="D595" t="s">
        <v>16</v>
      </c>
      <c r="F595" s="520">
        <v>0</v>
      </c>
      <c r="G595" s="521">
        <v>0</v>
      </c>
      <c r="H595" s="521">
        <v>0</v>
      </c>
      <c r="I595" s="517"/>
      <c r="J595" s="520">
        <v>0</v>
      </c>
      <c r="K595" s="520">
        <v>0</v>
      </c>
      <c r="L595" s="520">
        <v>0</v>
      </c>
      <c r="M595" s="517"/>
      <c r="N595" s="542">
        <v>0</v>
      </c>
      <c r="O595" s="518">
        <v>0</v>
      </c>
      <c r="P595" s="518">
        <v>0</v>
      </c>
      <c r="Q595" s="519"/>
      <c r="R595" s="516">
        <v>3</v>
      </c>
      <c r="S595" s="521">
        <v>46773</v>
      </c>
      <c r="T595" s="521">
        <v>90</v>
      </c>
      <c r="U595" s="517"/>
      <c r="V595" s="342">
        <f t="shared" si="18"/>
        <v>-3</v>
      </c>
      <c r="W595" s="518">
        <f t="shared" si="19"/>
        <v>-46863</v>
      </c>
      <c r="X595" s="257"/>
    </row>
    <row r="596" spans="1:24" x14ac:dyDescent="0.25">
      <c r="A596">
        <v>591</v>
      </c>
      <c r="B596" t="s">
        <v>604</v>
      </c>
      <c r="C596" t="s">
        <v>39</v>
      </c>
      <c r="D596" t="s">
        <v>16</v>
      </c>
      <c r="F596" s="520">
        <v>0</v>
      </c>
      <c r="G596" s="521">
        <v>0</v>
      </c>
      <c r="H596" s="521">
        <v>0</v>
      </c>
      <c r="I596" s="517"/>
      <c r="J596" s="520">
        <v>0</v>
      </c>
      <c r="K596" s="520">
        <v>0</v>
      </c>
      <c r="L596" s="520">
        <v>0</v>
      </c>
      <c r="M596" s="517"/>
      <c r="N596" s="542">
        <v>0</v>
      </c>
      <c r="O596" s="518">
        <v>0</v>
      </c>
      <c r="P596" s="518">
        <v>0</v>
      </c>
      <c r="Q596" s="519"/>
      <c r="R596" s="520">
        <v>175</v>
      </c>
      <c r="S596" s="521">
        <v>1124284.5900000001</v>
      </c>
      <c r="T596" s="521">
        <v>1718.75</v>
      </c>
      <c r="U596" s="517"/>
      <c r="V596" s="342">
        <f t="shared" si="18"/>
        <v>-175</v>
      </c>
      <c r="W596" s="518">
        <f t="shared" si="19"/>
        <v>-1126003.3400000001</v>
      </c>
      <c r="X596" s="257"/>
    </row>
    <row r="597" spans="1:24" x14ac:dyDescent="0.25">
      <c r="A597">
        <v>592</v>
      </c>
      <c r="B597" t="s">
        <v>590</v>
      </c>
      <c r="C597" t="s">
        <v>39</v>
      </c>
      <c r="D597" t="s">
        <v>16</v>
      </c>
      <c r="F597" s="520">
        <v>0</v>
      </c>
      <c r="G597" s="521">
        <v>0</v>
      </c>
      <c r="H597" s="521">
        <v>0</v>
      </c>
      <c r="I597" s="517"/>
      <c r="J597" s="520">
        <v>0</v>
      </c>
      <c r="K597" s="520">
        <v>0</v>
      </c>
      <c r="L597" s="520">
        <v>0</v>
      </c>
      <c r="M597" s="517"/>
      <c r="N597" s="542">
        <v>0</v>
      </c>
      <c r="O597" s="518">
        <v>0</v>
      </c>
      <c r="P597" s="518">
        <v>0</v>
      </c>
      <c r="Q597" s="519"/>
      <c r="R597" s="516">
        <v>0</v>
      </c>
      <c r="S597" s="521">
        <v>0</v>
      </c>
      <c r="T597" s="521">
        <v>0</v>
      </c>
      <c r="U597" s="517"/>
      <c r="V597" s="342">
        <f t="shared" si="18"/>
        <v>0</v>
      </c>
      <c r="W597" s="518">
        <f t="shared" si="19"/>
        <v>0</v>
      </c>
      <c r="X597" s="257"/>
    </row>
    <row r="598" spans="1:24" x14ac:dyDescent="0.25">
      <c r="A598">
        <v>593</v>
      </c>
      <c r="B598" t="s">
        <v>591</v>
      </c>
      <c r="C598" t="s">
        <v>51</v>
      </c>
      <c r="D598" t="s">
        <v>16</v>
      </c>
      <c r="F598" s="520">
        <v>0</v>
      </c>
      <c r="G598" s="521">
        <v>0</v>
      </c>
      <c r="H598" s="521">
        <v>0</v>
      </c>
      <c r="I598" s="517"/>
      <c r="J598" s="520">
        <v>0</v>
      </c>
      <c r="K598" s="520">
        <v>0</v>
      </c>
      <c r="L598" s="520">
        <v>0</v>
      </c>
      <c r="M598" s="517"/>
      <c r="N598" s="542">
        <v>0</v>
      </c>
      <c r="O598" s="518">
        <v>0</v>
      </c>
      <c r="P598" s="518">
        <v>0</v>
      </c>
      <c r="Q598" s="519"/>
      <c r="R598" s="516">
        <v>0</v>
      </c>
      <c r="S598" s="521">
        <v>0</v>
      </c>
      <c r="T598" s="521">
        <v>0</v>
      </c>
      <c r="U598" s="517"/>
      <c r="V598" s="342">
        <f t="shared" si="18"/>
        <v>0</v>
      </c>
      <c r="W598" s="518">
        <f t="shared" si="19"/>
        <v>0</v>
      </c>
      <c r="X598" s="257"/>
    </row>
    <row r="599" spans="1:24" x14ac:dyDescent="0.25">
      <c r="A599">
        <v>594</v>
      </c>
      <c r="B599" t="s">
        <v>592</v>
      </c>
      <c r="C599" t="s">
        <v>349</v>
      </c>
      <c r="D599" t="s">
        <v>16</v>
      </c>
      <c r="F599" s="520">
        <v>0</v>
      </c>
      <c r="G599" s="521">
        <v>0</v>
      </c>
      <c r="H599" s="521">
        <v>0</v>
      </c>
      <c r="I599" s="517"/>
      <c r="J599" s="520">
        <v>0</v>
      </c>
      <c r="K599" s="520">
        <v>0</v>
      </c>
      <c r="L599" s="520">
        <v>0</v>
      </c>
      <c r="M599" s="517"/>
      <c r="N599" s="542">
        <v>0</v>
      </c>
      <c r="O599" s="518">
        <v>0</v>
      </c>
      <c r="P599" s="518">
        <v>0</v>
      </c>
      <c r="Q599" s="519"/>
      <c r="R599" s="516">
        <v>0</v>
      </c>
      <c r="S599" s="521">
        <v>0</v>
      </c>
      <c r="T599" s="521">
        <v>0</v>
      </c>
      <c r="U599" s="517"/>
      <c r="V599" s="342">
        <f t="shared" si="18"/>
        <v>0</v>
      </c>
      <c r="W599" s="518">
        <f t="shared" si="19"/>
        <v>0</v>
      </c>
      <c r="X599" s="257"/>
    </row>
    <row r="600" spans="1:24" x14ac:dyDescent="0.25">
      <c r="A600">
        <v>595</v>
      </c>
      <c r="B600" t="s">
        <v>593</v>
      </c>
      <c r="C600" t="s">
        <v>41</v>
      </c>
      <c r="D600" t="s">
        <v>16</v>
      </c>
      <c r="F600" s="520">
        <v>0</v>
      </c>
      <c r="G600" s="521">
        <v>0</v>
      </c>
      <c r="H600" s="521">
        <v>0</v>
      </c>
      <c r="I600" s="517"/>
      <c r="J600" s="520">
        <v>0</v>
      </c>
      <c r="K600" s="520">
        <v>0</v>
      </c>
      <c r="L600" s="520">
        <v>0</v>
      </c>
      <c r="M600" s="517"/>
      <c r="N600" s="542">
        <v>0</v>
      </c>
      <c r="O600" s="518">
        <v>0</v>
      </c>
      <c r="P600" s="518">
        <v>0</v>
      </c>
      <c r="Q600" s="519"/>
      <c r="R600" s="516">
        <v>64</v>
      </c>
      <c r="S600" s="521">
        <v>1500612.75</v>
      </c>
      <c r="T600" s="521">
        <v>0</v>
      </c>
      <c r="U600" s="517"/>
      <c r="V600" s="342">
        <f t="shared" si="18"/>
        <v>-64</v>
      </c>
      <c r="W600" s="518">
        <f t="shared" si="19"/>
        <v>-1500612.75</v>
      </c>
      <c r="X600" s="257"/>
    </row>
    <row r="601" spans="1:24" x14ac:dyDescent="0.25">
      <c r="A601">
        <v>596</v>
      </c>
      <c r="B601" t="s">
        <v>594</v>
      </c>
      <c r="C601" t="s">
        <v>18</v>
      </c>
      <c r="D601" t="s">
        <v>20</v>
      </c>
      <c r="F601" s="520">
        <v>4</v>
      </c>
      <c r="G601" s="521">
        <v>121280.28</v>
      </c>
      <c r="H601" s="521">
        <v>140</v>
      </c>
      <c r="I601" s="517"/>
      <c r="J601" s="520">
        <v>0</v>
      </c>
      <c r="K601" s="520">
        <v>0</v>
      </c>
      <c r="L601" s="520">
        <v>0</v>
      </c>
      <c r="M601" s="517"/>
      <c r="N601" s="542">
        <v>4</v>
      </c>
      <c r="O601" s="518">
        <v>121280.28</v>
      </c>
      <c r="P601" s="518">
        <v>140</v>
      </c>
      <c r="Q601" s="519"/>
      <c r="R601" s="516">
        <v>301</v>
      </c>
      <c r="S601" s="521">
        <v>416582.69</v>
      </c>
      <c r="T601" s="521">
        <v>0</v>
      </c>
      <c r="U601" s="517"/>
      <c r="V601" s="342">
        <f t="shared" si="18"/>
        <v>-297</v>
      </c>
      <c r="W601" s="518">
        <f t="shared" si="19"/>
        <v>-295302.41000000003</v>
      </c>
      <c r="X601" s="257"/>
    </row>
    <row r="602" spans="1:24" x14ac:dyDescent="0.25">
      <c r="A602">
        <v>597</v>
      </c>
      <c r="B602" t="s">
        <v>595</v>
      </c>
      <c r="C602" t="s">
        <v>366</v>
      </c>
      <c r="D602" t="s">
        <v>16</v>
      </c>
      <c r="F602" s="520">
        <v>1</v>
      </c>
      <c r="G602" s="521">
        <v>2846</v>
      </c>
      <c r="H602" s="521">
        <v>25</v>
      </c>
      <c r="I602" s="517"/>
      <c r="J602" s="520">
        <v>0</v>
      </c>
      <c r="K602" s="520">
        <v>0</v>
      </c>
      <c r="L602" s="520">
        <v>0</v>
      </c>
      <c r="M602" s="517"/>
      <c r="N602" s="542">
        <v>1</v>
      </c>
      <c r="O602" s="518">
        <v>2846</v>
      </c>
      <c r="P602" s="518">
        <v>25</v>
      </c>
      <c r="Q602" s="519"/>
      <c r="R602" s="516">
        <v>1</v>
      </c>
      <c r="S602" s="521">
        <v>297.52999999999997</v>
      </c>
      <c r="T602" s="521">
        <v>0</v>
      </c>
      <c r="U602" s="517"/>
      <c r="V602" s="342">
        <f t="shared" si="18"/>
        <v>0</v>
      </c>
      <c r="W602" s="518">
        <f t="shared" si="19"/>
        <v>2548.4700000000003</v>
      </c>
      <c r="X602" s="257"/>
    </row>
    <row r="603" spans="1:24" x14ac:dyDescent="0.25">
      <c r="A603">
        <v>598</v>
      </c>
      <c r="B603" t="s">
        <v>596</v>
      </c>
      <c r="C603" t="s">
        <v>18</v>
      </c>
      <c r="D603" t="s">
        <v>16</v>
      </c>
      <c r="F603" s="520">
        <v>0</v>
      </c>
      <c r="G603" s="521">
        <v>0</v>
      </c>
      <c r="H603" s="521">
        <v>0</v>
      </c>
      <c r="I603" s="517"/>
      <c r="J603" s="520">
        <v>0</v>
      </c>
      <c r="K603" s="520">
        <v>0</v>
      </c>
      <c r="L603" s="520">
        <v>0</v>
      </c>
      <c r="M603" s="517"/>
      <c r="N603" s="542">
        <v>0</v>
      </c>
      <c r="O603" s="518">
        <v>0</v>
      </c>
      <c r="P603" s="518">
        <v>0</v>
      </c>
      <c r="Q603" s="519"/>
      <c r="R603" s="516">
        <v>0</v>
      </c>
      <c r="S603" s="521">
        <v>0</v>
      </c>
      <c r="T603" s="521">
        <v>0</v>
      </c>
      <c r="U603" s="517"/>
      <c r="V603" s="342">
        <f t="shared" si="18"/>
        <v>0</v>
      </c>
      <c r="W603" s="518">
        <f t="shared" si="19"/>
        <v>0</v>
      </c>
      <c r="X603" s="257"/>
    </row>
    <row r="604" spans="1:24" x14ac:dyDescent="0.25">
      <c r="A604">
        <v>599</v>
      </c>
      <c r="B604" t="s">
        <v>597</v>
      </c>
      <c r="C604" t="s">
        <v>15</v>
      </c>
      <c r="D604" t="s">
        <v>16</v>
      </c>
      <c r="F604" s="520">
        <v>1</v>
      </c>
      <c r="G604" s="521">
        <v>30000</v>
      </c>
      <c r="H604" s="521">
        <v>30</v>
      </c>
      <c r="I604" s="517"/>
      <c r="J604" s="520">
        <v>0</v>
      </c>
      <c r="K604" s="520">
        <v>0</v>
      </c>
      <c r="L604" s="520">
        <v>0</v>
      </c>
      <c r="M604" s="517"/>
      <c r="N604" s="542">
        <v>1</v>
      </c>
      <c r="O604" s="518">
        <v>30000</v>
      </c>
      <c r="P604" s="518">
        <v>30</v>
      </c>
      <c r="Q604" s="519"/>
      <c r="R604" s="516">
        <v>0</v>
      </c>
      <c r="S604" s="521">
        <v>0</v>
      </c>
      <c r="T604" s="521">
        <v>0</v>
      </c>
      <c r="U604" s="517"/>
      <c r="V604" s="342">
        <f t="shared" si="18"/>
        <v>1</v>
      </c>
      <c r="W604" s="518">
        <f t="shared" si="19"/>
        <v>30000</v>
      </c>
      <c r="X604" s="257"/>
    </row>
    <row r="605" spans="1:24" x14ac:dyDescent="0.25">
      <c r="A605">
        <v>600</v>
      </c>
      <c r="B605" t="s">
        <v>598</v>
      </c>
      <c r="C605" t="s">
        <v>18</v>
      </c>
      <c r="D605" t="s">
        <v>16</v>
      </c>
      <c r="F605" s="520">
        <v>0</v>
      </c>
      <c r="G605" s="521">
        <v>0</v>
      </c>
      <c r="H605" s="521">
        <v>0</v>
      </c>
      <c r="I605" s="517"/>
      <c r="J605" s="520">
        <v>0</v>
      </c>
      <c r="K605" s="520">
        <v>0</v>
      </c>
      <c r="L605" s="520">
        <v>0</v>
      </c>
      <c r="M605" s="517"/>
      <c r="N605" s="542">
        <v>0</v>
      </c>
      <c r="O605" s="518">
        <v>0</v>
      </c>
      <c r="P605" s="518">
        <v>0</v>
      </c>
      <c r="Q605" s="519"/>
      <c r="R605" s="516">
        <v>0</v>
      </c>
      <c r="S605" s="521">
        <v>0</v>
      </c>
      <c r="T605" s="521">
        <v>0</v>
      </c>
      <c r="U605" s="517"/>
      <c r="V605" s="342">
        <f t="shared" si="18"/>
        <v>0</v>
      </c>
      <c r="W605" s="518">
        <f t="shared" si="19"/>
        <v>0</v>
      </c>
      <c r="X605" s="257"/>
    </row>
    <row r="606" spans="1:24" x14ac:dyDescent="0.25">
      <c r="A606">
        <v>601</v>
      </c>
      <c r="B606" t="s">
        <v>599</v>
      </c>
      <c r="C606" t="s">
        <v>15</v>
      </c>
      <c r="D606" t="s">
        <v>16</v>
      </c>
      <c r="F606" s="520">
        <v>0</v>
      </c>
      <c r="G606" s="521">
        <v>0</v>
      </c>
      <c r="H606" s="521">
        <v>0</v>
      </c>
      <c r="I606" s="517"/>
      <c r="J606" s="520">
        <v>0</v>
      </c>
      <c r="K606" s="520">
        <v>0</v>
      </c>
      <c r="L606" s="520">
        <v>0</v>
      </c>
      <c r="M606" s="517"/>
      <c r="N606" s="542">
        <v>0</v>
      </c>
      <c r="O606" s="518">
        <v>0</v>
      </c>
      <c r="P606" s="518">
        <v>0</v>
      </c>
      <c r="Q606" s="519"/>
      <c r="R606" s="516">
        <v>0</v>
      </c>
      <c r="S606" s="521">
        <v>0</v>
      </c>
      <c r="T606" s="521">
        <v>0</v>
      </c>
      <c r="U606" s="517"/>
      <c r="V606" s="342">
        <f t="shared" si="18"/>
        <v>0</v>
      </c>
      <c r="W606" s="518">
        <f t="shared" si="19"/>
        <v>0</v>
      </c>
      <c r="X606" s="257"/>
    </row>
    <row r="607" spans="1:24" x14ac:dyDescent="0.25">
      <c r="A607">
        <v>602</v>
      </c>
      <c r="B607" t="s">
        <v>600</v>
      </c>
      <c r="C607" t="s">
        <v>18</v>
      </c>
      <c r="D607" t="s">
        <v>16</v>
      </c>
      <c r="F607" s="520">
        <v>0</v>
      </c>
      <c r="G607" s="521">
        <v>0</v>
      </c>
      <c r="H607" s="521">
        <v>0</v>
      </c>
      <c r="I607" s="517"/>
      <c r="J607" s="520">
        <v>0</v>
      </c>
      <c r="K607" s="520">
        <v>0</v>
      </c>
      <c r="L607" s="520">
        <v>0</v>
      </c>
      <c r="M607" s="517"/>
      <c r="N607" s="542">
        <v>0</v>
      </c>
      <c r="O607" s="518">
        <v>0</v>
      </c>
      <c r="P607" s="518">
        <v>0</v>
      </c>
      <c r="Q607" s="519"/>
      <c r="R607" s="516">
        <v>0</v>
      </c>
      <c r="S607" s="521">
        <v>0</v>
      </c>
      <c r="T607" s="521">
        <v>0</v>
      </c>
      <c r="U607" s="517"/>
      <c r="V607" s="342">
        <f t="shared" si="18"/>
        <v>0</v>
      </c>
      <c r="W607" s="518">
        <f t="shared" si="19"/>
        <v>0</v>
      </c>
      <c r="X607" s="257"/>
    </row>
    <row r="608" spans="1:24" x14ac:dyDescent="0.25">
      <c r="A608">
        <v>603</v>
      </c>
      <c r="B608" t="s">
        <v>601</v>
      </c>
      <c r="C608" t="s">
        <v>15</v>
      </c>
      <c r="D608" t="s">
        <v>16</v>
      </c>
      <c r="F608" s="520">
        <v>0</v>
      </c>
      <c r="G608" s="521">
        <v>0</v>
      </c>
      <c r="H608" s="521">
        <v>0</v>
      </c>
      <c r="I608" s="517"/>
      <c r="J608" s="520">
        <v>0</v>
      </c>
      <c r="K608" s="520">
        <v>0</v>
      </c>
      <c r="L608" s="520">
        <v>0</v>
      </c>
      <c r="M608" s="517"/>
      <c r="N608" s="542">
        <v>0</v>
      </c>
      <c r="O608" s="518">
        <v>0</v>
      </c>
      <c r="P608" s="518">
        <v>0</v>
      </c>
      <c r="Q608" s="519"/>
      <c r="R608" s="516">
        <v>0</v>
      </c>
      <c r="S608" s="521">
        <v>0</v>
      </c>
      <c r="T608" s="521">
        <v>0</v>
      </c>
      <c r="U608" s="517"/>
      <c r="V608" s="342">
        <f t="shared" si="18"/>
        <v>0</v>
      </c>
      <c r="W608" s="518">
        <f t="shared" si="19"/>
        <v>0</v>
      </c>
      <c r="X608" s="257"/>
    </row>
    <row r="609" spans="1:24" x14ac:dyDescent="0.25">
      <c r="A609">
        <v>604</v>
      </c>
      <c r="B609" t="s">
        <v>602</v>
      </c>
      <c r="C609" t="s">
        <v>18</v>
      </c>
      <c r="D609" t="s">
        <v>20</v>
      </c>
      <c r="F609" s="520">
        <v>0</v>
      </c>
      <c r="G609" s="521">
        <v>0</v>
      </c>
      <c r="H609" s="521">
        <v>0</v>
      </c>
      <c r="I609" s="517"/>
      <c r="J609" s="520">
        <v>0</v>
      </c>
      <c r="K609" s="520">
        <v>0</v>
      </c>
      <c r="L609" s="520">
        <v>0</v>
      </c>
      <c r="M609" s="517"/>
      <c r="N609" s="542">
        <v>0</v>
      </c>
      <c r="O609" s="518">
        <v>0</v>
      </c>
      <c r="P609" s="518">
        <v>0</v>
      </c>
      <c r="Q609" s="519"/>
      <c r="R609" s="516">
        <v>0</v>
      </c>
      <c r="S609" s="521">
        <v>0</v>
      </c>
      <c r="T609" s="521">
        <v>0</v>
      </c>
      <c r="U609" s="517"/>
      <c r="V609" s="342">
        <f t="shared" si="18"/>
        <v>0</v>
      </c>
      <c r="W609" s="518">
        <f t="shared" si="19"/>
        <v>0</v>
      </c>
      <c r="X609" s="257"/>
    </row>
    <row r="610" spans="1:24" x14ac:dyDescent="0.25">
      <c r="A610">
        <v>605</v>
      </c>
      <c r="B610" t="s">
        <v>603</v>
      </c>
      <c r="C610" t="s">
        <v>18</v>
      </c>
      <c r="D610" t="s">
        <v>20</v>
      </c>
      <c r="F610" s="520">
        <v>0</v>
      </c>
      <c r="G610" s="521">
        <v>0</v>
      </c>
      <c r="H610" s="521">
        <v>0</v>
      </c>
      <c r="I610" s="517"/>
      <c r="J610" s="520">
        <v>0</v>
      </c>
      <c r="K610" s="520">
        <v>0</v>
      </c>
      <c r="L610" s="520">
        <v>0</v>
      </c>
      <c r="M610" s="517"/>
      <c r="N610" s="542">
        <v>0</v>
      </c>
      <c r="O610" s="518">
        <v>0</v>
      </c>
      <c r="P610" s="518">
        <v>0</v>
      </c>
      <c r="Q610" s="519"/>
      <c r="R610" s="516">
        <v>0</v>
      </c>
      <c r="S610" s="521">
        <v>0</v>
      </c>
      <c r="T610" s="521">
        <v>0</v>
      </c>
      <c r="U610" s="517"/>
      <c r="V610" s="342">
        <f t="shared" si="18"/>
        <v>0</v>
      </c>
      <c r="W610" s="518">
        <f t="shared" si="19"/>
        <v>0</v>
      </c>
      <c r="X610" s="257"/>
    </row>
    <row r="611" spans="1:24" x14ac:dyDescent="0.25">
      <c r="A611">
        <v>606</v>
      </c>
      <c r="B611" t="s">
        <v>3307</v>
      </c>
      <c r="C611" t="s">
        <v>355</v>
      </c>
      <c r="D611" t="s">
        <v>3231</v>
      </c>
      <c r="F611" s="520">
        <v>0</v>
      </c>
      <c r="G611" s="521">
        <v>0</v>
      </c>
      <c r="H611" s="521">
        <v>0</v>
      </c>
      <c r="I611" s="517"/>
      <c r="J611" s="520">
        <v>0</v>
      </c>
      <c r="K611" s="520">
        <v>0</v>
      </c>
      <c r="L611" s="520">
        <v>0</v>
      </c>
      <c r="M611" s="517"/>
      <c r="N611" s="542">
        <v>0</v>
      </c>
      <c r="O611" s="518">
        <v>0</v>
      </c>
      <c r="P611" s="518">
        <v>0</v>
      </c>
      <c r="Q611" s="519"/>
      <c r="R611" s="516">
        <v>0</v>
      </c>
      <c r="S611" s="521">
        <v>0</v>
      </c>
      <c r="T611" s="521">
        <v>0</v>
      </c>
      <c r="U611" s="517"/>
      <c r="V611" s="342">
        <f t="shared" si="18"/>
        <v>0</v>
      </c>
      <c r="W611" s="518">
        <f t="shared" si="19"/>
        <v>0</v>
      </c>
      <c r="X611" s="257"/>
    </row>
    <row r="612" spans="1:24" x14ac:dyDescent="0.25">
      <c r="A612">
        <v>607</v>
      </c>
      <c r="B612" t="s">
        <v>605</v>
      </c>
      <c r="C612" t="s">
        <v>92</v>
      </c>
      <c r="D612" t="s">
        <v>606</v>
      </c>
      <c r="F612" s="520">
        <v>0</v>
      </c>
      <c r="G612" s="521">
        <v>0</v>
      </c>
      <c r="H612" s="521">
        <v>0</v>
      </c>
      <c r="I612" s="517"/>
      <c r="J612" s="520">
        <v>0</v>
      </c>
      <c r="K612" s="520">
        <v>0</v>
      </c>
      <c r="L612" s="520">
        <v>0</v>
      </c>
      <c r="M612" s="517"/>
      <c r="N612" s="542">
        <v>0</v>
      </c>
      <c r="O612" s="518">
        <v>0</v>
      </c>
      <c r="P612" s="518">
        <v>0</v>
      </c>
      <c r="Q612" s="519"/>
      <c r="R612" s="516">
        <v>0</v>
      </c>
      <c r="S612" s="521">
        <v>0</v>
      </c>
      <c r="T612" s="521">
        <v>0</v>
      </c>
      <c r="U612" s="517"/>
      <c r="V612" s="342">
        <f t="shared" si="18"/>
        <v>0</v>
      </c>
      <c r="W612" s="518">
        <f t="shared" si="19"/>
        <v>0</v>
      </c>
      <c r="X612" s="257"/>
    </row>
    <row r="613" spans="1:24" x14ac:dyDescent="0.25">
      <c r="A613">
        <v>608</v>
      </c>
      <c r="B613" t="s">
        <v>3308</v>
      </c>
      <c r="C613" t="s">
        <v>18</v>
      </c>
      <c r="D613" t="s">
        <v>16</v>
      </c>
      <c r="F613" s="520">
        <v>0</v>
      </c>
      <c r="G613" s="521">
        <v>0</v>
      </c>
      <c r="H613" s="521">
        <v>0</v>
      </c>
      <c r="I613" s="517"/>
      <c r="J613" s="520">
        <v>0</v>
      </c>
      <c r="K613" s="520">
        <v>0</v>
      </c>
      <c r="L613" s="520">
        <v>0</v>
      </c>
      <c r="M613" s="517"/>
      <c r="N613" s="542">
        <v>0</v>
      </c>
      <c r="O613" s="518">
        <v>0</v>
      </c>
      <c r="P613" s="518">
        <v>0</v>
      </c>
      <c r="Q613" s="519"/>
      <c r="R613" s="516">
        <v>0</v>
      </c>
      <c r="S613" s="521">
        <v>0</v>
      </c>
      <c r="T613" s="521">
        <v>0</v>
      </c>
      <c r="U613" s="517"/>
      <c r="V613" s="342">
        <f t="shared" si="18"/>
        <v>0</v>
      </c>
      <c r="W613" s="518">
        <f t="shared" si="19"/>
        <v>0</v>
      </c>
      <c r="X613" s="257"/>
    </row>
    <row r="614" spans="1:24" x14ac:dyDescent="0.25">
      <c r="A614">
        <v>609</v>
      </c>
      <c r="B614" t="s">
        <v>607</v>
      </c>
      <c r="D614" t="s">
        <v>16</v>
      </c>
      <c r="F614" s="520">
        <v>0</v>
      </c>
      <c r="G614" s="521">
        <v>0</v>
      </c>
      <c r="H614" s="521">
        <v>0</v>
      </c>
      <c r="I614" s="517"/>
      <c r="J614" s="520">
        <v>0</v>
      </c>
      <c r="K614" s="520">
        <v>0</v>
      </c>
      <c r="L614" s="520">
        <v>0</v>
      </c>
      <c r="M614" s="517"/>
      <c r="N614" s="542">
        <v>0</v>
      </c>
      <c r="O614" s="518">
        <v>0</v>
      </c>
      <c r="P614" s="518">
        <v>0</v>
      </c>
      <c r="Q614" s="519"/>
      <c r="R614" s="516">
        <v>1</v>
      </c>
      <c r="S614" s="521">
        <v>5000</v>
      </c>
      <c r="T614" s="521">
        <v>0</v>
      </c>
      <c r="U614" s="517"/>
      <c r="V614" s="342">
        <f t="shared" si="18"/>
        <v>-1</v>
      </c>
      <c r="W614" s="518">
        <f t="shared" si="19"/>
        <v>-5000</v>
      </c>
      <c r="X614" s="257"/>
    </row>
    <row r="615" spans="1:24" x14ac:dyDescent="0.25">
      <c r="A615">
        <v>610</v>
      </c>
      <c r="B615" t="s">
        <v>608</v>
      </c>
      <c r="C615" t="s">
        <v>18</v>
      </c>
      <c r="D615" t="s">
        <v>16</v>
      </c>
      <c r="F615" s="520">
        <v>1</v>
      </c>
      <c r="G615" s="521">
        <v>6000</v>
      </c>
      <c r="H615" s="521">
        <v>7</v>
      </c>
      <c r="I615" s="517"/>
      <c r="J615" s="520">
        <v>0</v>
      </c>
      <c r="K615" s="520">
        <v>0</v>
      </c>
      <c r="L615" s="520">
        <v>0</v>
      </c>
      <c r="M615" s="517"/>
      <c r="N615" s="542">
        <v>1</v>
      </c>
      <c r="O615" s="518">
        <v>6000</v>
      </c>
      <c r="P615" s="518">
        <v>7</v>
      </c>
      <c r="Q615" s="519"/>
      <c r="R615" s="516">
        <v>0</v>
      </c>
      <c r="S615" s="521">
        <v>0</v>
      </c>
      <c r="T615" s="521">
        <v>0</v>
      </c>
      <c r="U615" s="517"/>
      <c r="V615" s="342">
        <f t="shared" si="18"/>
        <v>1</v>
      </c>
      <c r="W615" s="518">
        <f t="shared" si="19"/>
        <v>6000</v>
      </c>
      <c r="X615" s="257"/>
    </row>
    <row r="616" spans="1:24" x14ac:dyDescent="0.25">
      <c r="A616">
        <v>611</v>
      </c>
      <c r="B616" t="s">
        <v>609</v>
      </c>
      <c r="C616" t="s">
        <v>18</v>
      </c>
      <c r="D616" t="s">
        <v>16</v>
      </c>
      <c r="F616" s="520">
        <v>0</v>
      </c>
      <c r="G616" s="521">
        <v>0</v>
      </c>
      <c r="H616" s="521">
        <v>0</v>
      </c>
      <c r="I616" s="517"/>
      <c r="J616" s="520">
        <v>0</v>
      </c>
      <c r="K616" s="520">
        <v>0</v>
      </c>
      <c r="L616" s="520">
        <v>0</v>
      </c>
      <c r="M616" s="517"/>
      <c r="N616" s="542">
        <v>0</v>
      </c>
      <c r="O616" s="518">
        <v>0</v>
      </c>
      <c r="P616" s="518">
        <v>0</v>
      </c>
      <c r="Q616" s="519"/>
      <c r="R616" s="516">
        <v>0</v>
      </c>
      <c r="S616" s="521">
        <v>0</v>
      </c>
      <c r="T616" s="521">
        <v>0</v>
      </c>
      <c r="U616" s="517"/>
      <c r="V616" s="342">
        <f t="shared" si="18"/>
        <v>0</v>
      </c>
      <c r="W616" s="518">
        <f t="shared" si="19"/>
        <v>0</v>
      </c>
      <c r="X616" s="257"/>
    </row>
    <row r="617" spans="1:24" x14ac:dyDescent="0.25">
      <c r="A617">
        <v>612</v>
      </c>
      <c r="B617" t="s">
        <v>610</v>
      </c>
      <c r="C617" t="s">
        <v>18</v>
      </c>
      <c r="D617" t="s">
        <v>16</v>
      </c>
      <c r="F617" s="520">
        <v>0</v>
      </c>
      <c r="G617" s="521">
        <v>0</v>
      </c>
      <c r="H617" s="521">
        <v>0</v>
      </c>
      <c r="I617" s="517"/>
      <c r="J617" s="520">
        <v>0</v>
      </c>
      <c r="K617" s="520">
        <v>0</v>
      </c>
      <c r="L617" s="520">
        <v>0</v>
      </c>
      <c r="M617" s="517"/>
      <c r="N617" s="542">
        <v>0</v>
      </c>
      <c r="O617" s="518">
        <v>0</v>
      </c>
      <c r="P617" s="518">
        <v>0</v>
      </c>
      <c r="Q617" s="519"/>
      <c r="R617" s="516">
        <v>0</v>
      </c>
      <c r="S617" s="521">
        <v>0</v>
      </c>
      <c r="T617" s="521">
        <v>0</v>
      </c>
      <c r="U617" s="517"/>
      <c r="V617" s="342">
        <f t="shared" si="18"/>
        <v>0</v>
      </c>
      <c r="W617" s="518">
        <f t="shared" si="19"/>
        <v>0</v>
      </c>
      <c r="X617" s="257"/>
    </row>
    <row r="618" spans="1:24" x14ac:dyDescent="0.25">
      <c r="A618">
        <v>613</v>
      </c>
      <c r="B618" t="s">
        <v>611</v>
      </c>
      <c r="C618" t="s">
        <v>18</v>
      </c>
      <c r="D618" t="s">
        <v>16</v>
      </c>
      <c r="F618" s="520">
        <v>0</v>
      </c>
      <c r="G618" s="521">
        <v>0</v>
      </c>
      <c r="H618" s="521">
        <v>0</v>
      </c>
      <c r="I618" s="517"/>
      <c r="J618" s="520">
        <v>0</v>
      </c>
      <c r="K618" s="520">
        <v>0</v>
      </c>
      <c r="L618" s="520">
        <v>0</v>
      </c>
      <c r="M618" s="517"/>
      <c r="N618" s="542">
        <v>0</v>
      </c>
      <c r="O618" s="518">
        <v>0</v>
      </c>
      <c r="P618" s="518">
        <v>0</v>
      </c>
      <c r="Q618" s="519"/>
      <c r="R618" s="516">
        <v>0</v>
      </c>
      <c r="S618" s="521">
        <v>0</v>
      </c>
      <c r="T618" s="521">
        <v>0</v>
      </c>
      <c r="U618" s="517"/>
      <c r="V618" s="342">
        <f t="shared" si="18"/>
        <v>0</v>
      </c>
      <c r="W618" s="518">
        <f t="shared" si="19"/>
        <v>0</v>
      </c>
      <c r="X618" s="257"/>
    </row>
    <row r="619" spans="1:24" x14ac:dyDescent="0.25">
      <c r="A619">
        <v>614</v>
      </c>
      <c r="B619" t="s">
        <v>612</v>
      </c>
      <c r="D619" t="s">
        <v>16</v>
      </c>
      <c r="F619" s="520">
        <v>0</v>
      </c>
      <c r="G619" s="521">
        <v>0</v>
      </c>
      <c r="H619" s="521">
        <v>0</v>
      </c>
      <c r="I619" s="517"/>
      <c r="J619" s="520">
        <v>0</v>
      </c>
      <c r="K619" s="520">
        <v>0</v>
      </c>
      <c r="L619" s="520">
        <v>0</v>
      </c>
      <c r="M619" s="517"/>
      <c r="N619" s="542">
        <v>0</v>
      </c>
      <c r="O619" s="518">
        <v>0</v>
      </c>
      <c r="P619" s="518">
        <v>0</v>
      </c>
      <c r="Q619" s="519"/>
      <c r="R619" s="516">
        <v>0</v>
      </c>
      <c r="S619" s="521">
        <v>0</v>
      </c>
      <c r="T619" s="521">
        <v>0</v>
      </c>
      <c r="U619" s="517"/>
      <c r="V619" s="342">
        <f t="shared" si="18"/>
        <v>0</v>
      </c>
      <c r="W619" s="518">
        <f t="shared" si="19"/>
        <v>0</v>
      </c>
      <c r="X619" s="257"/>
    </row>
    <row r="620" spans="1:24" x14ac:dyDescent="0.25">
      <c r="A620">
        <v>615</v>
      </c>
      <c r="B620" t="s">
        <v>613</v>
      </c>
      <c r="C620" t="s">
        <v>15</v>
      </c>
      <c r="D620" t="s">
        <v>45</v>
      </c>
      <c r="F620" s="520">
        <v>62</v>
      </c>
      <c r="G620" s="521">
        <v>315012</v>
      </c>
      <c r="H620" s="521">
        <v>1860</v>
      </c>
      <c r="I620" s="517"/>
      <c r="J620" s="520">
        <v>0</v>
      </c>
      <c r="K620" s="520">
        <v>0</v>
      </c>
      <c r="L620" s="520">
        <v>0</v>
      </c>
      <c r="M620" s="517"/>
      <c r="N620" s="542">
        <v>62</v>
      </c>
      <c r="O620" s="518">
        <v>315012</v>
      </c>
      <c r="P620" s="518">
        <v>1860</v>
      </c>
      <c r="Q620" s="519"/>
      <c r="R620" s="516">
        <v>0</v>
      </c>
      <c r="S620" s="521">
        <v>0</v>
      </c>
      <c r="T620" s="521">
        <v>0</v>
      </c>
      <c r="U620" s="517"/>
      <c r="V620" s="342">
        <f t="shared" si="18"/>
        <v>62</v>
      </c>
      <c r="W620" s="518">
        <f t="shared" si="19"/>
        <v>315012</v>
      </c>
      <c r="X620" s="257"/>
    </row>
    <row r="621" spans="1:24" x14ac:dyDescent="0.25">
      <c r="A621">
        <v>616</v>
      </c>
      <c r="B621" t="s">
        <v>614</v>
      </c>
      <c r="C621" t="s">
        <v>15</v>
      </c>
      <c r="D621" t="s">
        <v>45</v>
      </c>
      <c r="F621" s="520">
        <v>2</v>
      </c>
      <c r="G621" s="521">
        <v>6935</v>
      </c>
      <c r="H621" s="521">
        <v>30</v>
      </c>
      <c r="I621" s="517"/>
      <c r="J621" s="520">
        <v>0</v>
      </c>
      <c r="K621" s="520">
        <v>0</v>
      </c>
      <c r="L621" s="520">
        <v>0</v>
      </c>
      <c r="M621" s="517"/>
      <c r="N621" s="542">
        <v>2</v>
      </c>
      <c r="O621" s="518">
        <v>6935</v>
      </c>
      <c r="P621" s="518">
        <v>30</v>
      </c>
      <c r="Q621" s="519"/>
      <c r="R621" s="516">
        <v>0</v>
      </c>
      <c r="S621" s="521">
        <v>0</v>
      </c>
      <c r="T621" s="521">
        <v>0</v>
      </c>
      <c r="U621" s="517"/>
      <c r="V621" s="342">
        <f t="shared" si="18"/>
        <v>2</v>
      </c>
      <c r="W621" s="518">
        <f t="shared" si="19"/>
        <v>6935</v>
      </c>
      <c r="X621" s="257"/>
    </row>
    <row r="622" spans="1:24" x14ac:dyDescent="0.25">
      <c r="A622">
        <v>617</v>
      </c>
      <c r="B622" t="s">
        <v>615</v>
      </c>
      <c r="C622" t="s">
        <v>18</v>
      </c>
      <c r="D622" t="s">
        <v>16</v>
      </c>
      <c r="F622" s="520">
        <v>7</v>
      </c>
      <c r="G622" s="521">
        <v>50165</v>
      </c>
      <c r="H622" s="521">
        <v>70</v>
      </c>
      <c r="I622" s="517"/>
      <c r="J622" s="520">
        <v>0</v>
      </c>
      <c r="K622" s="520">
        <v>0</v>
      </c>
      <c r="L622" s="520">
        <v>0</v>
      </c>
      <c r="M622" s="517"/>
      <c r="N622" s="542">
        <v>7</v>
      </c>
      <c r="O622" s="518">
        <v>50165</v>
      </c>
      <c r="P622" s="518">
        <v>70</v>
      </c>
      <c r="Q622" s="519"/>
      <c r="R622" s="516">
        <v>0</v>
      </c>
      <c r="S622" s="521">
        <v>0</v>
      </c>
      <c r="T622" s="521">
        <v>0</v>
      </c>
      <c r="U622" s="517"/>
      <c r="V622" s="342">
        <f t="shared" si="18"/>
        <v>7</v>
      </c>
      <c r="W622" s="518">
        <f t="shared" si="19"/>
        <v>50165</v>
      </c>
      <c r="X622" s="257"/>
    </row>
    <row r="623" spans="1:24" x14ac:dyDescent="0.25">
      <c r="A623">
        <v>618</v>
      </c>
      <c r="B623" t="s">
        <v>616</v>
      </c>
      <c r="C623" t="s">
        <v>18</v>
      </c>
      <c r="D623" t="s">
        <v>16</v>
      </c>
      <c r="F623" s="520">
        <v>0</v>
      </c>
      <c r="G623" s="521">
        <v>0</v>
      </c>
      <c r="H623" s="521">
        <v>0</v>
      </c>
      <c r="I623" s="517"/>
      <c r="J623" s="520">
        <v>0</v>
      </c>
      <c r="K623" s="520">
        <v>0</v>
      </c>
      <c r="L623" s="520">
        <v>0</v>
      </c>
      <c r="M623" s="517"/>
      <c r="N623" s="542">
        <v>0</v>
      </c>
      <c r="O623" s="518">
        <v>0</v>
      </c>
      <c r="P623" s="518">
        <v>0</v>
      </c>
      <c r="Q623" s="519"/>
      <c r="R623" s="516">
        <v>0</v>
      </c>
      <c r="S623" s="521">
        <v>0</v>
      </c>
      <c r="T623" s="521">
        <v>0</v>
      </c>
      <c r="U623" s="517"/>
      <c r="V623" s="342">
        <f t="shared" si="18"/>
        <v>0</v>
      </c>
      <c r="W623" s="518">
        <f t="shared" si="19"/>
        <v>0</v>
      </c>
      <c r="X623" s="257"/>
    </row>
    <row r="624" spans="1:24" x14ac:dyDescent="0.25">
      <c r="A624">
        <v>619</v>
      </c>
      <c r="B624" t="s">
        <v>617</v>
      </c>
      <c r="C624" t="s">
        <v>92</v>
      </c>
      <c r="D624" t="s">
        <v>16</v>
      </c>
      <c r="F624" s="520">
        <v>0</v>
      </c>
      <c r="G624" s="521">
        <v>0</v>
      </c>
      <c r="H624" s="521">
        <v>0</v>
      </c>
      <c r="I624" s="517"/>
      <c r="J624" s="520">
        <v>0</v>
      </c>
      <c r="K624" s="520">
        <v>0</v>
      </c>
      <c r="L624" s="520">
        <v>0</v>
      </c>
      <c r="M624" s="517"/>
      <c r="N624" s="542">
        <v>0</v>
      </c>
      <c r="O624" s="518">
        <v>0</v>
      </c>
      <c r="P624" s="518">
        <v>0</v>
      </c>
      <c r="Q624" s="519"/>
      <c r="R624" s="516">
        <v>0</v>
      </c>
      <c r="S624" s="521">
        <v>0</v>
      </c>
      <c r="T624" s="521">
        <v>0</v>
      </c>
      <c r="U624" s="517"/>
      <c r="V624" s="342">
        <f t="shared" si="18"/>
        <v>0</v>
      </c>
      <c r="W624" s="518">
        <f t="shared" si="19"/>
        <v>0</v>
      </c>
      <c r="X624" s="257"/>
    </row>
    <row r="625" spans="1:24" x14ac:dyDescent="0.25">
      <c r="A625">
        <v>620</v>
      </c>
      <c r="B625" t="s">
        <v>618</v>
      </c>
      <c r="C625" t="s">
        <v>18</v>
      </c>
      <c r="D625" t="s">
        <v>16</v>
      </c>
      <c r="F625" s="520">
        <v>4</v>
      </c>
      <c r="G625" s="521">
        <v>81652</v>
      </c>
      <c r="H625" s="521">
        <v>100</v>
      </c>
      <c r="I625" s="517"/>
      <c r="J625" s="520">
        <v>0</v>
      </c>
      <c r="K625" s="520">
        <v>0</v>
      </c>
      <c r="L625" s="520">
        <v>0</v>
      </c>
      <c r="M625" s="517"/>
      <c r="N625" s="542">
        <v>4</v>
      </c>
      <c r="O625" s="518">
        <v>81652</v>
      </c>
      <c r="P625" s="518">
        <v>100</v>
      </c>
      <c r="Q625" s="519"/>
      <c r="R625" s="516">
        <v>0</v>
      </c>
      <c r="S625" s="521">
        <v>0</v>
      </c>
      <c r="T625" s="521">
        <v>0</v>
      </c>
      <c r="U625" s="517"/>
      <c r="V625" s="342">
        <f t="shared" si="18"/>
        <v>4</v>
      </c>
      <c r="W625" s="518">
        <f t="shared" si="19"/>
        <v>81652</v>
      </c>
      <c r="X625" s="257"/>
    </row>
    <row r="626" spans="1:24" x14ac:dyDescent="0.25">
      <c r="A626">
        <v>621</v>
      </c>
      <c r="B626" t="s">
        <v>619</v>
      </c>
      <c r="C626" t="s">
        <v>25</v>
      </c>
      <c r="D626" t="s">
        <v>16</v>
      </c>
      <c r="F626" s="520">
        <v>2</v>
      </c>
      <c r="G626" s="521">
        <v>13410</v>
      </c>
      <c r="H626" s="521">
        <v>50</v>
      </c>
      <c r="I626" s="517"/>
      <c r="J626" s="520">
        <v>0</v>
      </c>
      <c r="K626" s="520">
        <v>0</v>
      </c>
      <c r="L626" s="520">
        <v>0</v>
      </c>
      <c r="M626" s="517"/>
      <c r="N626" s="542">
        <v>2</v>
      </c>
      <c r="O626" s="518">
        <v>13410</v>
      </c>
      <c r="P626" s="518">
        <v>50</v>
      </c>
      <c r="Q626" s="519"/>
      <c r="R626" s="516">
        <v>0</v>
      </c>
      <c r="S626" s="521">
        <v>0</v>
      </c>
      <c r="T626" s="521">
        <v>0</v>
      </c>
      <c r="U626" s="517"/>
      <c r="V626" s="342">
        <f t="shared" si="18"/>
        <v>2</v>
      </c>
      <c r="W626" s="518">
        <f t="shared" si="19"/>
        <v>13410</v>
      </c>
      <c r="X626" s="257"/>
    </row>
    <row r="627" spans="1:24" x14ac:dyDescent="0.25">
      <c r="A627">
        <v>622</v>
      </c>
      <c r="B627" t="s">
        <v>620</v>
      </c>
      <c r="C627" t="s">
        <v>25</v>
      </c>
      <c r="D627" t="s">
        <v>16</v>
      </c>
      <c r="F627" s="520">
        <v>0</v>
      </c>
      <c r="G627" s="521">
        <v>0</v>
      </c>
      <c r="H627" s="521">
        <v>0</v>
      </c>
      <c r="I627" s="517"/>
      <c r="J627" s="520">
        <v>0</v>
      </c>
      <c r="K627" s="520">
        <v>0</v>
      </c>
      <c r="L627" s="520">
        <v>0</v>
      </c>
      <c r="M627" s="517"/>
      <c r="N627" s="542">
        <v>0</v>
      </c>
      <c r="O627" s="518">
        <v>0</v>
      </c>
      <c r="P627" s="518">
        <v>0</v>
      </c>
      <c r="Q627" s="519"/>
      <c r="R627" s="516">
        <v>0</v>
      </c>
      <c r="S627" s="521">
        <v>0</v>
      </c>
      <c r="T627" s="521">
        <v>0</v>
      </c>
      <c r="U627" s="517"/>
      <c r="V627" s="342">
        <f t="shared" si="18"/>
        <v>0</v>
      </c>
      <c r="W627" s="518">
        <f t="shared" si="19"/>
        <v>0</v>
      </c>
      <c r="X627" s="257"/>
    </row>
    <row r="628" spans="1:24" x14ac:dyDescent="0.25">
      <c r="A628">
        <v>623</v>
      </c>
      <c r="B628" t="s">
        <v>621</v>
      </c>
      <c r="C628" t="s">
        <v>15</v>
      </c>
      <c r="D628" t="s">
        <v>16</v>
      </c>
      <c r="F628" s="520">
        <v>0</v>
      </c>
      <c r="G628" s="521">
        <v>0</v>
      </c>
      <c r="H628" s="521">
        <v>0</v>
      </c>
      <c r="I628" s="517"/>
      <c r="J628" s="520">
        <v>0</v>
      </c>
      <c r="K628" s="520">
        <v>0</v>
      </c>
      <c r="L628" s="520">
        <v>0</v>
      </c>
      <c r="M628" s="517"/>
      <c r="N628" s="542">
        <v>0</v>
      </c>
      <c r="O628" s="518">
        <v>0</v>
      </c>
      <c r="P628" s="518">
        <v>0</v>
      </c>
      <c r="Q628" s="519"/>
      <c r="R628" s="516">
        <v>0</v>
      </c>
      <c r="S628" s="521">
        <v>0</v>
      </c>
      <c r="T628" s="521">
        <v>0</v>
      </c>
      <c r="U628" s="517"/>
      <c r="V628" s="342">
        <f t="shared" si="18"/>
        <v>0</v>
      </c>
      <c r="W628" s="518">
        <f t="shared" si="19"/>
        <v>0</v>
      </c>
      <c r="X628" s="257"/>
    </row>
    <row r="629" spans="1:24" x14ac:dyDescent="0.25">
      <c r="A629">
        <v>624</v>
      </c>
      <c r="B629" t="s">
        <v>622</v>
      </c>
      <c r="C629" t="s">
        <v>15</v>
      </c>
      <c r="D629" t="s">
        <v>16</v>
      </c>
      <c r="F629" s="520">
        <v>0</v>
      </c>
      <c r="G629" s="521">
        <v>0</v>
      </c>
      <c r="H629" s="521">
        <v>0</v>
      </c>
      <c r="I629" s="517"/>
      <c r="J629" s="520">
        <v>0</v>
      </c>
      <c r="K629" s="520">
        <v>0</v>
      </c>
      <c r="L629" s="520">
        <v>0</v>
      </c>
      <c r="M629" s="517"/>
      <c r="N629" s="542">
        <v>0</v>
      </c>
      <c r="O629" s="518">
        <v>0</v>
      </c>
      <c r="P629" s="518">
        <v>0</v>
      </c>
      <c r="Q629" s="519"/>
      <c r="R629" s="516">
        <v>0</v>
      </c>
      <c r="S629" s="521">
        <v>0</v>
      </c>
      <c r="T629" s="521">
        <v>0</v>
      </c>
      <c r="U629" s="517"/>
      <c r="V629" s="342">
        <f t="shared" si="18"/>
        <v>0</v>
      </c>
      <c r="W629" s="518">
        <f t="shared" si="19"/>
        <v>0</v>
      </c>
      <c r="X629" s="257"/>
    </row>
    <row r="630" spans="1:24" x14ac:dyDescent="0.25">
      <c r="A630">
        <v>625</v>
      </c>
      <c r="B630" t="s">
        <v>623</v>
      </c>
      <c r="C630" t="s">
        <v>15</v>
      </c>
      <c r="D630" t="s">
        <v>16</v>
      </c>
      <c r="F630" s="520">
        <v>0</v>
      </c>
      <c r="G630" s="521">
        <v>0</v>
      </c>
      <c r="H630" s="521">
        <v>0</v>
      </c>
      <c r="I630" s="517"/>
      <c r="J630" s="520">
        <v>0</v>
      </c>
      <c r="K630" s="520">
        <v>0</v>
      </c>
      <c r="L630" s="520">
        <v>0</v>
      </c>
      <c r="M630" s="517"/>
      <c r="N630" s="542">
        <v>0</v>
      </c>
      <c r="O630" s="518">
        <v>0</v>
      </c>
      <c r="P630" s="518">
        <v>0</v>
      </c>
      <c r="Q630" s="519"/>
      <c r="R630" s="516">
        <v>0</v>
      </c>
      <c r="S630" s="521">
        <v>0</v>
      </c>
      <c r="T630" s="521">
        <v>0</v>
      </c>
      <c r="U630" s="517"/>
      <c r="V630" s="342">
        <f t="shared" si="18"/>
        <v>0</v>
      </c>
      <c r="W630" s="518">
        <f t="shared" si="19"/>
        <v>0</v>
      </c>
      <c r="X630" s="257"/>
    </row>
    <row r="631" spans="1:24" x14ac:dyDescent="0.25">
      <c r="A631">
        <v>626</v>
      </c>
      <c r="B631" t="s">
        <v>624</v>
      </c>
      <c r="C631" t="s">
        <v>18</v>
      </c>
      <c r="D631" t="s">
        <v>16</v>
      </c>
      <c r="F631" s="520">
        <v>3</v>
      </c>
      <c r="G631" s="521">
        <v>25000</v>
      </c>
      <c r="H631" s="521">
        <v>75</v>
      </c>
      <c r="I631" s="517"/>
      <c r="J631" s="520">
        <v>0</v>
      </c>
      <c r="K631" s="520">
        <v>0</v>
      </c>
      <c r="L631" s="520">
        <v>0</v>
      </c>
      <c r="M631" s="517"/>
      <c r="N631" s="542">
        <v>3</v>
      </c>
      <c r="O631" s="518">
        <v>25000</v>
      </c>
      <c r="P631" s="518">
        <v>75</v>
      </c>
      <c r="Q631" s="519"/>
      <c r="R631" s="516">
        <v>0</v>
      </c>
      <c r="S631" s="521">
        <v>0</v>
      </c>
      <c r="T631" s="521">
        <v>0</v>
      </c>
      <c r="U631" s="517"/>
      <c r="V631" s="342">
        <f t="shared" si="18"/>
        <v>3</v>
      </c>
      <c r="W631" s="518">
        <f t="shared" si="19"/>
        <v>25000</v>
      </c>
      <c r="X631" s="257"/>
    </row>
    <row r="632" spans="1:24" x14ac:dyDescent="0.25">
      <c r="A632">
        <v>627</v>
      </c>
      <c r="B632" t="s">
        <v>625</v>
      </c>
      <c r="C632" t="s">
        <v>525</v>
      </c>
      <c r="D632" t="s">
        <v>16</v>
      </c>
      <c r="F632" s="520">
        <v>5</v>
      </c>
      <c r="G632" s="521">
        <v>57500</v>
      </c>
      <c r="H632" s="521">
        <v>150</v>
      </c>
      <c r="I632" s="517"/>
      <c r="J632" s="520">
        <v>0</v>
      </c>
      <c r="K632" s="520">
        <v>0</v>
      </c>
      <c r="L632" s="520">
        <v>0</v>
      </c>
      <c r="M632" s="517"/>
      <c r="N632" s="542">
        <v>5</v>
      </c>
      <c r="O632" s="518">
        <v>57500</v>
      </c>
      <c r="P632" s="518">
        <v>150</v>
      </c>
      <c r="Q632" s="519"/>
      <c r="R632" s="516">
        <v>0</v>
      </c>
      <c r="S632" s="521">
        <v>0</v>
      </c>
      <c r="T632" s="521">
        <v>0</v>
      </c>
      <c r="U632" s="517"/>
      <c r="V632" s="342">
        <f t="shared" si="18"/>
        <v>5</v>
      </c>
      <c r="W632" s="518">
        <f t="shared" si="19"/>
        <v>57500</v>
      </c>
      <c r="X632" s="257"/>
    </row>
    <row r="633" spans="1:24" x14ac:dyDescent="0.25">
      <c r="A633">
        <v>628</v>
      </c>
      <c r="B633" t="s">
        <v>626</v>
      </c>
      <c r="C633" t="s">
        <v>25</v>
      </c>
      <c r="D633" t="s">
        <v>20</v>
      </c>
      <c r="F633" s="520">
        <v>0</v>
      </c>
      <c r="G633" s="521">
        <v>0</v>
      </c>
      <c r="H633" s="521">
        <v>0</v>
      </c>
      <c r="I633" s="517"/>
      <c r="J633" s="520">
        <v>0</v>
      </c>
      <c r="K633" s="520">
        <v>0</v>
      </c>
      <c r="L633" s="520">
        <v>0</v>
      </c>
      <c r="M633" s="517"/>
      <c r="N633" s="542">
        <v>0</v>
      </c>
      <c r="O633" s="518">
        <v>0</v>
      </c>
      <c r="P633" s="518">
        <v>0</v>
      </c>
      <c r="Q633" s="519"/>
      <c r="R633" s="516">
        <v>0</v>
      </c>
      <c r="S633" s="521">
        <v>0</v>
      </c>
      <c r="T633" s="521">
        <v>0</v>
      </c>
      <c r="U633" s="517"/>
      <c r="V633" s="342">
        <f t="shared" si="18"/>
        <v>0</v>
      </c>
      <c r="W633" s="518">
        <f t="shared" si="19"/>
        <v>0</v>
      </c>
      <c r="X633" s="257"/>
    </row>
    <row r="634" spans="1:24" x14ac:dyDescent="0.25">
      <c r="A634">
        <v>629</v>
      </c>
      <c r="B634" t="s">
        <v>627</v>
      </c>
      <c r="C634" t="s">
        <v>24</v>
      </c>
      <c r="D634" t="s">
        <v>16</v>
      </c>
      <c r="F634" s="520">
        <v>4</v>
      </c>
      <c r="G634" s="521">
        <v>26615.239999999998</v>
      </c>
      <c r="H634" s="521">
        <v>60</v>
      </c>
      <c r="I634" s="517"/>
      <c r="J634" s="520">
        <v>0</v>
      </c>
      <c r="K634" s="520">
        <v>0</v>
      </c>
      <c r="L634" s="520">
        <v>0</v>
      </c>
      <c r="M634" s="517"/>
      <c r="N634" s="542">
        <v>4</v>
      </c>
      <c r="O634" s="518">
        <v>26615.239999999998</v>
      </c>
      <c r="P634" s="518">
        <v>60</v>
      </c>
      <c r="Q634" s="519"/>
      <c r="R634" s="516">
        <v>0</v>
      </c>
      <c r="S634" s="521">
        <v>0</v>
      </c>
      <c r="T634" s="521">
        <v>0</v>
      </c>
      <c r="U634" s="517"/>
      <c r="V634" s="342">
        <f t="shared" si="18"/>
        <v>4</v>
      </c>
      <c r="W634" s="518">
        <f t="shared" si="19"/>
        <v>26615.239999999998</v>
      </c>
      <c r="X634" s="257"/>
    </row>
    <row r="635" spans="1:24" x14ac:dyDescent="0.25">
      <c r="A635">
        <v>630</v>
      </c>
      <c r="B635" t="s">
        <v>628</v>
      </c>
      <c r="C635" t="s">
        <v>25</v>
      </c>
      <c r="D635" t="s">
        <v>16</v>
      </c>
      <c r="F635" s="520">
        <v>59</v>
      </c>
      <c r="G635" s="521">
        <v>692909</v>
      </c>
      <c r="H635" s="521">
        <v>590</v>
      </c>
      <c r="I635" s="517"/>
      <c r="J635" s="520">
        <v>0</v>
      </c>
      <c r="K635" s="520">
        <v>0</v>
      </c>
      <c r="L635" s="520">
        <v>0</v>
      </c>
      <c r="M635" s="517"/>
      <c r="N635" s="542">
        <v>59</v>
      </c>
      <c r="O635" s="518">
        <v>692909</v>
      </c>
      <c r="P635" s="518">
        <v>590</v>
      </c>
      <c r="Q635" s="519"/>
      <c r="R635" s="516">
        <v>0</v>
      </c>
      <c r="S635" s="521">
        <v>0</v>
      </c>
      <c r="T635" s="521">
        <v>0</v>
      </c>
      <c r="U635" s="517"/>
      <c r="V635" s="342">
        <f t="shared" si="18"/>
        <v>59</v>
      </c>
      <c r="W635" s="518">
        <f t="shared" si="19"/>
        <v>692909</v>
      </c>
      <c r="X635" s="257"/>
    </row>
    <row r="636" spans="1:24" x14ac:dyDescent="0.25">
      <c r="A636">
        <v>631</v>
      </c>
      <c r="B636" t="s">
        <v>629</v>
      </c>
      <c r="D636" t="s">
        <v>16</v>
      </c>
      <c r="F636" s="520">
        <v>0</v>
      </c>
      <c r="G636" s="521">
        <v>0</v>
      </c>
      <c r="H636" s="521">
        <v>0</v>
      </c>
      <c r="I636" s="517"/>
      <c r="J636" s="520">
        <v>0</v>
      </c>
      <c r="K636" s="520">
        <v>0</v>
      </c>
      <c r="L636" s="520">
        <v>0</v>
      </c>
      <c r="M636" s="517"/>
      <c r="N636" s="542">
        <v>0</v>
      </c>
      <c r="O636" s="518">
        <v>0</v>
      </c>
      <c r="P636" s="518">
        <v>0</v>
      </c>
      <c r="Q636" s="519"/>
      <c r="R636" s="516">
        <v>0</v>
      </c>
      <c r="S636" s="521">
        <v>0</v>
      </c>
      <c r="T636" s="521">
        <v>0</v>
      </c>
      <c r="U636" s="517"/>
      <c r="V636" s="342">
        <f t="shared" si="18"/>
        <v>0</v>
      </c>
      <c r="W636" s="518">
        <f t="shared" si="19"/>
        <v>0</v>
      </c>
      <c r="X636" s="257"/>
    </row>
    <row r="637" spans="1:24" x14ac:dyDescent="0.25">
      <c r="A637">
        <v>632</v>
      </c>
      <c r="B637" t="s">
        <v>630</v>
      </c>
      <c r="C637" t="s">
        <v>25</v>
      </c>
      <c r="D637" t="s">
        <v>16</v>
      </c>
      <c r="F637" s="520">
        <v>0</v>
      </c>
      <c r="G637" s="521">
        <v>0</v>
      </c>
      <c r="H637" s="521">
        <v>0</v>
      </c>
      <c r="I637" s="517"/>
      <c r="J637" s="520">
        <v>0</v>
      </c>
      <c r="K637" s="520">
        <v>0</v>
      </c>
      <c r="L637" s="520">
        <v>0</v>
      </c>
      <c r="M637" s="517"/>
      <c r="N637" s="542">
        <v>0</v>
      </c>
      <c r="O637" s="518">
        <v>0</v>
      </c>
      <c r="P637" s="518">
        <v>0</v>
      </c>
      <c r="Q637" s="519"/>
      <c r="R637" s="516">
        <v>0</v>
      </c>
      <c r="S637" s="521">
        <v>0</v>
      </c>
      <c r="T637" s="521">
        <v>0</v>
      </c>
      <c r="U637" s="517"/>
      <c r="V637" s="342">
        <f t="shared" si="18"/>
        <v>0</v>
      </c>
      <c r="W637" s="518">
        <f t="shared" si="19"/>
        <v>0</v>
      </c>
      <c r="X637" s="257"/>
    </row>
    <row r="638" spans="1:24" x14ac:dyDescent="0.25">
      <c r="A638">
        <v>633</v>
      </c>
      <c r="B638" t="s">
        <v>636</v>
      </c>
      <c r="F638" s="520">
        <v>0</v>
      </c>
      <c r="G638" s="521">
        <v>0</v>
      </c>
      <c r="H638" s="521">
        <v>0</v>
      </c>
      <c r="I638" s="517"/>
      <c r="J638" s="520">
        <v>0</v>
      </c>
      <c r="K638" s="520">
        <v>0</v>
      </c>
      <c r="L638" s="520">
        <v>0</v>
      </c>
      <c r="M638" s="517"/>
      <c r="N638" s="542">
        <v>0</v>
      </c>
      <c r="O638" s="518">
        <v>0</v>
      </c>
      <c r="P638" s="518">
        <v>0</v>
      </c>
      <c r="Q638" s="519"/>
      <c r="R638" s="516">
        <v>0</v>
      </c>
      <c r="S638" s="521">
        <v>0</v>
      </c>
      <c r="T638" s="521">
        <v>0</v>
      </c>
      <c r="U638" s="517"/>
      <c r="V638" s="342">
        <f t="shared" si="18"/>
        <v>0</v>
      </c>
      <c r="W638" s="518">
        <f t="shared" si="19"/>
        <v>0</v>
      </c>
      <c r="X638" s="257"/>
    </row>
    <row r="639" spans="1:24" x14ac:dyDescent="0.25">
      <c r="A639">
        <v>634</v>
      </c>
      <c r="B639" t="s">
        <v>631</v>
      </c>
      <c r="C639" t="s">
        <v>18</v>
      </c>
      <c r="D639" t="s">
        <v>16</v>
      </c>
      <c r="F639" s="520">
        <v>0</v>
      </c>
      <c r="G639" s="521">
        <v>0</v>
      </c>
      <c r="H639" s="521">
        <v>0</v>
      </c>
      <c r="I639" s="517"/>
      <c r="J639" s="520">
        <v>0</v>
      </c>
      <c r="K639" s="520">
        <v>0</v>
      </c>
      <c r="L639" s="520">
        <v>0</v>
      </c>
      <c r="M639" s="517"/>
      <c r="N639" s="542">
        <v>0</v>
      </c>
      <c r="O639" s="518">
        <v>0</v>
      </c>
      <c r="P639" s="518">
        <v>0</v>
      </c>
      <c r="Q639" s="519"/>
      <c r="R639" s="516">
        <v>0</v>
      </c>
      <c r="S639" s="521">
        <v>0</v>
      </c>
      <c r="T639" s="521">
        <v>0</v>
      </c>
      <c r="U639" s="517"/>
      <c r="V639" s="342">
        <f t="shared" si="18"/>
        <v>0</v>
      </c>
      <c r="W639" s="518">
        <f t="shared" si="19"/>
        <v>0</v>
      </c>
      <c r="X639" s="257"/>
    </row>
    <row r="640" spans="1:24" x14ac:dyDescent="0.25">
      <c r="A640">
        <v>635</v>
      </c>
      <c r="B640" t="s">
        <v>642</v>
      </c>
      <c r="C640" t="s">
        <v>15</v>
      </c>
      <c r="D640" t="s">
        <v>16</v>
      </c>
      <c r="F640" s="520">
        <v>0</v>
      </c>
      <c r="G640" s="521">
        <v>0</v>
      </c>
      <c r="H640" s="521">
        <v>0</v>
      </c>
      <c r="I640" s="517"/>
      <c r="J640" s="520">
        <v>0</v>
      </c>
      <c r="K640" s="520">
        <v>0</v>
      </c>
      <c r="L640" s="520">
        <v>0</v>
      </c>
      <c r="M640" s="517"/>
      <c r="N640" s="542">
        <v>0</v>
      </c>
      <c r="O640" s="518">
        <v>0</v>
      </c>
      <c r="P640" s="518">
        <v>0</v>
      </c>
      <c r="Q640" s="519"/>
      <c r="R640" s="516">
        <v>0</v>
      </c>
      <c r="S640" s="521">
        <v>0</v>
      </c>
      <c r="T640" s="521">
        <v>0</v>
      </c>
      <c r="U640" s="517"/>
      <c r="V640" s="342">
        <f t="shared" si="18"/>
        <v>0</v>
      </c>
      <c r="W640" s="518">
        <f t="shared" si="19"/>
        <v>0</v>
      </c>
      <c r="X640" s="257"/>
    </row>
    <row r="641" spans="1:24" x14ac:dyDescent="0.25">
      <c r="A641">
        <v>636</v>
      </c>
      <c r="B641" t="s">
        <v>632</v>
      </c>
      <c r="C641" t="s">
        <v>15</v>
      </c>
      <c r="D641" t="s">
        <v>16</v>
      </c>
      <c r="F641" s="520">
        <v>0</v>
      </c>
      <c r="G641" s="521">
        <v>0</v>
      </c>
      <c r="H641" s="521">
        <v>0</v>
      </c>
      <c r="I641" s="517"/>
      <c r="J641" s="520">
        <v>0</v>
      </c>
      <c r="K641" s="520">
        <v>0</v>
      </c>
      <c r="L641" s="520">
        <v>0</v>
      </c>
      <c r="M641" s="517"/>
      <c r="N641" s="542">
        <v>0</v>
      </c>
      <c r="O641" s="518">
        <v>0</v>
      </c>
      <c r="P641" s="518">
        <v>0</v>
      </c>
      <c r="Q641" s="519"/>
      <c r="R641" s="516">
        <v>0</v>
      </c>
      <c r="S641" s="521">
        <v>0</v>
      </c>
      <c r="T641" s="521">
        <v>0</v>
      </c>
      <c r="U641" s="517"/>
      <c r="V641" s="342">
        <f t="shared" si="18"/>
        <v>0</v>
      </c>
      <c r="W641" s="518">
        <f t="shared" si="19"/>
        <v>0</v>
      </c>
      <c r="X641" s="257"/>
    </row>
    <row r="642" spans="1:24" x14ac:dyDescent="0.25">
      <c r="A642">
        <v>637</v>
      </c>
      <c r="B642" t="s">
        <v>633</v>
      </c>
      <c r="C642" t="s">
        <v>15</v>
      </c>
      <c r="D642" t="s">
        <v>16</v>
      </c>
      <c r="F642" s="520">
        <v>1</v>
      </c>
      <c r="G642" s="521">
        <v>20000</v>
      </c>
      <c r="H642" s="521">
        <v>25</v>
      </c>
      <c r="I642" s="517"/>
      <c r="J642" s="520">
        <v>0</v>
      </c>
      <c r="K642" s="520">
        <v>0</v>
      </c>
      <c r="L642" s="520">
        <v>0</v>
      </c>
      <c r="M642" s="517"/>
      <c r="N642" s="542">
        <v>1</v>
      </c>
      <c r="O642" s="518">
        <v>20000</v>
      </c>
      <c r="P642" s="518">
        <v>25</v>
      </c>
      <c r="Q642" s="519"/>
      <c r="R642" s="516">
        <v>0</v>
      </c>
      <c r="S642" s="521">
        <v>0</v>
      </c>
      <c r="T642" s="521">
        <v>0</v>
      </c>
      <c r="U642" s="517"/>
      <c r="V642" s="342">
        <f t="shared" si="18"/>
        <v>1</v>
      </c>
      <c r="W642" s="518">
        <f t="shared" si="19"/>
        <v>20000</v>
      </c>
      <c r="X642" s="257"/>
    </row>
    <row r="643" spans="1:24" x14ac:dyDescent="0.25">
      <c r="A643">
        <v>638</v>
      </c>
      <c r="B643" t="s">
        <v>634</v>
      </c>
      <c r="C643" t="s">
        <v>39</v>
      </c>
      <c r="D643" t="s">
        <v>16</v>
      </c>
      <c r="F643" s="520">
        <v>0</v>
      </c>
      <c r="G643" s="521">
        <v>0</v>
      </c>
      <c r="H643" s="521">
        <v>0</v>
      </c>
      <c r="I643" s="517"/>
      <c r="J643" s="520">
        <v>0</v>
      </c>
      <c r="K643" s="520">
        <v>0</v>
      </c>
      <c r="L643" s="520">
        <v>0</v>
      </c>
      <c r="M643" s="517"/>
      <c r="N643" s="542">
        <v>0</v>
      </c>
      <c r="O643" s="518">
        <v>0</v>
      </c>
      <c r="P643" s="518">
        <v>0</v>
      </c>
      <c r="Q643" s="519"/>
      <c r="R643" s="516">
        <v>0</v>
      </c>
      <c r="S643" s="521">
        <v>0</v>
      </c>
      <c r="T643" s="521">
        <v>0</v>
      </c>
      <c r="U643" s="517"/>
      <c r="V643" s="342">
        <f t="shared" si="18"/>
        <v>0</v>
      </c>
      <c r="W643" s="518">
        <f t="shared" si="19"/>
        <v>0</v>
      </c>
      <c r="X643" s="257"/>
    </row>
    <row r="644" spans="1:24" x14ac:dyDescent="0.25">
      <c r="A644">
        <v>639</v>
      </c>
      <c r="B644" t="s">
        <v>635</v>
      </c>
      <c r="D644" t="s">
        <v>20</v>
      </c>
      <c r="F644" s="520">
        <v>0</v>
      </c>
      <c r="G644" s="521">
        <v>0</v>
      </c>
      <c r="H644" s="521">
        <v>0</v>
      </c>
      <c r="I644" s="517"/>
      <c r="J644" s="520">
        <v>0</v>
      </c>
      <c r="K644" s="520">
        <v>0</v>
      </c>
      <c r="L644" s="520">
        <v>0</v>
      </c>
      <c r="M644" s="517"/>
      <c r="N644" s="542">
        <v>0</v>
      </c>
      <c r="O644" s="518">
        <v>0</v>
      </c>
      <c r="P644" s="518">
        <v>0</v>
      </c>
      <c r="Q644" s="519"/>
      <c r="R644" s="516">
        <v>0</v>
      </c>
      <c r="S644" s="521">
        <v>0</v>
      </c>
      <c r="T644" s="521">
        <v>0</v>
      </c>
      <c r="U644" s="517"/>
      <c r="V644" s="342">
        <f t="shared" si="18"/>
        <v>0</v>
      </c>
      <c r="W644" s="518">
        <f t="shared" si="19"/>
        <v>0</v>
      </c>
      <c r="X644" s="257"/>
    </row>
    <row r="645" spans="1:24" x14ac:dyDescent="0.25">
      <c r="A645">
        <v>640</v>
      </c>
      <c r="B645" t="s">
        <v>637</v>
      </c>
      <c r="C645" t="s">
        <v>25</v>
      </c>
      <c r="D645" t="s">
        <v>369</v>
      </c>
      <c r="F645" s="520">
        <v>1596</v>
      </c>
      <c r="G645" s="521">
        <v>3753238.88</v>
      </c>
      <c r="H645" s="521">
        <v>14364</v>
      </c>
      <c r="I645" s="517"/>
      <c r="J645" s="520">
        <v>0</v>
      </c>
      <c r="K645" s="520">
        <v>0</v>
      </c>
      <c r="L645" s="520">
        <v>0</v>
      </c>
      <c r="M645" s="517"/>
      <c r="N645" s="542">
        <v>1596</v>
      </c>
      <c r="O645" s="518">
        <v>3753238.88</v>
      </c>
      <c r="P645" s="518">
        <v>14364</v>
      </c>
      <c r="Q645" s="519"/>
      <c r="R645" s="516">
        <v>0</v>
      </c>
      <c r="S645" s="521">
        <v>0</v>
      </c>
      <c r="T645" s="521">
        <v>0</v>
      </c>
      <c r="U645" s="517"/>
      <c r="V645" s="342">
        <f t="shared" si="18"/>
        <v>1596</v>
      </c>
      <c r="W645" s="518">
        <f t="shared" si="19"/>
        <v>3753238.88</v>
      </c>
      <c r="X645" s="257"/>
    </row>
    <row r="646" spans="1:24" x14ac:dyDescent="0.25">
      <c r="A646">
        <v>641</v>
      </c>
      <c r="B646" t="s">
        <v>2431</v>
      </c>
      <c r="C646" t="s">
        <v>41</v>
      </c>
      <c r="D646" t="s">
        <v>20</v>
      </c>
      <c r="F646" s="520">
        <v>21</v>
      </c>
      <c r="G646" s="521">
        <v>3084504</v>
      </c>
      <c r="H646" s="521">
        <v>3100</v>
      </c>
      <c r="I646" s="517"/>
      <c r="J646" s="520">
        <v>0</v>
      </c>
      <c r="K646" s="520">
        <v>0</v>
      </c>
      <c r="L646" s="520">
        <v>0</v>
      </c>
      <c r="M646" s="517"/>
      <c r="N646" s="542">
        <v>21</v>
      </c>
      <c r="O646" s="518">
        <v>3084504</v>
      </c>
      <c r="P646" s="518">
        <v>3100</v>
      </c>
      <c r="Q646" s="519"/>
      <c r="R646" s="516">
        <v>0</v>
      </c>
      <c r="S646" s="521">
        <v>0</v>
      </c>
      <c r="T646" s="521">
        <v>0</v>
      </c>
      <c r="U646" s="517"/>
      <c r="V646" s="342">
        <f t="shared" ref="V646:V699" si="20">N646-R646</f>
        <v>21</v>
      </c>
      <c r="W646" s="518">
        <f t="shared" ref="W646:W699" si="21">O646-S646-T646</f>
        <v>3084504</v>
      </c>
      <c r="X646" s="257"/>
    </row>
    <row r="647" spans="1:24" x14ac:dyDescent="0.25">
      <c r="A647">
        <v>642</v>
      </c>
      <c r="B647" t="s">
        <v>638</v>
      </c>
      <c r="C647" t="s">
        <v>15</v>
      </c>
      <c r="D647" t="s">
        <v>16</v>
      </c>
      <c r="F647" s="520">
        <v>0</v>
      </c>
      <c r="G647" s="521">
        <v>0</v>
      </c>
      <c r="H647" s="521">
        <v>0</v>
      </c>
      <c r="I647" s="517"/>
      <c r="J647" s="520">
        <v>0</v>
      </c>
      <c r="K647" s="520">
        <v>0</v>
      </c>
      <c r="L647" s="520">
        <v>0</v>
      </c>
      <c r="M647" s="517"/>
      <c r="N647" s="542">
        <v>0</v>
      </c>
      <c r="O647" s="518">
        <v>0</v>
      </c>
      <c r="P647" s="518">
        <v>0</v>
      </c>
      <c r="Q647" s="519"/>
      <c r="R647" s="516">
        <v>0</v>
      </c>
      <c r="S647" s="521">
        <v>0</v>
      </c>
      <c r="T647" s="521">
        <v>0</v>
      </c>
      <c r="U647" s="517"/>
      <c r="V647" s="342">
        <f t="shared" si="20"/>
        <v>0</v>
      </c>
      <c r="W647" s="518">
        <f t="shared" si="21"/>
        <v>0</v>
      </c>
      <c r="X647" s="257"/>
    </row>
    <row r="648" spans="1:24" x14ac:dyDescent="0.25">
      <c r="A648">
        <v>643</v>
      </c>
      <c r="B648" t="s">
        <v>639</v>
      </c>
      <c r="C648" t="s">
        <v>154</v>
      </c>
      <c r="D648" t="s">
        <v>45</v>
      </c>
      <c r="F648" s="520">
        <v>0</v>
      </c>
      <c r="G648" s="521">
        <v>0</v>
      </c>
      <c r="H648" s="521">
        <v>0</v>
      </c>
      <c r="I648" s="517"/>
      <c r="J648" s="520">
        <v>0</v>
      </c>
      <c r="K648" s="520">
        <v>0</v>
      </c>
      <c r="L648" s="520">
        <v>0</v>
      </c>
      <c r="M648" s="517"/>
      <c r="N648" s="542">
        <v>0</v>
      </c>
      <c r="O648" s="518">
        <v>0</v>
      </c>
      <c r="P648" s="518">
        <v>0</v>
      </c>
      <c r="Q648" s="519"/>
      <c r="R648" s="516">
        <v>0</v>
      </c>
      <c r="S648" s="521">
        <v>0</v>
      </c>
      <c r="T648" s="521">
        <v>0</v>
      </c>
      <c r="U648" s="517"/>
      <c r="V648" s="342">
        <f t="shared" si="20"/>
        <v>0</v>
      </c>
      <c r="W648" s="518">
        <f t="shared" si="21"/>
        <v>0</v>
      </c>
      <c r="X648" s="257"/>
    </row>
    <row r="649" spans="1:24" x14ac:dyDescent="0.25">
      <c r="A649">
        <v>644</v>
      </c>
      <c r="B649" t="s">
        <v>640</v>
      </c>
      <c r="C649" t="s">
        <v>136</v>
      </c>
      <c r="D649" t="s">
        <v>16</v>
      </c>
      <c r="F649" s="520">
        <v>0</v>
      </c>
      <c r="G649" s="521">
        <v>0</v>
      </c>
      <c r="H649" s="521">
        <v>0</v>
      </c>
      <c r="I649" s="517"/>
      <c r="J649" s="520">
        <v>0</v>
      </c>
      <c r="K649" s="520">
        <v>0</v>
      </c>
      <c r="L649" s="520">
        <v>0</v>
      </c>
      <c r="M649" s="517"/>
      <c r="N649" s="542">
        <v>0</v>
      </c>
      <c r="O649" s="518">
        <v>0</v>
      </c>
      <c r="P649" s="518">
        <v>0</v>
      </c>
      <c r="Q649" s="519"/>
      <c r="R649" s="516">
        <v>3</v>
      </c>
      <c r="S649" s="521">
        <v>17291</v>
      </c>
      <c r="T649" s="521">
        <v>0</v>
      </c>
      <c r="U649" s="517"/>
      <c r="V649" s="342">
        <f t="shared" si="20"/>
        <v>-3</v>
      </c>
      <c r="W649" s="518">
        <f t="shared" si="21"/>
        <v>-17291</v>
      </c>
      <c r="X649" s="257"/>
    </row>
    <row r="650" spans="1:24" x14ac:dyDescent="0.25">
      <c r="A650">
        <v>645</v>
      </c>
      <c r="B650" t="s">
        <v>641</v>
      </c>
      <c r="C650" t="s">
        <v>18</v>
      </c>
      <c r="D650" t="s">
        <v>16</v>
      </c>
      <c r="F650" s="520">
        <v>5</v>
      </c>
      <c r="G650" s="521">
        <v>46460</v>
      </c>
      <c r="H650" s="521">
        <v>250</v>
      </c>
      <c r="I650" s="517"/>
      <c r="J650" s="520">
        <v>0</v>
      </c>
      <c r="K650" s="520">
        <v>0</v>
      </c>
      <c r="L650" s="520">
        <v>0</v>
      </c>
      <c r="M650" s="517"/>
      <c r="N650" s="542">
        <v>5</v>
      </c>
      <c r="O650" s="518">
        <v>46460</v>
      </c>
      <c r="P650" s="518">
        <v>250</v>
      </c>
      <c r="Q650" s="519"/>
      <c r="R650" s="516">
        <v>3</v>
      </c>
      <c r="S650" s="521">
        <v>9550</v>
      </c>
      <c r="T650" s="521">
        <v>0</v>
      </c>
      <c r="U650" s="517"/>
      <c r="V650" s="342">
        <f t="shared" si="20"/>
        <v>2</v>
      </c>
      <c r="W650" s="518">
        <f t="shared" si="21"/>
        <v>36910</v>
      </c>
      <c r="X650" s="257"/>
    </row>
    <row r="651" spans="1:24" x14ac:dyDescent="0.25">
      <c r="A651">
        <v>646</v>
      </c>
      <c r="B651" t="s">
        <v>643</v>
      </c>
      <c r="C651" t="s">
        <v>15</v>
      </c>
      <c r="D651" t="s">
        <v>16</v>
      </c>
      <c r="F651" s="520">
        <v>1</v>
      </c>
      <c r="G651" s="521">
        <v>5310</v>
      </c>
      <c r="H651" s="521">
        <v>50</v>
      </c>
      <c r="I651" s="517"/>
      <c r="J651" s="520">
        <v>0</v>
      </c>
      <c r="K651" s="520">
        <v>0</v>
      </c>
      <c r="L651" s="520">
        <v>0</v>
      </c>
      <c r="M651" s="517"/>
      <c r="N651" s="542">
        <v>1</v>
      </c>
      <c r="O651" s="518">
        <v>5310</v>
      </c>
      <c r="P651" s="518">
        <v>50</v>
      </c>
      <c r="Q651" s="519"/>
      <c r="R651" s="516">
        <v>1</v>
      </c>
      <c r="S651" s="521">
        <v>4000</v>
      </c>
      <c r="T651" s="521">
        <v>0</v>
      </c>
      <c r="U651" s="517"/>
      <c r="V651" s="342">
        <f t="shared" si="20"/>
        <v>0</v>
      </c>
      <c r="W651" s="518">
        <f t="shared" si="21"/>
        <v>1310</v>
      </c>
      <c r="X651" s="257"/>
    </row>
    <row r="652" spans="1:24" x14ac:dyDescent="0.25">
      <c r="A652">
        <v>647</v>
      </c>
      <c r="B652" t="s">
        <v>644</v>
      </c>
      <c r="C652" t="s">
        <v>15</v>
      </c>
      <c r="D652" t="s">
        <v>16</v>
      </c>
      <c r="F652" s="520">
        <v>0</v>
      </c>
      <c r="G652" s="521">
        <v>0</v>
      </c>
      <c r="H652" s="521">
        <v>0</v>
      </c>
      <c r="I652" s="517"/>
      <c r="J652" s="520">
        <v>0</v>
      </c>
      <c r="K652" s="520">
        <v>0</v>
      </c>
      <c r="L652" s="520">
        <v>0</v>
      </c>
      <c r="M652" s="517"/>
      <c r="N652" s="542">
        <v>0</v>
      </c>
      <c r="O652" s="518">
        <v>0</v>
      </c>
      <c r="P652" s="518">
        <v>0</v>
      </c>
      <c r="Q652" s="519"/>
      <c r="R652" s="516">
        <v>0</v>
      </c>
      <c r="S652" s="521">
        <v>0</v>
      </c>
      <c r="T652" s="521">
        <v>0</v>
      </c>
      <c r="U652" s="517"/>
      <c r="V652" s="342">
        <f t="shared" si="20"/>
        <v>0</v>
      </c>
      <c r="W652" s="518">
        <f t="shared" si="21"/>
        <v>0</v>
      </c>
      <c r="X652" s="257"/>
    </row>
    <row r="653" spans="1:24" x14ac:dyDescent="0.25">
      <c r="A653">
        <v>648</v>
      </c>
      <c r="B653" t="s">
        <v>645</v>
      </c>
      <c r="D653" t="s">
        <v>20</v>
      </c>
      <c r="F653" s="520">
        <v>0</v>
      </c>
      <c r="G653" s="521">
        <v>0</v>
      </c>
      <c r="H653" s="521">
        <v>0</v>
      </c>
      <c r="I653" s="517"/>
      <c r="J653" s="520">
        <v>0</v>
      </c>
      <c r="K653" s="520">
        <v>0</v>
      </c>
      <c r="L653" s="520">
        <v>0</v>
      </c>
      <c r="M653" s="517"/>
      <c r="N653" s="542">
        <v>0</v>
      </c>
      <c r="O653" s="518">
        <v>0</v>
      </c>
      <c r="P653" s="518">
        <v>0</v>
      </c>
      <c r="Q653" s="519"/>
      <c r="R653" s="516">
        <v>0</v>
      </c>
      <c r="S653" s="521">
        <v>0</v>
      </c>
      <c r="T653" s="521">
        <v>0</v>
      </c>
      <c r="U653" s="517"/>
      <c r="V653" s="342">
        <f t="shared" si="20"/>
        <v>0</v>
      </c>
      <c r="W653" s="518">
        <f t="shared" si="21"/>
        <v>0</v>
      </c>
      <c r="X653" s="257"/>
    </row>
    <row r="654" spans="1:24" x14ac:dyDescent="0.25">
      <c r="A654">
        <v>649</v>
      </c>
      <c r="B654" t="s">
        <v>646</v>
      </c>
      <c r="C654" t="s">
        <v>18</v>
      </c>
      <c r="D654" t="s">
        <v>20</v>
      </c>
      <c r="F654" s="520">
        <v>0</v>
      </c>
      <c r="G654" s="521">
        <v>0</v>
      </c>
      <c r="H654" s="521">
        <v>0</v>
      </c>
      <c r="I654" s="517"/>
      <c r="J654" s="520">
        <v>0</v>
      </c>
      <c r="K654" s="520">
        <v>0</v>
      </c>
      <c r="L654" s="520">
        <v>0</v>
      </c>
      <c r="M654" s="517"/>
      <c r="N654" s="542">
        <v>0</v>
      </c>
      <c r="O654" s="518">
        <v>0</v>
      </c>
      <c r="P654" s="518">
        <v>0</v>
      </c>
      <c r="Q654" s="519"/>
      <c r="R654" s="516">
        <v>60</v>
      </c>
      <c r="S654" s="521">
        <v>88397.27</v>
      </c>
      <c r="T654" s="521">
        <v>0</v>
      </c>
      <c r="U654" s="517"/>
      <c r="V654" s="342">
        <f t="shared" si="20"/>
        <v>-60</v>
      </c>
      <c r="W654" s="518">
        <f t="shared" si="21"/>
        <v>-88397.27</v>
      </c>
      <c r="X654" s="257"/>
    </row>
    <row r="655" spans="1:24" x14ac:dyDescent="0.25">
      <c r="A655">
        <v>650</v>
      </c>
      <c r="B655" t="s">
        <v>647</v>
      </c>
      <c r="C655" t="s">
        <v>18</v>
      </c>
      <c r="D655" t="s">
        <v>20</v>
      </c>
      <c r="F655" s="520">
        <v>0</v>
      </c>
      <c r="G655" s="521">
        <v>0</v>
      </c>
      <c r="H655" s="521">
        <v>0</v>
      </c>
      <c r="I655" s="517"/>
      <c r="J655" s="520">
        <v>0</v>
      </c>
      <c r="K655" s="520">
        <v>0</v>
      </c>
      <c r="L655" s="520">
        <v>0</v>
      </c>
      <c r="M655" s="517"/>
      <c r="N655" s="542">
        <v>0</v>
      </c>
      <c r="O655" s="518">
        <v>0</v>
      </c>
      <c r="P655" s="518">
        <v>0</v>
      </c>
      <c r="Q655" s="519"/>
      <c r="R655" s="516">
        <v>5</v>
      </c>
      <c r="S655" s="521">
        <v>19033</v>
      </c>
      <c r="T655" s="521">
        <v>0</v>
      </c>
      <c r="U655" s="517"/>
      <c r="V655" s="342">
        <f t="shared" si="20"/>
        <v>-5</v>
      </c>
      <c r="W655" s="518">
        <f t="shared" si="21"/>
        <v>-19033</v>
      </c>
      <c r="X655" s="257"/>
    </row>
    <row r="656" spans="1:24" x14ac:dyDescent="0.25">
      <c r="A656">
        <v>651</v>
      </c>
      <c r="B656" t="s">
        <v>2432</v>
      </c>
      <c r="C656" t="s">
        <v>18</v>
      </c>
      <c r="D656" t="s">
        <v>16</v>
      </c>
      <c r="F656" s="520">
        <v>0</v>
      </c>
      <c r="G656" s="521">
        <v>0</v>
      </c>
      <c r="H656" s="521">
        <v>0</v>
      </c>
      <c r="I656" s="517"/>
      <c r="J656" s="520">
        <v>0</v>
      </c>
      <c r="K656" s="520">
        <v>0</v>
      </c>
      <c r="L656" s="520">
        <v>0</v>
      </c>
      <c r="M656" s="517"/>
      <c r="N656" s="542">
        <v>0</v>
      </c>
      <c r="O656" s="518">
        <v>0</v>
      </c>
      <c r="P656" s="518">
        <v>0</v>
      </c>
      <c r="Q656" s="519"/>
      <c r="R656" s="516">
        <v>0</v>
      </c>
      <c r="S656" s="521">
        <v>0</v>
      </c>
      <c r="T656" s="521">
        <v>0</v>
      </c>
      <c r="U656" s="517"/>
      <c r="V656" s="342">
        <f t="shared" si="20"/>
        <v>0</v>
      </c>
      <c r="W656" s="518">
        <f t="shared" si="21"/>
        <v>0</v>
      </c>
      <c r="X656" s="257"/>
    </row>
    <row r="657" spans="1:24" x14ac:dyDescent="0.25">
      <c r="A657">
        <v>652</v>
      </c>
      <c r="B657" t="s">
        <v>648</v>
      </c>
      <c r="C657" t="s">
        <v>355</v>
      </c>
      <c r="D657" t="s">
        <v>16</v>
      </c>
      <c r="F657" s="520">
        <v>8</v>
      </c>
      <c r="G657" s="521">
        <v>9556.39</v>
      </c>
      <c r="H657" s="521">
        <v>64</v>
      </c>
      <c r="I657" s="517"/>
      <c r="J657" s="520">
        <v>0</v>
      </c>
      <c r="K657" s="520">
        <v>0</v>
      </c>
      <c r="L657" s="520">
        <v>0</v>
      </c>
      <c r="M657" s="517"/>
      <c r="N657" s="542">
        <v>8</v>
      </c>
      <c r="O657" s="518">
        <v>9556.39</v>
      </c>
      <c r="P657" s="518">
        <v>64</v>
      </c>
      <c r="Q657" s="519"/>
      <c r="R657" s="516">
        <v>0</v>
      </c>
      <c r="S657" s="521">
        <v>0</v>
      </c>
      <c r="T657" s="521">
        <v>0</v>
      </c>
      <c r="U657" s="517"/>
      <c r="V657" s="342">
        <f t="shared" si="20"/>
        <v>8</v>
      </c>
      <c r="W657" s="518">
        <f t="shared" si="21"/>
        <v>9556.39</v>
      </c>
      <c r="X657" s="257"/>
    </row>
    <row r="658" spans="1:24" x14ac:dyDescent="0.25">
      <c r="A658">
        <v>653</v>
      </c>
      <c r="B658" t="s">
        <v>649</v>
      </c>
      <c r="C658" t="s">
        <v>24</v>
      </c>
      <c r="D658" t="s">
        <v>16</v>
      </c>
      <c r="F658" s="520">
        <v>95</v>
      </c>
      <c r="G658" s="521">
        <v>177937.59000000003</v>
      </c>
      <c r="H658" s="521">
        <v>950</v>
      </c>
      <c r="I658" s="517"/>
      <c r="J658" s="520">
        <v>0</v>
      </c>
      <c r="K658" s="520">
        <v>0</v>
      </c>
      <c r="L658" s="520">
        <v>0</v>
      </c>
      <c r="M658" s="517"/>
      <c r="N658" s="542">
        <v>95</v>
      </c>
      <c r="O658" s="518">
        <v>177937.59000000003</v>
      </c>
      <c r="P658" s="518">
        <v>950</v>
      </c>
      <c r="Q658" s="519"/>
      <c r="R658" s="516">
        <v>0</v>
      </c>
      <c r="S658" s="521">
        <v>0</v>
      </c>
      <c r="T658" s="521">
        <v>0</v>
      </c>
      <c r="U658" s="517"/>
      <c r="V658" s="342">
        <f t="shared" si="20"/>
        <v>95</v>
      </c>
      <c r="W658" s="518">
        <f t="shared" si="21"/>
        <v>177937.59000000003</v>
      </c>
      <c r="X658" s="257"/>
    </row>
    <row r="659" spans="1:24" x14ac:dyDescent="0.25">
      <c r="A659">
        <v>654</v>
      </c>
      <c r="B659" t="s">
        <v>650</v>
      </c>
      <c r="C659" t="s">
        <v>366</v>
      </c>
      <c r="D659" t="s">
        <v>20</v>
      </c>
      <c r="F659" s="520">
        <v>0</v>
      </c>
      <c r="G659" s="521">
        <v>0</v>
      </c>
      <c r="H659" s="521">
        <v>0</v>
      </c>
      <c r="I659" s="517"/>
      <c r="J659" s="520">
        <v>0</v>
      </c>
      <c r="K659" s="520">
        <v>0</v>
      </c>
      <c r="L659" s="520">
        <v>0</v>
      </c>
      <c r="M659" s="517"/>
      <c r="N659" s="542">
        <v>0</v>
      </c>
      <c r="O659" s="518">
        <v>0</v>
      </c>
      <c r="P659" s="518">
        <v>0</v>
      </c>
      <c r="Q659" s="519"/>
      <c r="R659" s="516">
        <v>13</v>
      </c>
      <c r="S659" s="521">
        <v>1123930.2</v>
      </c>
      <c r="T659" s="521">
        <v>0</v>
      </c>
      <c r="U659" s="517"/>
      <c r="V659" s="342">
        <f t="shared" si="20"/>
        <v>-13</v>
      </c>
      <c r="W659" s="518">
        <f t="shared" si="21"/>
        <v>-1123930.2</v>
      </c>
      <c r="X659" s="257"/>
    </row>
    <row r="660" spans="1:24" x14ac:dyDescent="0.25">
      <c r="A660">
        <v>655</v>
      </c>
      <c r="B660" t="s">
        <v>651</v>
      </c>
      <c r="C660" t="s">
        <v>15</v>
      </c>
      <c r="D660" t="s">
        <v>16</v>
      </c>
      <c r="F660" s="520">
        <v>2</v>
      </c>
      <c r="G660" s="521">
        <v>58307.34</v>
      </c>
      <c r="H660" s="521">
        <v>300</v>
      </c>
      <c r="I660" s="517"/>
      <c r="J660" s="520">
        <v>0</v>
      </c>
      <c r="K660" s="520">
        <v>0</v>
      </c>
      <c r="L660" s="520">
        <v>0</v>
      </c>
      <c r="M660" s="517"/>
      <c r="N660" s="542">
        <v>2</v>
      </c>
      <c r="O660" s="518">
        <v>58307.34</v>
      </c>
      <c r="P660" s="518">
        <v>300</v>
      </c>
      <c r="Q660" s="519"/>
      <c r="R660" s="516">
        <v>4</v>
      </c>
      <c r="S660" s="521">
        <v>788636</v>
      </c>
      <c r="T660" s="521">
        <v>0</v>
      </c>
      <c r="U660" s="517"/>
      <c r="V660" s="342">
        <f t="shared" si="20"/>
        <v>-2</v>
      </c>
      <c r="W660" s="518">
        <f t="shared" si="21"/>
        <v>-730328.66</v>
      </c>
      <c r="X660" s="257"/>
    </row>
    <row r="661" spans="1:24" x14ac:dyDescent="0.25">
      <c r="A661">
        <v>656</v>
      </c>
      <c r="B661" t="s">
        <v>652</v>
      </c>
      <c r="C661" t="s">
        <v>154</v>
      </c>
      <c r="D661" t="s">
        <v>16</v>
      </c>
      <c r="F661" s="520">
        <v>0</v>
      </c>
      <c r="G661" s="521">
        <v>0</v>
      </c>
      <c r="H661" s="521">
        <v>0</v>
      </c>
      <c r="I661" s="517"/>
      <c r="J661" s="520">
        <v>0</v>
      </c>
      <c r="K661" s="520">
        <v>0</v>
      </c>
      <c r="L661" s="520">
        <v>0</v>
      </c>
      <c r="M661" s="517"/>
      <c r="N661" s="542">
        <v>0</v>
      </c>
      <c r="O661" s="518">
        <v>0</v>
      </c>
      <c r="P661" s="518">
        <v>0</v>
      </c>
      <c r="Q661" s="519"/>
      <c r="R661" s="516">
        <v>20</v>
      </c>
      <c r="S661" s="521">
        <v>24726.39</v>
      </c>
      <c r="T661" s="521">
        <v>0</v>
      </c>
      <c r="U661" s="517"/>
      <c r="V661" s="342">
        <f t="shared" si="20"/>
        <v>-20</v>
      </c>
      <c r="W661" s="518">
        <f t="shared" si="21"/>
        <v>-24726.39</v>
      </c>
      <c r="X661" s="257"/>
    </row>
    <row r="662" spans="1:24" x14ac:dyDescent="0.25">
      <c r="A662">
        <v>657</v>
      </c>
      <c r="B662" t="s">
        <v>653</v>
      </c>
      <c r="C662" t="s">
        <v>18</v>
      </c>
      <c r="D662" t="s">
        <v>16</v>
      </c>
      <c r="F662" s="520">
        <v>0</v>
      </c>
      <c r="G662" s="521">
        <v>0</v>
      </c>
      <c r="H662" s="521">
        <v>0</v>
      </c>
      <c r="I662" s="517"/>
      <c r="J662" s="520">
        <v>0</v>
      </c>
      <c r="K662" s="520">
        <v>0</v>
      </c>
      <c r="L662" s="520">
        <v>0</v>
      </c>
      <c r="M662" s="517"/>
      <c r="N662" s="542">
        <v>0</v>
      </c>
      <c r="O662" s="518">
        <v>0</v>
      </c>
      <c r="P662" s="518">
        <v>0</v>
      </c>
      <c r="Q662" s="519"/>
      <c r="R662" s="516">
        <v>9</v>
      </c>
      <c r="S662" s="521">
        <v>344739.49</v>
      </c>
      <c r="T662" s="521">
        <v>315</v>
      </c>
      <c r="U662" s="517"/>
      <c r="V662" s="342">
        <f t="shared" si="20"/>
        <v>-9</v>
      </c>
      <c r="W662" s="518">
        <f t="shared" si="21"/>
        <v>-345054.49</v>
      </c>
      <c r="X662" s="257"/>
    </row>
    <row r="663" spans="1:24" x14ac:dyDescent="0.25">
      <c r="A663">
        <v>658</v>
      </c>
      <c r="B663" t="s">
        <v>654</v>
      </c>
      <c r="C663" t="s">
        <v>25</v>
      </c>
      <c r="D663" t="s">
        <v>40</v>
      </c>
      <c r="F663" s="520">
        <v>60</v>
      </c>
      <c r="G663" s="521">
        <v>64200</v>
      </c>
      <c r="H663" s="521">
        <v>0</v>
      </c>
      <c r="I663" s="517"/>
      <c r="J663" s="520">
        <v>0</v>
      </c>
      <c r="K663" s="520">
        <v>0</v>
      </c>
      <c r="L663" s="520">
        <v>0</v>
      </c>
      <c r="M663" s="517"/>
      <c r="N663" s="542">
        <v>60</v>
      </c>
      <c r="O663" s="518">
        <v>64200</v>
      </c>
      <c r="P663" s="518">
        <v>0</v>
      </c>
      <c r="Q663" s="519"/>
      <c r="R663" s="516">
        <v>253</v>
      </c>
      <c r="S663" s="521">
        <v>335132.93</v>
      </c>
      <c r="T663" s="521">
        <v>0</v>
      </c>
      <c r="U663" s="517"/>
      <c r="V663" s="342">
        <f t="shared" si="20"/>
        <v>-193</v>
      </c>
      <c r="W663" s="518">
        <f t="shared" si="21"/>
        <v>-270932.93</v>
      </c>
      <c r="X663" s="257"/>
    </row>
    <row r="664" spans="1:24" x14ac:dyDescent="0.25">
      <c r="A664">
        <v>659</v>
      </c>
      <c r="B664" t="s">
        <v>655</v>
      </c>
      <c r="C664" t="s">
        <v>24</v>
      </c>
      <c r="D664" t="s">
        <v>20</v>
      </c>
      <c r="F664" s="520">
        <v>1</v>
      </c>
      <c r="G664" s="521">
        <v>320.7</v>
      </c>
      <c r="H664" s="521">
        <v>10</v>
      </c>
      <c r="I664" s="517"/>
      <c r="J664" s="520">
        <v>0</v>
      </c>
      <c r="K664" s="520">
        <v>0</v>
      </c>
      <c r="L664" s="520">
        <v>0</v>
      </c>
      <c r="M664" s="517"/>
      <c r="N664" s="542">
        <v>1</v>
      </c>
      <c r="O664" s="518">
        <v>320.7</v>
      </c>
      <c r="P664" s="518">
        <v>10</v>
      </c>
      <c r="Q664" s="519"/>
      <c r="R664" s="516">
        <v>135</v>
      </c>
      <c r="S664" s="521">
        <v>148640.01999999999</v>
      </c>
      <c r="T664" s="521">
        <v>0</v>
      </c>
      <c r="U664" s="517"/>
      <c r="V664" s="342">
        <f t="shared" si="20"/>
        <v>-134</v>
      </c>
      <c r="W664" s="518">
        <f t="shared" si="21"/>
        <v>-148319.31999999998</v>
      </c>
      <c r="X664" s="257"/>
    </row>
    <row r="665" spans="1:24" x14ac:dyDescent="0.25">
      <c r="A665">
        <v>660</v>
      </c>
      <c r="B665" t="s">
        <v>656</v>
      </c>
      <c r="C665" t="s">
        <v>24</v>
      </c>
      <c r="D665" t="s">
        <v>20</v>
      </c>
      <c r="F665" s="520">
        <v>22</v>
      </c>
      <c r="G665" s="521">
        <v>4850</v>
      </c>
      <c r="H665" s="521">
        <v>165</v>
      </c>
      <c r="I665" s="517"/>
      <c r="J665" s="520">
        <v>0</v>
      </c>
      <c r="K665" s="520">
        <v>0</v>
      </c>
      <c r="L665" s="520">
        <v>0</v>
      </c>
      <c r="M665" s="517"/>
      <c r="N665" s="542">
        <v>22</v>
      </c>
      <c r="O665" s="518">
        <v>4850</v>
      </c>
      <c r="P665" s="518">
        <v>165</v>
      </c>
      <c r="Q665" s="519"/>
      <c r="R665" s="516">
        <v>0</v>
      </c>
      <c r="S665" s="521">
        <v>0</v>
      </c>
      <c r="T665" s="521">
        <v>0</v>
      </c>
      <c r="U665" s="517"/>
      <c r="V665" s="342">
        <f t="shared" si="20"/>
        <v>22</v>
      </c>
      <c r="W665" s="518">
        <f t="shared" si="21"/>
        <v>4850</v>
      </c>
      <c r="X665" s="257"/>
    </row>
    <row r="666" spans="1:24" x14ac:dyDescent="0.25">
      <c r="A666">
        <v>661</v>
      </c>
      <c r="B666" t="s">
        <v>657</v>
      </c>
      <c r="C666" t="s">
        <v>15</v>
      </c>
      <c r="D666" t="s">
        <v>20</v>
      </c>
      <c r="F666" s="520">
        <v>1002</v>
      </c>
      <c r="G666" s="521">
        <v>11890002.43</v>
      </c>
      <c r="H666" s="521">
        <v>74280</v>
      </c>
      <c r="I666" s="517"/>
      <c r="J666" s="520">
        <v>0</v>
      </c>
      <c r="K666" s="520">
        <v>0</v>
      </c>
      <c r="L666" s="520">
        <v>0</v>
      </c>
      <c r="M666" s="517"/>
      <c r="N666" s="542">
        <v>1002</v>
      </c>
      <c r="O666" s="518">
        <v>11890002.43</v>
      </c>
      <c r="P666" s="518">
        <v>74280</v>
      </c>
      <c r="Q666" s="519"/>
      <c r="R666" s="516">
        <v>0</v>
      </c>
      <c r="S666" s="521">
        <v>0</v>
      </c>
      <c r="T666" s="521">
        <v>0</v>
      </c>
      <c r="U666" s="517"/>
      <c r="V666" s="342">
        <f t="shared" si="20"/>
        <v>1002</v>
      </c>
      <c r="W666" s="518">
        <f t="shared" si="21"/>
        <v>11890002.43</v>
      </c>
      <c r="X666" s="257"/>
    </row>
    <row r="667" spans="1:24" x14ac:dyDescent="0.25">
      <c r="A667">
        <v>662</v>
      </c>
      <c r="B667" t="s">
        <v>658</v>
      </c>
      <c r="C667" t="s">
        <v>24</v>
      </c>
      <c r="D667" t="s">
        <v>659</v>
      </c>
      <c r="F667" s="520">
        <v>0</v>
      </c>
      <c r="G667" s="521">
        <v>0</v>
      </c>
      <c r="H667" s="521">
        <v>0</v>
      </c>
      <c r="I667" s="517"/>
      <c r="J667" s="520">
        <v>0</v>
      </c>
      <c r="K667" s="520">
        <v>0</v>
      </c>
      <c r="L667" s="520">
        <v>0</v>
      </c>
      <c r="M667" s="517"/>
      <c r="N667" s="542">
        <v>0</v>
      </c>
      <c r="O667" s="518">
        <v>0</v>
      </c>
      <c r="P667" s="518">
        <v>0</v>
      </c>
      <c r="Q667" s="519"/>
      <c r="R667" s="516">
        <v>0</v>
      </c>
      <c r="S667" s="521">
        <v>0</v>
      </c>
      <c r="T667" s="521">
        <v>0</v>
      </c>
      <c r="U667" s="517"/>
      <c r="V667" s="342">
        <f t="shared" si="20"/>
        <v>0</v>
      </c>
      <c r="W667" s="518">
        <f t="shared" si="21"/>
        <v>0</v>
      </c>
      <c r="X667" s="257"/>
    </row>
    <row r="668" spans="1:24" x14ac:dyDescent="0.25">
      <c r="A668">
        <v>663</v>
      </c>
      <c r="B668" t="s">
        <v>660</v>
      </c>
      <c r="C668" t="s">
        <v>24</v>
      </c>
      <c r="D668" t="s">
        <v>659</v>
      </c>
      <c r="F668" s="520">
        <v>0</v>
      </c>
      <c r="G668" s="521">
        <v>0</v>
      </c>
      <c r="H668" s="521">
        <v>0</v>
      </c>
      <c r="I668" s="517"/>
      <c r="J668" s="520">
        <v>0</v>
      </c>
      <c r="K668" s="520">
        <v>0</v>
      </c>
      <c r="L668" s="520">
        <v>0</v>
      </c>
      <c r="M668" s="517"/>
      <c r="N668" s="542">
        <v>0</v>
      </c>
      <c r="O668" s="518">
        <v>0</v>
      </c>
      <c r="P668" s="518">
        <v>0</v>
      </c>
      <c r="Q668" s="519"/>
      <c r="R668" s="516">
        <v>0</v>
      </c>
      <c r="S668" s="521">
        <v>0</v>
      </c>
      <c r="T668" s="521">
        <v>0</v>
      </c>
      <c r="U668" s="517"/>
      <c r="V668" s="342">
        <f t="shared" si="20"/>
        <v>0</v>
      </c>
      <c r="W668" s="518">
        <f t="shared" si="21"/>
        <v>0</v>
      </c>
      <c r="X668" s="257"/>
    </row>
    <row r="669" spans="1:24" x14ac:dyDescent="0.25">
      <c r="A669">
        <v>664</v>
      </c>
      <c r="B669" t="s">
        <v>661</v>
      </c>
      <c r="D669" t="s">
        <v>40</v>
      </c>
      <c r="F669" s="520">
        <v>0</v>
      </c>
      <c r="G669" s="521">
        <v>0</v>
      </c>
      <c r="H669" s="521">
        <v>0</v>
      </c>
      <c r="I669" s="517"/>
      <c r="J669" s="520">
        <v>0</v>
      </c>
      <c r="K669" s="520">
        <v>0</v>
      </c>
      <c r="L669" s="520">
        <v>0</v>
      </c>
      <c r="M669" s="517"/>
      <c r="N669" s="542">
        <v>0</v>
      </c>
      <c r="O669" s="518">
        <v>0</v>
      </c>
      <c r="P669" s="518">
        <v>0</v>
      </c>
      <c r="Q669" s="519"/>
      <c r="R669" s="516">
        <v>0</v>
      </c>
      <c r="S669" s="521">
        <v>0</v>
      </c>
      <c r="T669" s="521">
        <v>0</v>
      </c>
      <c r="U669" s="517"/>
      <c r="V669" s="342">
        <f t="shared" si="20"/>
        <v>0</v>
      </c>
      <c r="W669" s="518">
        <f t="shared" si="21"/>
        <v>0</v>
      </c>
      <c r="X669" s="257"/>
    </row>
    <row r="670" spans="1:24" x14ac:dyDescent="0.25">
      <c r="A670">
        <v>665</v>
      </c>
      <c r="B670" t="s">
        <v>662</v>
      </c>
      <c r="D670" t="s">
        <v>16</v>
      </c>
      <c r="F670" s="520">
        <v>0</v>
      </c>
      <c r="G670" s="521">
        <v>0</v>
      </c>
      <c r="H670" s="521">
        <v>0</v>
      </c>
      <c r="I670" s="517"/>
      <c r="J670" s="520">
        <v>0</v>
      </c>
      <c r="K670" s="520">
        <v>0</v>
      </c>
      <c r="L670" s="520">
        <v>0</v>
      </c>
      <c r="M670" s="517"/>
      <c r="N670" s="542">
        <v>0</v>
      </c>
      <c r="O670" s="518">
        <v>0</v>
      </c>
      <c r="P670" s="518">
        <v>0</v>
      </c>
      <c r="Q670" s="519"/>
      <c r="R670" s="516">
        <v>0</v>
      </c>
      <c r="S670" s="521">
        <v>0</v>
      </c>
      <c r="T670" s="521">
        <v>0</v>
      </c>
      <c r="U670" s="517"/>
      <c r="V670" s="342">
        <f t="shared" si="20"/>
        <v>0</v>
      </c>
      <c r="W670" s="518">
        <f t="shared" si="21"/>
        <v>0</v>
      </c>
      <c r="X670" s="257"/>
    </row>
    <row r="671" spans="1:24" x14ac:dyDescent="0.25">
      <c r="A671">
        <v>666</v>
      </c>
      <c r="B671" t="s">
        <v>663</v>
      </c>
      <c r="D671" t="s">
        <v>16</v>
      </c>
      <c r="F671" s="520">
        <v>0</v>
      </c>
      <c r="G671" s="521">
        <v>0</v>
      </c>
      <c r="H671" s="521">
        <v>0</v>
      </c>
      <c r="I671" s="517"/>
      <c r="J671" s="520">
        <v>0</v>
      </c>
      <c r="K671" s="520">
        <v>0</v>
      </c>
      <c r="L671" s="520">
        <v>0</v>
      </c>
      <c r="M671" s="517"/>
      <c r="N671" s="542">
        <v>0</v>
      </c>
      <c r="O671" s="518">
        <v>0</v>
      </c>
      <c r="P671" s="518">
        <v>0</v>
      </c>
      <c r="Q671" s="519"/>
      <c r="R671" s="516">
        <v>0</v>
      </c>
      <c r="S671" s="521">
        <v>0</v>
      </c>
      <c r="T671" s="521">
        <v>0</v>
      </c>
      <c r="U671" s="517"/>
      <c r="V671" s="342">
        <f t="shared" si="20"/>
        <v>0</v>
      </c>
      <c r="W671" s="518">
        <f t="shared" si="21"/>
        <v>0</v>
      </c>
      <c r="X671" s="257"/>
    </row>
    <row r="672" spans="1:24" x14ac:dyDescent="0.25">
      <c r="A672">
        <v>667</v>
      </c>
      <c r="B672" t="s">
        <v>664</v>
      </c>
      <c r="D672" t="s">
        <v>16</v>
      </c>
      <c r="F672" s="520">
        <v>0</v>
      </c>
      <c r="G672" s="521">
        <v>0</v>
      </c>
      <c r="H672" s="521">
        <v>0</v>
      </c>
      <c r="I672" s="517"/>
      <c r="J672" s="520">
        <v>0</v>
      </c>
      <c r="K672" s="520">
        <v>0</v>
      </c>
      <c r="L672" s="520">
        <v>0</v>
      </c>
      <c r="M672" s="517"/>
      <c r="N672" s="542">
        <v>0</v>
      </c>
      <c r="O672" s="518">
        <v>0</v>
      </c>
      <c r="P672" s="518">
        <v>0</v>
      </c>
      <c r="Q672" s="519"/>
      <c r="R672" s="516">
        <v>0</v>
      </c>
      <c r="S672" s="521">
        <v>0</v>
      </c>
      <c r="T672" s="521">
        <v>0</v>
      </c>
      <c r="U672" s="517"/>
      <c r="V672" s="342">
        <f t="shared" si="20"/>
        <v>0</v>
      </c>
      <c r="W672" s="518">
        <f t="shared" si="21"/>
        <v>0</v>
      </c>
      <c r="X672" s="257"/>
    </row>
    <row r="673" spans="1:24" x14ac:dyDescent="0.25">
      <c r="A673">
        <v>668</v>
      </c>
      <c r="B673" t="s">
        <v>665</v>
      </c>
      <c r="D673" t="s">
        <v>327</v>
      </c>
      <c r="F673" s="520">
        <v>0</v>
      </c>
      <c r="G673" s="521">
        <v>0</v>
      </c>
      <c r="H673" s="521">
        <v>0</v>
      </c>
      <c r="I673" s="517"/>
      <c r="J673" s="520">
        <v>0</v>
      </c>
      <c r="K673" s="520">
        <v>0</v>
      </c>
      <c r="L673" s="520">
        <v>0</v>
      </c>
      <c r="M673" s="517"/>
      <c r="N673" s="542">
        <v>0</v>
      </c>
      <c r="O673" s="518">
        <v>0</v>
      </c>
      <c r="P673" s="518">
        <v>0</v>
      </c>
      <c r="Q673" s="519"/>
      <c r="R673" s="516">
        <v>1</v>
      </c>
      <c r="S673" s="521">
        <v>46125.279999999999</v>
      </c>
      <c r="T673" s="521">
        <v>35</v>
      </c>
      <c r="U673" s="517"/>
      <c r="V673" s="342">
        <f t="shared" si="20"/>
        <v>-1</v>
      </c>
      <c r="W673" s="518">
        <f t="shared" si="21"/>
        <v>-46160.28</v>
      </c>
      <c r="X673" s="257"/>
    </row>
    <row r="674" spans="1:24" x14ac:dyDescent="0.25">
      <c r="A674">
        <v>669</v>
      </c>
      <c r="B674" t="s">
        <v>666</v>
      </c>
      <c r="D674" t="s">
        <v>16</v>
      </c>
      <c r="F674" s="520">
        <v>0</v>
      </c>
      <c r="G674" s="521">
        <v>0</v>
      </c>
      <c r="H674" s="521">
        <v>0</v>
      </c>
      <c r="I674" s="517"/>
      <c r="J674" s="520">
        <v>0</v>
      </c>
      <c r="K674" s="520">
        <v>0</v>
      </c>
      <c r="L674" s="520">
        <v>0</v>
      </c>
      <c r="M674" s="517"/>
      <c r="N674" s="542">
        <v>0</v>
      </c>
      <c r="O674" s="518">
        <v>0</v>
      </c>
      <c r="P674" s="518">
        <v>0</v>
      </c>
      <c r="Q674" s="519"/>
      <c r="R674" s="516">
        <v>5</v>
      </c>
      <c r="S674" s="521">
        <v>18596</v>
      </c>
      <c r="T674" s="521">
        <v>0</v>
      </c>
      <c r="U674" s="517"/>
      <c r="V674" s="342">
        <f t="shared" si="20"/>
        <v>-5</v>
      </c>
      <c r="W674" s="518">
        <f t="shared" si="21"/>
        <v>-18596</v>
      </c>
      <c r="X674" s="257"/>
    </row>
    <row r="675" spans="1:24" x14ac:dyDescent="0.25">
      <c r="A675">
        <v>670</v>
      </c>
      <c r="B675" t="s">
        <v>667</v>
      </c>
      <c r="D675" t="s">
        <v>16</v>
      </c>
      <c r="F675" s="520">
        <v>0</v>
      </c>
      <c r="G675" s="521">
        <v>0</v>
      </c>
      <c r="H675" s="521">
        <v>0</v>
      </c>
      <c r="I675" s="517"/>
      <c r="J675" s="520">
        <v>0</v>
      </c>
      <c r="K675" s="520">
        <v>0</v>
      </c>
      <c r="L675" s="520">
        <v>0</v>
      </c>
      <c r="M675" s="517"/>
      <c r="N675" s="542">
        <v>0</v>
      </c>
      <c r="O675" s="518">
        <v>0</v>
      </c>
      <c r="P675" s="518">
        <v>0</v>
      </c>
      <c r="Q675" s="519"/>
      <c r="R675" s="516">
        <v>3</v>
      </c>
      <c r="S675" s="521">
        <v>132175</v>
      </c>
      <c r="T675" s="521">
        <v>0</v>
      </c>
      <c r="U675" s="517"/>
      <c r="V675" s="342">
        <f t="shared" si="20"/>
        <v>-3</v>
      </c>
      <c r="W675" s="518">
        <f t="shared" si="21"/>
        <v>-132175</v>
      </c>
      <c r="X675" s="257"/>
    </row>
    <row r="676" spans="1:24" x14ac:dyDescent="0.25">
      <c r="A676">
        <v>671</v>
      </c>
      <c r="B676" t="s">
        <v>668</v>
      </c>
      <c r="D676" t="s">
        <v>16</v>
      </c>
      <c r="F676" s="520">
        <v>0</v>
      </c>
      <c r="G676" s="521">
        <v>0</v>
      </c>
      <c r="H676" s="521">
        <v>0</v>
      </c>
      <c r="I676" s="517"/>
      <c r="J676" s="520">
        <v>0</v>
      </c>
      <c r="K676" s="520">
        <v>0</v>
      </c>
      <c r="L676" s="520">
        <v>0</v>
      </c>
      <c r="M676" s="517"/>
      <c r="N676" s="542">
        <v>0</v>
      </c>
      <c r="O676" s="518">
        <v>0</v>
      </c>
      <c r="P676" s="518">
        <v>0</v>
      </c>
      <c r="Q676" s="519"/>
      <c r="R676" s="516">
        <v>4</v>
      </c>
      <c r="S676" s="521">
        <v>157216</v>
      </c>
      <c r="T676" s="521">
        <v>0</v>
      </c>
      <c r="U676" s="517"/>
      <c r="V676" s="342">
        <f t="shared" si="20"/>
        <v>-4</v>
      </c>
      <c r="W676" s="518">
        <f t="shared" si="21"/>
        <v>-157216</v>
      </c>
      <c r="X676" s="257"/>
    </row>
    <row r="677" spans="1:24" x14ac:dyDescent="0.25">
      <c r="A677">
        <v>672</v>
      </c>
      <c r="B677" t="s">
        <v>669</v>
      </c>
      <c r="D677" t="s">
        <v>16</v>
      </c>
      <c r="F677" s="520">
        <v>0</v>
      </c>
      <c r="G677" s="521">
        <v>0</v>
      </c>
      <c r="H677" s="521">
        <v>0</v>
      </c>
      <c r="I677" s="517"/>
      <c r="J677" s="520">
        <v>0</v>
      </c>
      <c r="K677" s="520">
        <v>0</v>
      </c>
      <c r="L677" s="520">
        <v>0</v>
      </c>
      <c r="M677" s="517"/>
      <c r="N677" s="542">
        <v>0</v>
      </c>
      <c r="O677" s="518">
        <v>0</v>
      </c>
      <c r="P677" s="518">
        <v>0</v>
      </c>
      <c r="Q677" s="519"/>
      <c r="R677" s="516">
        <v>11</v>
      </c>
      <c r="S677" s="521">
        <v>406226</v>
      </c>
      <c r="T677" s="521">
        <v>0</v>
      </c>
      <c r="U677" s="517"/>
      <c r="V677" s="342">
        <f t="shared" si="20"/>
        <v>-11</v>
      </c>
      <c r="W677" s="518">
        <f t="shared" si="21"/>
        <v>-406226</v>
      </c>
      <c r="X677" s="257"/>
    </row>
    <row r="678" spans="1:24" x14ac:dyDescent="0.25">
      <c r="A678">
        <v>673</v>
      </c>
      <c r="B678" t="s">
        <v>670</v>
      </c>
      <c r="D678" t="s">
        <v>16</v>
      </c>
      <c r="F678" s="520">
        <v>0</v>
      </c>
      <c r="G678" s="521">
        <v>0</v>
      </c>
      <c r="H678" s="521">
        <v>0</v>
      </c>
      <c r="I678" s="517"/>
      <c r="J678" s="520">
        <v>0</v>
      </c>
      <c r="K678" s="520">
        <v>0</v>
      </c>
      <c r="L678" s="520">
        <v>0</v>
      </c>
      <c r="M678" s="517"/>
      <c r="N678" s="542">
        <v>0</v>
      </c>
      <c r="O678" s="518">
        <v>0</v>
      </c>
      <c r="P678" s="518">
        <v>0</v>
      </c>
      <c r="Q678" s="519"/>
      <c r="R678" s="516">
        <v>0</v>
      </c>
      <c r="S678" s="521">
        <v>0</v>
      </c>
      <c r="T678" s="521">
        <v>0</v>
      </c>
      <c r="U678" s="517"/>
      <c r="V678" s="342">
        <f t="shared" si="20"/>
        <v>0</v>
      </c>
      <c r="W678" s="518">
        <f t="shared" si="21"/>
        <v>0</v>
      </c>
      <c r="X678" s="257"/>
    </row>
    <row r="679" spans="1:24" x14ac:dyDescent="0.25">
      <c r="A679">
        <v>674</v>
      </c>
      <c r="B679" t="s">
        <v>671</v>
      </c>
      <c r="D679" t="s">
        <v>16</v>
      </c>
      <c r="F679" s="520">
        <v>0</v>
      </c>
      <c r="G679" s="521">
        <v>0</v>
      </c>
      <c r="H679" s="521">
        <v>0</v>
      </c>
      <c r="I679" s="517"/>
      <c r="J679" s="520">
        <v>0</v>
      </c>
      <c r="K679" s="520">
        <v>0</v>
      </c>
      <c r="L679" s="520">
        <v>0</v>
      </c>
      <c r="M679" s="517"/>
      <c r="N679" s="542">
        <v>0</v>
      </c>
      <c r="O679" s="518">
        <v>0</v>
      </c>
      <c r="P679" s="518">
        <v>0</v>
      </c>
      <c r="Q679" s="519"/>
      <c r="R679" s="516">
        <v>1</v>
      </c>
      <c r="S679" s="521">
        <v>5946.43</v>
      </c>
      <c r="T679" s="521">
        <v>0</v>
      </c>
      <c r="U679" s="517"/>
      <c r="V679" s="342">
        <f t="shared" si="20"/>
        <v>-1</v>
      </c>
      <c r="W679" s="518">
        <f t="shared" si="21"/>
        <v>-5946.43</v>
      </c>
      <c r="X679" s="257"/>
    </row>
    <row r="680" spans="1:24" x14ac:dyDescent="0.25">
      <c r="A680">
        <v>675</v>
      </c>
      <c r="B680" t="s">
        <v>672</v>
      </c>
      <c r="D680" t="s">
        <v>16</v>
      </c>
      <c r="F680" s="520">
        <v>0</v>
      </c>
      <c r="G680" s="521">
        <v>0</v>
      </c>
      <c r="H680" s="521">
        <v>0</v>
      </c>
      <c r="I680" s="517"/>
      <c r="J680" s="520">
        <v>0</v>
      </c>
      <c r="K680" s="520">
        <v>0</v>
      </c>
      <c r="L680" s="520">
        <v>0</v>
      </c>
      <c r="M680" s="517"/>
      <c r="N680" s="542">
        <v>0</v>
      </c>
      <c r="O680" s="518">
        <v>0</v>
      </c>
      <c r="P680" s="518">
        <v>0</v>
      </c>
      <c r="Q680" s="519"/>
      <c r="R680" s="516">
        <v>20</v>
      </c>
      <c r="S680" s="521">
        <v>1074253</v>
      </c>
      <c r="T680" s="521">
        <v>0</v>
      </c>
      <c r="U680" s="517"/>
      <c r="V680" s="342">
        <f t="shared" si="20"/>
        <v>-20</v>
      </c>
      <c r="W680" s="518">
        <f t="shared" si="21"/>
        <v>-1074253</v>
      </c>
      <c r="X680" s="257"/>
    </row>
    <row r="681" spans="1:24" x14ac:dyDescent="0.25">
      <c r="A681">
        <v>676</v>
      </c>
      <c r="B681" t="s">
        <v>673</v>
      </c>
      <c r="D681" t="s">
        <v>16</v>
      </c>
      <c r="F681" s="520">
        <v>0</v>
      </c>
      <c r="G681" s="521">
        <v>0</v>
      </c>
      <c r="H681" s="521">
        <v>0</v>
      </c>
      <c r="I681" s="517"/>
      <c r="J681" s="520">
        <v>0</v>
      </c>
      <c r="K681" s="520">
        <v>0</v>
      </c>
      <c r="L681" s="520">
        <v>0</v>
      </c>
      <c r="M681" s="517"/>
      <c r="N681" s="542">
        <v>0</v>
      </c>
      <c r="O681" s="518">
        <v>0</v>
      </c>
      <c r="P681" s="518">
        <v>0</v>
      </c>
      <c r="Q681" s="519"/>
      <c r="R681" s="516">
        <v>2</v>
      </c>
      <c r="S681" s="521">
        <v>87419</v>
      </c>
      <c r="T681" s="521">
        <v>0</v>
      </c>
      <c r="U681" s="517"/>
      <c r="V681" s="342">
        <f t="shared" si="20"/>
        <v>-2</v>
      </c>
      <c r="W681" s="518">
        <f t="shared" si="21"/>
        <v>-87419</v>
      </c>
      <c r="X681" s="257"/>
    </row>
    <row r="682" spans="1:24" x14ac:dyDescent="0.25">
      <c r="A682">
        <v>677</v>
      </c>
      <c r="B682" t="s">
        <v>674</v>
      </c>
      <c r="D682" t="s">
        <v>16</v>
      </c>
      <c r="F682" s="520">
        <v>0</v>
      </c>
      <c r="G682" s="521">
        <v>0</v>
      </c>
      <c r="H682" s="521">
        <v>0</v>
      </c>
      <c r="I682" s="517"/>
      <c r="J682" s="520">
        <v>0</v>
      </c>
      <c r="K682" s="520">
        <v>0</v>
      </c>
      <c r="L682" s="520">
        <v>0</v>
      </c>
      <c r="M682" s="517"/>
      <c r="N682" s="542">
        <v>0</v>
      </c>
      <c r="O682" s="518">
        <v>0</v>
      </c>
      <c r="P682" s="518">
        <v>0</v>
      </c>
      <c r="Q682" s="519"/>
      <c r="R682" s="516">
        <v>18</v>
      </c>
      <c r="S682" s="521">
        <v>298677.26</v>
      </c>
      <c r="T682" s="521">
        <v>0</v>
      </c>
      <c r="U682" s="517"/>
      <c r="V682" s="342">
        <f t="shared" si="20"/>
        <v>-18</v>
      </c>
      <c r="W682" s="518">
        <f t="shared" si="21"/>
        <v>-298677.26</v>
      </c>
      <c r="X682" s="257"/>
    </row>
    <row r="683" spans="1:24" x14ac:dyDescent="0.25">
      <c r="A683">
        <v>678</v>
      </c>
      <c r="B683" t="s">
        <v>675</v>
      </c>
      <c r="D683" t="s">
        <v>16</v>
      </c>
      <c r="F683" s="520">
        <v>220</v>
      </c>
      <c r="G683" s="521">
        <v>18793363.199999999</v>
      </c>
      <c r="H683" s="521">
        <v>5745</v>
      </c>
      <c r="I683" s="517"/>
      <c r="J683" s="520">
        <v>0</v>
      </c>
      <c r="K683" s="520">
        <v>0</v>
      </c>
      <c r="L683" s="520">
        <v>0</v>
      </c>
      <c r="M683" s="517"/>
      <c r="N683" s="542">
        <v>220</v>
      </c>
      <c r="O683" s="518">
        <v>18793363.199999999</v>
      </c>
      <c r="P683" s="518">
        <v>5745</v>
      </c>
      <c r="Q683" s="519"/>
      <c r="R683" s="516">
        <v>0</v>
      </c>
      <c r="S683" s="521">
        <v>0</v>
      </c>
      <c r="T683" s="521">
        <v>0</v>
      </c>
      <c r="U683" s="517"/>
      <c r="V683" s="342">
        <f t="shared" si="20"/>
        <v>220</v>
      </c>
      <c r="W683" s="518">
        <f t="shared" si="21"/>
        <v>18793363.199999999</v>
      </c>
      <c r="X683" s="257"/>
    </row>
    <row r="684" spans="1:24" x14ac:dyDescent="0.25">
      <c r="A684">
        <v>679</v>
      </c>
      <c r="B684" t="s">
        <v>676</v>
      </c>
      <c r="D684" t="s">
        <v>16</v>
      </c>
      <c r="F684" s="520">
        <v>0</v>
      </c>
      <c r="G684" s="521">
        <v>0</v>
      </c>
      <c r="H684" s="521">
        <v>0</v>
      </c>
      <c r="I684" s="517"/>
      <c r="J684" s="520">
        <v>0</v>
      </c>
      <c r="K684" s="520">
        <v>0</v>
      </c>
      <c r="L684" s="520">
        <v>0</v>
      </c>
      <c r="M684" s="517"/>
      <c r="N684" s="542">
        <v>0</v>
      </c>
      <c r="O684" s="518">
        <v>0</v>
      </c>
      <c r="P684" s="518">
        <v>0</v>
      </c>
      <c r="Q684" s="519"/>
      <c r="R684" s="516">
        <v>0</v>
      </c>
      <c r="S684" s="521">
        <v>0</v>
      </c>
      <c r="T684" s="521">
        <v>0</v>
      </c>
      <c r="U684" s="517"/>
      <c r="V684" s="342">
        <f t="shared" si="20"/>
        <v>0</v>
      </c>
      <c r="W684" s="518">
        <f t="shared" si="21"/>
        <v>0</v>
      </c>
      <c r="X684" s="257"/>
    </row>
    <row r="685" spans="1:24" x14ac:dyDescent="0.25">
      <c r="A685">
        <v>680</v>
      </c>
      <c r="B685" t="s">
        <v>677</v>
      </c>
      <c r="D685" t="s">
        <v>16</v>
      </c>
      <c r="F685" s="520">
        <v>0</v>
      </c>
      <c r="G685" s="521">
        <v>0</v>
      </c>
      <c r="H685" s="521">
        <v>0</v>
      </c>
      <c r="I685" s="517"/>
      <c r="J685" s="520">
        <v>0</v>
      </c>
      <c r="K685" s="520">
        <v>0</v>
      </c>
      <c r="L685" s="520">
        <v>0</v>
      </c>
      <c r="M685" s="517"/>
      <c r="N685" s="542">
        <v>0</v>
      </c>
      <c r="O685" s="518">
        <v>0</v>
      </c>
      <c r="P685" s="518">
        <v>0</v>
      </c>
      <c r="Q685" s="519"/>
      <c r="R685" s="516">
        <v>0</v>
      </c>
      <c r="S685" s="521">
        <v>0</v>
      </c>
      <c r="T685" s="521">
        <v>0</v>
      </c>
      <c r="U685" s="517"/>
      <c r="V685" s="342">
        <f t="shared" si="20"/>
        <v>0</v>
      </c>
      <c r="W685" s="518">
        <f t="shared" si="21"/>
        <v>0</v>
      </c>
      <c r="X685" s="257"/>
    </row>
    <row r="686" spans="1:24" x14ac:dyDescent="0.25">
      <c r="A686">
        <v>681</v>
      </c>
      <c r="B686" t="s">
        <v>678</v>
      </c>
      <c r="D686" t="s">
        <v>16</v>
      </c>
      <c r="F686" s="520">
        <v>0</v>
      </c>
      <c r="G686" s="521">
        <v>0</v>
      </c>
      <c r="H686" s="521">
        <v>0</v>
      </c>
      <c r="I686" s="517"/>
      <c r="J686" s="520">
        <v>0</v>
      </c>
      <c r="K686" s="520">
        <v>0</v>
      </c>
      <c r="L686" s="520">
        <v>0</v>
      </c>
      <c r="M686" s="517"/>
      <c r="N686" s="542">
        <v>0</v>
      </c>
      <c r="O686" s="518">
        <v>0</v>
      </c>
      <c r="P686" s="518">
        <v>0</v>
      </c>
      <c r="Q686" s="519"/>
      <c r="R686" s="516">
        <v>6</v>
      </c>
      <c r="S686" s="521">
        <v>15502.5</v>
      </c>
      <c r="T686" s="521">
        <v>0</v>
      </c>
      <c r="U686" s="517"/>
      <c r="V686" s="342">
        <f t="shared" si="20"/>
        <v>-6</v>
      </c>
      <c r="W686" s="518">
        <f t="shared" si="21"/>
        <v>-15502.5</v>
      </c>
      <c r="X686" s="257"/>
    </row>
    <row r="687" spans="1:24" x14ac:dyDescent="0.25">
      <c r="A687">
        <v>682</v>
      </c>
      <c r="B687" t="s">
        <v>679</v>
      </c>
      <c r="D687" t="s">
        <v>16</v>
      </c>
      <c r="F687" s="520">
        <v>0</v>
      </c>
      <c r="G687" s="521">
        <v>0</v>
      </c>
      <c r="H687" s="521">
        <v>0</v>
      </c>
      <c r="I687" s="517"/>
      <c r="J687" s="520">
        <v>0</v>
      </c>
      <c r="K687" s="520">
        <v>0</v>
      </c>
      <c r="L687" s="520">
        <v>0</v>
      </c>
      <c r="M687" s="517"/>
      <c r="N687" s="542">
        <v>0</v>
      </c>
      <c r="O687" s="518">
        <v>0</v>
      </c>
      <c r="P687" s="518">
        <v>0</v>
      </c>
      <c r="Q687" s="519"/>
      <c r="R687" s="516">
        <v>0</v>
      </c>
      <c r="S687" s="521">
        <v>0</v>
      </c>
      <c r="T687" s="521">
        <v>0</v>
      </c>
      <c r="U687" s="517"/>
      <c r="V687" s="342">
        <f t="shared" si="20"/>
        <v>0</v>
      </c>
      <c r="W687" s="518">
        <f t="shared" si="21"/>
        <v>0</v>
      </c>
      <c r="X687" s="257"/>
    </row>
    <row r="688" spans="1:24" x14ac:dyDescent="0.25">
      <c r="A688">
        <v>683</v>
      </c>
      <c r="B688" t="s">
        <v>680</v>
      </c>
      <c r="D688" t="s">
        <v>16</v>
      </c>
      <c r="F688" s="520">
        <v>0</v>
      </c>
      <c r="G688" s="521">
        <v>0</v>
      </c>
      <c r="H688" s="521">
        <v>0</v>
      </c>
      <c r="I688" s="517"/>
      <c r="J688" s="520">
        <v>0</v>
      </c>
      <c r="K688" s="520">
        <v>0</v>
      </c>
      <c r="L688" s="520">
        <v>0</v>
      </c>
      <c r="M688" s="517"/>
      <c r="N688" s="542">
        <v>0</v>
      </c>
      <c r="O688" s="518">
        <v>0</v>
      </c>
      <c r="P688" s="518">
        <v>0</v>
      </c>
      <c r="Q688" s="519"/>
      <c r="R688" s="516">
        <v>0</v>
      </c>
      <c r="S688" s="521">
        <v>0</v>
      </c>
      <c r="T688" s="521">
        <v>0</v>
      </c>
      <c r="U688" s="517"/>
      <c r="V688" s="342">
        <f t="shared" si="20"/>
        <v>0</v>
      </c>
      <c r="W688" s="518">
        <f t="shared" si="21"/>
        <v>0</v>
      </c>
      <c r="X688" s="257"/>
    </row>
    <row r="689" spans="1:24" x14ac:dyDescent="0.25">
      <c r="A689">
        <v>684</v>
      </c>
      <c r="B689" t="s">
        <v>681</v>
      </c>
      <c r="D689" t="s">
        <v>16</v>
      </c>
      <c r="F689" s="520">
        <v>0</v>
      </c>
      <c r="G689" s="521">
        <v>0</v>
      </c>
      <c r="H689" s="521">
        <v>0</v>
      </c>
      <c r="I689" s="517"/>
      <c r="J689" s="520">
        <v>0</v>
      </c>
      <c r="K689" s="520">
        <v>0</v>
      </c>
      <c r="L689" s="520">
        <v>0</v>
      </c>
      <c r="M689" s="517"/>
      <c r="N689" s="542">
        <v>0</v>
      </c>
      <c r="O689" s="518">
        <v>0</v>
      </c>
      <c r="P689" s="518">
        <v>0</v>
      </c>
      <c r="Q689" s="519"/>
      <c r="R689" s="516">
        <v>1</v>
      </c>
      <c r="S689" s="521">
        <v>5064</v>
      </c>
      <c r="T689" s="521">
        <v>0</v>
      </c>
      <c r="U689" s="517"/>
      <c r="V689" s="342">
        <f t="shared" si="20"/>
        <v>-1</v>
      </c>
      <c r="W689" s="518">
        <f t="shared" si="21"/>
        <v>-5064</v>
      </c>
      <c r="X689" s="257"/>
    </row>
    <row r="690" spans="1:24" x14ac:dyDescent="0.25">
      <c r="A690">
        <v>685</v>
      </c>
      <c r="B690" t="s">
        <v>682</v>
      </c>
      <c r="D690" t="s">
        <v>16</v>
      </c>
      <c r="F690" s="520">
        <v>29</v>
      </c>
      <c r="G690" s="521">
        <v>797589</v>
      </c>
      <c r="H690" s="521">
        <v>2900</v>
      </c>
      <c r="I690" s="517"/>
      <c r="J690" s="520">
        <v>0</v>
      </c>
      <c r="K690" s="520">
        <v>0</v>
      </c>
      <c r="L690" s="520">
        <v>0</v>
      </c>
      <c r="M690" s="517"/>
      <c r="N690" s="542">
        <v>29</v>
      </c>
      <c r="O690" s="518">
        <v>797589</v>
      </c>
      <c r="P690" s="518">
        <v>2900</v>
      </c>
      <c r="Q690" s="519"/>
      <c r="R690" s="516">
        <v>0</v>
      </c>
      <c r="S690" s="521">
        <v>0</v>
      </c>
      <c r="T690" s="521">
        <v>0</v>
      </c>
      <c r="U690" s="517"/>
      <c r="V690" s="342">
        <f t="shared" si="20"/>
        <v>29</v>
      </c>
      <c r="W690" s="518">
        <f t="shared" si="21"/>
        <v>797589</v>
      </c>
      <c r="X690" s="257"/>
    </row>
    <row r="691" spans="1:24" x14ac:dyDescent="0.25">
      <c r="A691">
        <v>686</v>
      </c>
      <c r="B691" t="s">
        <v>683</v>
      </c>
      <c r="D691" t="s">
        <v>16</v>
      </c>
      <c r="F691" s="520">
        <v>0</v>
      </c>
      <c r="G691" s="521">
        <v>0</v>
      </c>
      <c r="H691" s="521">
        <v>0</v>
      </c>
      <c r="I691" s="517"/>
      <c r="J691" s="520">
        <v>0</v>
      </c>
      <c r="K691" s="520">
        <v>0</v>
      </c>
      <c r="L691" s="520">
        <v>0</v>
      </c>
      <c r="M691" s="517"/>
      <c r="N691" s="542">
        <v>0</v>
      </c>
      <c r="O691" s="518">
        <v>0</v>
      </c>
      <c r="P691" s="518">
        <v>0</v>
      </c>
      <c r="Q691" s="519"/>
      <c r="R691" s="516">
        <v>60</v>
      </c>
      <c r="S691" s="521">
        <v>723414.4</v>
      </c>
      <c r="T691" s="521">
        <v>0</v>
      </c>
      <c r="U691" s="517"/>
      <c r="V691" s="342">
        <f t="shared" si="20"/>
        <v>-60</v>
      </c>
      <c r="W691" s="518">
        <f t="shared" si="21"/>
        <v>-723414.4</v>
      </c>
      <c r="X691" s="257"/>
    </row>
    <row r="692" spans="1:24" x14ac:dyDescent="0.25">
      <c r="A692">
        <v>687</v>
      </c>
      <c r="B692" t="s">
        <v>684</v>
      </c>
      <c r="D692" t="s">
        <v>16</v>
      </c>
      <c r="F692" s="520">
        <v>0</v>
      </c>
      <c r="G692" s="521">
        <v>0</v>
      </c>
      <c r="H692" s="521">
        <v>0</v>
      </c>
      <c r="I692" s="517"/>
      <c r="J692" s="520">
        <v>0</v>
      </c>
      <c r="K692" s="520">
        <v>0</v>
      </c>
      <c r="L692" s="520">
        <v>0</v>
      </c>
      <c r="M692" s="517"/>
      <c r="N692" s="542">
        <v>0</v>
      </c>
      <c r="O692" s="518">
        <v>0</v>
      </c>
      <c r="P692" s="518">
        <v>0</v>
      </c>
      <c r="Q692" s="519"/>
      <c r="R692" s="516">
        <v>1</v>
      </c>
      <c r="S692" s="521">
        <v>6131</v>
      </c>
      <c r="T692" s="521">
        <v>0</v>
      </c>
      <c r="U692" s="517"/>
      <c r="V692" s="342">
        <f t="shared" si="20"/>
        <v>-1</v>
      </c>
      <c r="W692" s="518">
        <f t="shared" si="21"/>
        <v>-6131</v>
      </c>
      <c r="X692" s="257"/>
    </row>
    <row r="693" spans="1:24" x14ac:dyDescent="0.25">
      <c r="A693">
        <v>688</v>
      </c>
      <c r="B693" t="s">
        <v>685</v>
      </c>
      <c r="D693" t="s">
        <v>16</v>
      </c>
      <c r="F693" s="520">
        <v>6</v>
      </c>
      <c r="G693" s="521">
        <v>127985.17</v>
      </c>
      <c r="H693" s="521">
        <v>0</v>
      </c>
      <c r="I693" s="517"/>
      <c r="J693" s="520">
        <v>0</v>
      </c>
      <c r="K693" s="520">
        <v>0</v>
      </c>
      <c r="L693" s="520">
        <v>0</v>
      </c>
      <c r="M693" s="517"/>
      <c r="N693" s="542">
        <v>6</v>
      </c>
      <c r="O693" s="518">
        <v>127985.17</v>
      </c>
      <c r="P693" s="518">
        <v>0</v>
      </c>
      <c r="Q693" s="519"/>
      <c r="R693" s="516">
        <v>64</v>
      </c>
      <c r="S693" s="521">
        <v>709071.79</v>
      </c>
      <c r="T693" s="521">
        <v>0</v>
      </c>
      <c r="U693" s="517"/>
      <c r="V693" s="342">
        <f t="shared" si="20"/>
        <v>-58</v>
      </c>
      <c r="W693" s="518">
        <f t="shared" si="21"/>
        <v>-581086.62</v>
      </c>
      <c r="X693" s="257"/>
    </row>
    <row r="694" spans="1:24" x14ac:dyDescent="0.25">
      <c r="A694">
        <v>689</v>
      </c>
      <c r="B694" t="s">
        <v>686</v>
      </c>
      <c r="D694" t="s">
        <v>16</v>
      </c>
      <c r="F694" s="520">
        <v>0</v>
      </c>
      <c r="G694" s="521">
        <v>0</v>
      </c>
      <c r="H694" s="521">
        <v>0</v>
      </c>
      <c r="I694" s="517"/>
      <c r="J694" s="520">
        <v>0</v>
      </c>
      <c r="K694" s="520">
        <v>0</v>
      </c>
      <c r="L694" s="520">
        <v>0</v>
      </c>
      <c r="M694" s="517"/>
      <c r="N694" s="542">
        <v>0</v>
      </c>
      <c r="O694" s="518">
        <v>0</v>
      </c>
      <c r="P694" s="518">
        <v>0</v>
      </c>
      <c r="Q694" s="519"/>
      <c r="R694" s="516">
        <v>0</v>
      </c>
      <c r="S694" s="521">
        <v>0</v>
      </c>
      <c r="T694" s="521">
        <v>0</v>
      </c>
      <c r="U694" s="517"/>
      <c r="V694" s="342">
        <f t="shared" si="20"/>
        <v>0</v>
      </c>
      <c r="W694" s="518">
        <f t="shared" si="21"/>
        <v>0</v>
      </c>
      <c r="X694" s="257"/>
    </row>
    <row r="695" spans="1:24" ht="14.25" customHeight="1" x14ac:dyDescent="0.25">
      <c r="A695">
        <v>690</v>
      </c>
      <c r="B695" t="s">
        <v>687</v>
      </c>
      <c r="D695" t="s">
        <v>16</v>
      </c>
      <c r="F695" s="520">
        <v>0</v>
      </c>
      <c r="G695" s="521">
        <v>0</v>
      </c>
      <c r="H695" s="521">
        <v>0</v>
      </c>
      <c r="I695" s="517"/>
      <c r="J695" s="520">
        <v>0</v>
      </c>
      <c r="K695" s="520">
        <v>0</v>
      </c>
      <c r="L695" s="520">
        <v>0</v>
      </c>
      <c r="M695" s="517"/>
      <c r="N695" s="542">
        <v>0</v>
      </c>
      <c r="O695" s="518">
        <v>0</v>
      </c>
      <c r="P695" s="518">
        <v>0</v>
      </c>
      <c r="Q695" s="519"/>
      <c r="R695" s="516">
        <v>0</v>
      </c>
      <c r="S695" s="521">
        <v>0</v>
      </c>
      <c r="T695" s="521">
        <v>0</v>
      </c>
      <c r="U695" s="517"/>
      <c r="V695" s="342">
        <f t="shared" si="20"/>
        <v>0</v>
      </c>
      <c r="W695" s="518">
        <f t="shared" si="21"/>
        <v>0</v>
      </c>
      <c r="X695" s="257"/>
    </row>
    <row r="696" spans="1:24" x14ac:dyDescent="0.25">
      <c r="A696">
        <v>691</v>
      </c>
      <c r="B696" t="s">
        <v>688</v>
      </c>
      <c r="D696" t="s">
        <v>16</v>
      </c>
      <c r="F696" s="520">
        <v>142</v>
      </c>
      <c r="G696" s="521">
        <v>2490272.0300000007</v>
      </c>
      <c r="H696" s="521">
        <v>5680</v>
      </c>
      <c r="I696" s="517"/>
      <c r="J696" s="520">
        <v>0</v>
      </c>
      <c r="K696" s="520">
        <v>0</v>
      </c>
      <c r="L696" s="520">
        <v>0</v>
      </c>
      <c r="M696" s="517"/>
      <c r="N696" s="542">
        <v>142</v>
      </c>
      <c r="O696" s="518">
        <v>2490272.0300000007</v>
      </c>
      <c r="P696" s="518">
        <v>5680</v>
      </c>
      <c r="Q696" s="519"/>
      <c r="R696" s="516">
        <v>0</v>
      </c>
      <c r="S696" s="521">
        <v>0</v>
      </c>
      <c r="T696" s="521">
        <v>0</v>
      </c>
      <c r="U696" s="517"/>
      <c r="V696" s="342">
        <f t="shared" si="20"/>
        <v>142</v>
      </c>
      <c r="W696" s="518">
        <f t="shared" si="21"/>
        <v>2490272.0300000007</v>
      </c>
      <c r="X696" s="257"/>
    </row>
    <row r="697" spans="1:24" x14ac:dyDescent="0.25">
      <c r="A697">
        <v>692</v>
      </c>
      <c r="B697" t="s">
        <v>689</v>
      </c>
      <c r="D697" t="s">
        <v>16</v>
      </c>
      <c r="F697" s="520">
        <v>1</v>
      </c>
      <c r="G697" s="521">
        <v>3800</v>
      </c>
      <c r="H697" s="521">
        <v>100</v>
      </c>
      <c r="I697" s="517"/>
      <c r="J697" s="520">
        <v>0</v>
      </c>
      <c r="K697" s="520">
        <v>0</v>
      </c>
      <c r="L697" s="520">
        <v>0</v>
      </c>
      <c r="M697" s="517"/>
      <c r="N697" s="542">
        <v>1</v>
      </c>
      <c r="O697" s="518">
        <v>3800</v>
      </c>
      <c r="P697" s="518">
        <v>100</v>
      </c>
      <c r="Q697" s="519"/>
      <c r="R697" s="516">
        <v>0</v>
      </c>
      <c r="S697" s="521">
        <v>0</v>
      </c>
      <c r="T697" s="521">
        <v>0</v>
      </c>
      <c r="U697" s="517"/>
      <c r="V697" s="342">
        <f t="shared" si="20"/>
        <v>1</v>
      </c>
      <c r="W697" s="518">
        <f t="shared" si="21"/>
        <v>3800</v>
      </c>
      <c r="X697" s="257"/>
    </row>
    <row r="698" spans="1:24" x14ac:dyDescent="0.25">
      <c r="A698">
        <v>693</v>
      </c>
      <c r="B698" t="s">
        <v>690</v>
      </c>
      <c r="D698" t="s">
        <v>40</v>
      </c>
      <c r="F698" s="520">
        <v>0</v>
      </c>
      <c r="G698" s="521">
        <v>0</v>
      </c>
      <c r="H698" s="521">
        <v>0</v>
      </c>
      <c r="I698" s="517"/>
      <c r="J698" s="520">
        <v>0</v>
      </c>
      <c r="K698" s="520">
        <v>0</v>
      </c>
      <c r="L698" s="520">
        <v>0</v>
      </c>
      <c r="M698" s="517"/>
      <c r="N698" s="542">
        <v>0</v>
      </c>
      <c r="O698" s="518">
        <v>0</v>
      </c>
      <c r="P698" s="518">
        <v>0</v>
      </c>
      <c r="Q698" s="519"/>
      <c r="R698" s="516">
        <v>0</v>
      </c>
      <c r="S698" s="521">
        <v>0</v>
      </c>
      <c r="T698" s="521">
        <v>0</v>
      </c>
      <c r="U698" s="517"/>
      <c r="V698" s="342">
        <f t="shared" si="20"/>
        <v>0</v>
      </c>
      <c r="W698" s="518">
        <f t="shared" si="21"/>
        <v>0</v>
      </c>
      <c r="X698" s="257"/>
    </row>
    <row r="699" spans="1:24" x14ac:dyDescent="0.25">
      <c r="A699">
        <v>694</v>
      </c>
      <c r="B699" t="s">
        <v>3309</v>
      </c>
      <c r="D699" t="s">
        <v>16</v>
      </c>
      <c r="F699" s="520">
        <v>0</v>
      </c>
      <c r="G699" s="521">
        <v>0</v>
      </c>
      <c r="H699" s="521">
        <v>0</v>
      </c>
      <c r="I699" s="517"/>
      <c r="J699" s="520">
        <v>0</v>
      </c>
      <c r="K699" s="520">
        <v>0</v>
      </c>
      <c r="L699" s="520">
        <v>0</v>
      </c>
      <c r="M699" s="517"/>
      <c r="N699" s="542">
        <v>0</v>
      </c>
      <c r="O699" s="518">
        <v>0</v>
      </c>
      <c r="P699" s="518">
        <v>0</v>
      </c>
      <c r="Q699" s="519"/>
      <c r="R699" s="516">
        <v>1</v>
      </c>
      <c r="S699" s="521">
        <v>15000</v>
      </c>
      <c r="T699" s="521">
        <v>0</v>
      </c>
      <c r="U699" s="517"/>
      <c r="V699" s="342">
        <f t="shared" si="20"/>
        <v>-1</v>
      </c>
      <c r="W699" s="518">
        <f t="shared" si="21"/>
        <v>-15000</v>
      </c>
      <c r="X699" s="257"/>
    </row>
    <row r="700" spans="1:24" x14ac:dyDescent="0.25">
      <c r="A700" s="515"/>
      <c r="C700" s="308"/>
      <c r="D700" s="308"/>
      <c r="F700" s="520">
        <f t="shared" ref="F700:H700" si="22">SUM(F6:F699)</f>
        <v>25418</v>
      </c>
      <c r="G700" s="521">
        <f t="shared" si="22"/>
        <v>242456560.12999985</v>
      </c>
      <c r="H700" s="521">
        <f t="shared" si="22"/>
        <v>400024.5</v>
      </c>
      <c r="I700" s="517"/>
      <c r="J700" s="520">
        <f t="shared" ref="J700:W700" si="23">SUM(J6:J699)</f>
        <v>0</v>
      </c>
      <c r="K700" s="520">
        <f t="shared" si="23"/>
        <v>0</v>
      </c>
      <c r="L700" s="520">
        <f t="shared" si="23"/>
        <v>0</v>
      </c>
      <c r="M700" s="517">
        <f t="shared" si="23"/>
        <v>0</v>
      </c>
      <c r="N700" s="542">
        <f t="shared" si="23"/>
        <v>25418</v>
      </c>
      <c r="O700" s="518">
        <f t="shared" si="23"/>
        <v>242456560.12999985</v>
      </c>
      <c r="P700" s="518">
        <f t="shared" si="23"/>
        <v>400024.5</v>
      </c>
      <c r="Q700" s="519">
        <f t="shared" si="23"/>
        <v>0</v>
      </c>
      <c r="R700" s="516">
        <f t="shared" si="23"/>
        <v>30721</v>
      </c>
      <c r="S700" s="521">
        <f t="shared" si="23"/>
        <v>396645331.51142853</v>
      </c>
      <c r="T700" s="521">
        <f t="shared" si="23"/>
        <v>93217.681428571435</v>
      </c>
      <c r="U700" s="517">
        <f t="shared" si="23"/>
        <v>0</v>
      </c>
      <c r="V700" s="342">
        <f t="shared" si="23"/>
        <v>-5303</v>
      </c>
      <c r="W700" s="518">
        <f t="shared" si="23"/>
        <v>-154281989.06285721</v>
      </c>
      <c r="X700" s="257"/>
    </row>
  </sheetData>
  <mergeCells count="5">
    <mergeCell ref="F4:H4"/>
    <mergeCell ref="J4:L4"/>
    <mergeCell ref="N4:P4"/>
    <mergeCell ref="R4:T4"/>
    <mergeCell ref="V4:W4"/>
  </mergeCells>
  <conditionalFormatting sqref="D6:E700">
    <cfRule type="containsText" dxfId="194" priority="1" operator="containsText" text="false">
      <formula>NOT(ISERROR(SEARCH("false",D6)))</formula>
    </cfRule>
  </conditionalFormatting>
  <conditionalFormatting sqref="J6:L700">
    <cfRule type="containsText" dxfId="193" priority="2" operator="containsText" text="*-">
      <formula>NOT(ISERROR(SEARCH("*-",J6)))</formula>
    </cfRule>
  </conditionalFormatting>
  <conditionalFormatting sqref="X6:X700">
    <cfRule type="containsText" dxfId="192" priority="4" operator="containsText" text="false">
      <formula>NOT(ISERROR(SEARCH("false",X6)))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N724"/>
  <sheetViews>
    <sheetView tabSelected="1" zoomScale="90" zoomScaleNormal="90" workbookViewId="0">
      <pane xSplit="2" ySplit="5" topLeftCell="N682" activePane="bottomRight" state="frozen"/>
      <selection pane="topRight" activeCell="C1" sqref="C1"/>
      <selection pane="bottomLeft" activeCell="A6" sqref="A6"/>
      <selection pane="bottomRight" activeCell="AG25" sqref="AG25"/>
    </sheetView>
  </sheetViews>
  <sheetFormatPr defaultRowHeight="15" x14ac:dyDescent="0.25"/>
  <cols>
    <col min="1" max="1" width="6.28515625" customWidth="1"/>
    <col min="2" max="2" width="34.140625" customWidth="1"/>
    <col min="3" max="3" width="13.140625" customWidth="1"/>
    <col min="4" max="4" width="9.140625" customWidth="1"/>
    <col min="5" max="5" width="0.7109375" style="7" customWidth="1"/>
    <col min="6" max="6" width="10.5703125" style="260" hidden="1" customWidth="1"/>
    <col min="7" max="7" width="18.42578125" style="12" hidden="1" customWidth="1"/>
    <col min="8" max="8" width="13.85546875" style="12" hidden="1" customWidth="1"/>
    <col min="9" max="9" width="0.7109375" style="7" hidden="1" customWidth="1"/>
    <col min="10" max="10" width="9.28515625" style="260" hidden="1" customWidth="1"/>
    <col min="11" max="11" width="13.42578125" style="12" hidden="1" customWidth="1"/>
    <col min="12" max="12" width="10.42578125" style="12" hidden="1" customWidth="1"/>
    <col min="13" max="13" width="0.7109375" style="7" hidden="1" customWidth="1"/>
    <col min="14" max="14" width="11.5703125" style="260" bestFit="1" customWidth="1"/>
    <col min="15" max="15" width="18.85546875" style="12" bestFit="1" customWidth="1"/>
    <col min="16" max="16" width="15" style="12" customWidth="1"/>
    <col min="17" max="17" width="0.7109375" style="257" customWidth="1"/>
    <col min="18" max="18" width="11.5703125" style="260" hidden="1" customWidth="1"/>
    <col min="19" max="19" width="18.140625" style="12" hidden="1" customWidth="1"/>
    <col min="20" max="20" width="13.42578125" style="12" hidden="1" customWidth="1"/>
    <col min="21" max="21" width="0.7109375" style="7" hidden="1" customWidth="1"/>
    <col min="22" max="22" width="10.5703125" style="260" hidden="1" customWidth="1"/>
    <col min="23" max="23" width="17.85546875" style="12" hidden="1" customWidth="1"/>
    <col min="24" max="24" width="0.7109375" style="7" hidden="1" customWidth="1"/>
    <col min="25" max="25" width="10.5703125" style="260" hidden="1" customWidth="1"/>
    <col min="26" max="26" width="20" hidden="1" customWidth="1"/>
    <col min="27" max="27" width="0.7109375" style="7" hidden="1" customWidth="1"/>
    <col min="28" max="28" width="18.85546875" customWidth="1"/>
    <col min="29" max="29" width="3.42578125" customWidth="1"/>
    <col min="30" max="30" width="17.85546875" style="12" customWidth="1"/>
    <col min="31" max="31" width="4" customWidth="1"/>
    <col min="32" max="32" width="23.140625" customWidth="1"/>
    <col min="33" max="33" width="19.28515625" style="12" customWidth="1"/>
    <col min="34" max="35" width="15.28515625" customWidth="1"/>
    <col min="36" max="36" width="13.140625" customWidth="1"/>
    <col min="37" max="37" width="15.7109375" customWidth="1"/>
    <col min="38" max="38" width="14.5703125" customWidth="1"/>
    <col min="39" max="39" width="27.42578125" customWidth="1"/>
    <col min="40" max="40" width="28.85546875" bestFit="1" customWidth="1"/>
  </cols>
  <sheetData>
    <row r="1" spans="1:40" x14ac:dyDescent="0.25">
      <c r="A1" s="1" t="s">
        <v>0</v>
      </c>
    </row>
    <row r="2" spans="1:40" x14ac:dyDescent="0.25">
      <c r="A2" s="2" t="s">
        <v>1</v>
      </c>
    </row>
    <row r="3" spans="1:40" x14ac:dyDescent="0.25">
      <c r="A3" s="3" t="s">
        <v>3298</v>
      </c>
      <c r="AB3" s="13"/>
    </row>
    <row r="4" spans="1:40" ht="15.75" x14ac:dyDescent="0.25">
      <c r="F4" s="544" t="s">
        <v>2</v>
      </c>
      <c r="G4" s="545"/>
      <c r="H4" s="545"/>
      <c r="J4" s="546" t="s">
        <v>3</v>
      </c>
      <c r="K4" s="546"/>
      <c r="L4" s="546"/>
      <c r="N4" s="547" t="s">
        <v>4</v>
      </c>
      <c r="O4" s="547"/>
      <c r="P4" s="547"/>
      <c r="Q4" s="354"/>
      <c r="R4" s="548" t="s">
        <v>5</v>
      </c>
      <c r="S4" s="548"/>
      <c r="T4" s="548"/>
      <c r="V4" s="548" t="s">
        <v>6</v>
      </c>
      <c r="W4" s="548"/>
      <c r="Y4" s="548" t="s">
        <v>692</v>
      </c>
      <c r="Z4" s="548"/>
    </row>
    <row r="5" spans="1:40" x14ac:dyDescent="0.25">
      <c r="A5" t="s">
        <v>7</v>
      </c>
      <c r="B5" s="343" t="s">
        <v>8</v>
      </c>
      <c r="C5" s="343" t="s">
        <v>2991</v>
      </c>
      <c r="D5" s="343" t="s">
        <v>9</v>
      </c>
      <c r="F5" s="4" t="s">
        <v>10</v>
      </c>
      <c r="G5" s="4" t="s">
        <v>11</v>
      </c>
      <c r="H5" s="4" t="s">
        <v>12</v>
      </c>
      <c r="J5" s="5" t="s">
        <v>10</v>
      </c>
      <c r="K5" s="5" t="s">
        <v>11</v>
      </c>
      <c r="L5" s="5" t="s">
        <v>12</v>
      </c>
      <c r="N5" s="5" t="s">
        <v>10</v>
      </c>
      <c r="O5" s="5" t="s">
        <v>11</v>
      </c>
      <c r="P5" s="5" t="s">
        <v>12</v>
      </c>
      <c r="Q5" s="344"/>
      <c r="R5" s="6" t="s">
        <v>10</v>
      </c>
      <c r="S5" s="6" t="s">
        <v>13</v>
      </c>
      <c r="T5" s="6" t="s">
        <v>12</v>
      </c>
      <c r="V5" s="6" t="s">
        <v>10</v>
      </c>
      <c r="W5" s="6" t="s">
        <v>13</v>
      </c>
      <c r="Y5" s="6" t="s">
        <v>10</v>
      </c>
      <c r="Z5" s="6" t="s">
        <v>13</v>
      </c>
      <c r="AB5" s="272" t="s">
        <v>3299</v>
      </c>
      <c r="AC5" s="8"/>
      <c r="AD5" s="258" t="s">
        <v>693</v>
      </c>
      <c r="AE5" s="9"/>
      <c r="AF5" s="9" t="s">
        <v>694</v>
      </c>
      <c r="AG5" s="11" t="s">
        <v>695</v>
      </c>
      <c r="AH5" s="10" t="s">
        <v>696</v>
      </c>
      <c r="AI5" s="10" t="s">
        <v>697</v>
      </c>
      <c r="AJ5" s="10" t="s">
        <v>698</v>
      </c>
      <c r="AK5" s="10" t="s">
        <v>9</v>
      </c>
      <c r="AL5" s="11" t="s">
        <v>699</v>
      </c>
      <c r="AM5" s="255" t="s">
        <v>700</v>
      </c>
      <c r="AN5" s="256" t="s">
        <v>3300</v>
      </c>
    </row>
    <row r="6" spans="1:40" x14ac:dyDescent="0.25">
      <c r="A6">
        <v>1</v>
      </c>
      <c r="B6" t="s">
        <v>14</v>
      </c>
      <c r="C6" t="s">
        <v>15</v>
      </c>
      <c r="D6" t="s">
        <v>16</v>
      </c>
      <c r="F6" s="514">
        <f>+'29'!F6+'30'!F6+'31'!F6</f>
        <v>19</v>
      </c>
      <c r="G6" s="12">
        <f>+'29'!G6+'30'!G6+'31'!G6</f>
        <v>209430.5</v>
      </c>
      <c r="H6" s="12">
        <f>+'29'!H6+'30'!H6+'31'!H6</f>
        <v>1900</v>
      </c>
      <c r="I6" s="271"/>
      <c r="J6" s="514">
        <f>+'29'!J6+'30'!J6+'31'!J6</f>
        <v>0</v>
      </c>
      <c r="K6" s="12">
        <f>+'29'!K6+'30'!K6+'31'!K6</f>
        <v>0</v>
      </c>
      <c r="L6" s="12">
        <f>+'29'!L6+'30'!L6+'31'!L6</f>
        <v>0</v>
      </c>
      <c r="M6" s="532">
        <f>+'29'!M6+'30'!M6+'31'!M6</f>
        <v>0</v>
      </c>
      <c r="N6" s="514">
        <f>+'29'!N6+'30'!N6+'31'!N6</f>
        <v>19</v>
      </c>
      <c r="O6" s="12">
        <f>+'29'!O6+'30'!O6+'31'!O6</f>
        <v>209430.5</v>
      </c>
      <c r="P6" s="12">
        <f>+'29'!P6+'30'!P6+'31'!P6</f>
        <v>1900</v>
      </c>
      <c r="Q6" s="532"/>
      <c r="R6" s="270">
        <v>19</v>
      </c>
      <c r="S6" s="12">
        <v>209430.5</v>
      </c>
      <c r="T6" s="12">
        <v>0</v>
      </c>
      <c r="U6" s="271"/>
      <c r="V6" s="533">
        <f>N6-R6</f>
        <v>0</v>
      </c>
      <c r="W6" s="533">
        <f>O6-S6</f>
        <v>0</v>
      </c>
      <c r="X6" s="257"/>
      <c r="Y6" s="261">
        <f>V6</f>
        <v>0</v>
      </c>
      <c r="Z6" s="12">
        <f>W6</f>
        <v>0</v>
      </c>
      <c r="AB6" s="13">
        <f t="shared" ref="AB6:AB69" si="0">O6</f>
        <v>209430.5</v>
      </c>
      <c r="AF6" s="13">
        <f>AB6-AD6</f>
        <v>209430.5</v>
      </c>
      <c r="AM6" s="12">
        <f>SUM(AG6:AL6)</f>
        <v>0</v>
      </c>
      <c r="AN6" s="13">
        <f>AF6-AM6</f>
        <v>209430.5</v>
      </c>
    </row>
    <row r="7" spans="1:40" x14ac:dyDescent="0.25">
      <c r="A7">
        <v>2</v>
      </c>
      <c r="B7" t="s">
        <v>17</v>
      </c>
      <c r="C7" t="s">
        <v>18</v>
      </c>
      <c r="D7" t="s">
        <v>16</v>
      </c>
      <c r="F7" s="514">
        <f>+'29'!F7+'30'!F7+'31'!F7</f>
        <v>4</v>
      </c>
      <c r="G7" s="12">
        <f>+'29'!G7+'30'!G7+'31'!G7</f>
        <v>651400</v>
      </c>
      <c r="H7" s="12">
        <f>+'29'!H7+'30'!H7+'31'!H7</f>
        <v>350</v>
      </c>
      <c r="I7" s="271"/>
      <c r="J7" s="514">
        <f>+'29'!J7+'30'!J7+'31'!J7</f>
        <v>0</v>
      </c>
      <c r="K7" s="12">
        <f>+'29'!K7+'30'!K7+'31'!K7</f>
        <v>0</v>
      </c>
      <c r="L7" s="12">
        <f>+'29'!L7+'30'!L7+'31'!L7</f>
        <v>0</v>
      </c>
      <c r="M7" s="271"/>
      <c r="N7" s="514">
        <f>+'29'!N7+'30'!N7+'31'!N7</f>
        <v>4</v>
      </c>
      <c r="O7" s="12">
        <f>+'29'!O7+'30'!O7+'31'!O7</f>
        <v>651400</v>
      </c>
      <c r="P7" s="12">
        <f>+'29'!P7+'30'!P7+'31'!P7</f>
        <v>350</v>
      </c>
      <c r="Q7" s="532"/>
      <c r="R7" s="270">
        <v>4</v>
      </c>
      <c r="S7" s="12">
        <v>651400</v>
      </c>
      <c r="T7" s="12">
        <v>0</v>
      </c>
      <c r="U7" s="271"/>
      <c r="V7" s="533">
        <f t="shared" ref="V7:V70" si="1">N7-R7</f>
        <v>0</v>
      </c>
      <c r="W7" s="533">
        <f t="shared" ref="W7:W70" si="2">O7-S7</f>
        <v>0</v>
      </c>
      <c r="X7" s="257"/>
      <c r="Y7" s="261">
        <f t="shared" ref="Y7:Y70" si="3">V7</f>
        <v>0</v>
      </c>
      <c r="Z7" s="12">
        <f t="shared" ref="Z7:Z70" si="4">W7</f>
        <v>0</v>
      </c>
      <c r="AB7" s="13">
        <f t="shared" si="0"/>
        <v>651400</v>
      </c>
      <c r="AF7" s="13">
        <f t="shared" ref="AF7:AF70" si="5">AB7-AD7</f>
        <v>651400</v>
      </c>
      <c r="AM7" s="12">
        <f t="shared" ref="AM7:AM70" si="6">SUM(AG7:AL7)</f>
        <v>0</v>
      </c>
      <c r="AN7" s="13">
        <f t="shared" ref="AN7:AN70" si="7">AF7-AM7</f>
        <v>651400</v>
      </c>
    </row>
    <row r="8" spans="1:40" x14ac:dyDescent="0.25">
      <c r="A8">
        <v>3</v>
      </c>
      <c r="B8" t="s">
        <v>19</v>
      </c>
      <c r="C8" t="s">
        <v>18</v>
      </c>
      <c r="D8" t="s">
        <v>20</v>
      </c>
      <c r="F8" s="514">
        <f>+'29'!F8+'30'!F8+'31'!F8</f>
        <v>12</v>
      </c>
      <c r="G8" s="12">
        <f>+'29'!G8+'30'!G8+'31'!G8</f>
        <v>185249.89</v>
      </c>
      <c r="H8" s="12">
        <f>+'29'!H8+'30'!H8+'31'!H8</f>
        <v>600</v>
      </c>
      <c r="I8" s="271"/>
      <c r="J8" s="514">
        <f>+'29'!J8+'30'!J8+'31'!J8</f>
        <v>0</v>
      </c>
      <c r="K8" s="12">
        <f>+'29'!K8+'30'!K8+'31'!K8</f>
        <v>0</v>
      </c>
      <c r="L8" s="12">
        <f>+'29'!L8+'30'!L8+'31'!L8</f>
        <v>0</v>
      </c>
      <c r="M8" s="271"/>
      <c r="N8" s="514">
        <f>+'29'!N8+'30'!N8+'31'!N8</f>
        <v>12</v>
      </c>
      <c r="O8" s="12">
        <f>+'29'!O8+'30'!O8+'31'!O8</f>
        <v>185249.89</v>
      </c>
      <c r="P8" s="12">
        <f>+'29'!P8+'30'!P8+'31'!P8</f>
        <v>600</v>
      </c>
      <c r="Q8" s="532"/>
      <c r="R8" s="270">
        <v>12</v>
      </c>
      <c r="S8" s="12">
        <v>185249.89</v>
      </c>
      <c r="T8" s="12">
        <v>0</v>
      </c>
      <c r="U8" s="271"/>
      <c r="V8" s="533">
        <f t="shared" si="1"/>
        <v>0</v>
      </c>
      <c r="W8" s="533">
        <f t="shared" si="2"/>
        <v>0</v>
      </c>
      <c r="X8" s="257"/>
      <c r="Y8" s="261">
        <f t="shared" si="3"/>
        <v>0</v>
      </c>
      <c r="Z8" s="12">
        <f t="shared" si="4"/>
        <v>0</v>
      </c>
      <c r="AB8" s="13">
        <f t="shared" si="0"/>
        <v>185249.89</v>
      </c>
      <c r="AF8" s="13">
        <f t="shared" si="5"/>
        <v>185249.89</v>
      </c>
      <c r="AM8" s="12">
        <f t="shared" si="6"/>
        <v>0</v>
      </c>
      <c r="AN8" s="13">
        <f t="shared" si="7"/>
        <v>185249.89</v>
      </c>
    </row>
    <row r="9" spans="1:40" x14ac:dyDescent="0.25">
      <c r="A9">
        <v>4</v>
      </c>
      <c r="B9" t="s">
        <v>21</v>
      </c>
      <c r="C9" t="s">
        <v>22</v>
      </c>
      <c r="D9" t="s">
        <v>16</v>
      </c>
      <c r="F9" s="514">
        <f>+'29'!F9+'30'!F9+'31'!F9</f>
        <v>0</v>
      </c>
      <c r="G9" s="12">
        <f>+'29'!G9+'30'!G9+'31'!G9</f>
        <v>0</v>
      </c>
      <c r="H9" s="12">
        <f>+'29'!H9+'30'!H9+'31'!H9</f>
        <v>0</v>
      </c>
      <c r="I9" s="271"/>
      <c r="J9" s="514">
        <f>+'29'!J9+'30'!J9+'31'!J9</f>
        <v>0</v>
      </c>
      <c r="K9" s="12">
        <f>+'29'!K9+'30'!K9+'31'!K9</f>
        <v>0</v>
      </c>
      <c r="L9" s="12">
        <f>+'29'!L9+'30'!L9+'31'!L9</f>
        <v>0</v>
      </c>
      <c r="M9" s="271"/>
      <c r="N9" s="514">
        <f>+'29'!N9+'30'!N9+'31'!N9</f>
        <v>0</v>
      </c>
      <c r="O9" s="12">
        <f>+'29'!O9+'30'!O9+'31'!O9</f>
        <v>0</v>
      </c>
      <c r="P9" s="12">
        <f>+'29'!P9+'30'!P9+'31'!P9</f>
        <v>0</v>
      </c>
      <c r="Q9" s="532"/>
      <c r="R9" s="270">
        <v>0</v>
      </c>
      <c r="S9" s="12">
        <v>0</v>
      </c>
      <c r="T9" s="12">
        <v>0</v>
      </c>
      <c r="U9" s="271"/>
      <c r="V9" s="533">
        <f t="shared" si="1"/>
        <v>0</v>
      </c>
      <c r="W9" s="533">
        <f t="shared" si="2"/>
        <v>0</v>
      </c>
      <c r="X9" s="257"/>
      <c r="Y9" s="261">
        <f t="shared" si="3"/>
        <v>0</v>
      </c>
      <c r="Z9" s="12">
        <f t="shared" si="4"/>
        <v>0</v>
      </c>
      <c r="AB9" s="13">
        <f t="shared" si="0"/>
        <v>0</v>
      </c>
      <c r="AF9" s="13">
        <f t="shared" si="5"/>
        <v>0</v>
      </c>
      <c r="AM9" s="12">
        <f t="shared" si="6"/>
        <v>0</v>
      </c>
      <c r="AN9" s="13">
        <f t="shared" si="7"/>
        <v>0</v>
      </c>
    </row>
    <row r="10" spans="1:40" x14ac:dyDescent="0.25">
      <c r="A10">
        <v>5</v>
      </c>
      <c r="B10" t="s">
        <v>23</v>
      </c>
      <c r="C10" t="s">
        <v>24</v>
      </c>
      <c r="D10" t="s">
        <v>16</v>
      </c>
      <c r="F10" s="514">
        <f>+'29'!F10+'30'!F10+'31'!F10</f>
        <v>0</v>
      </c>
      <c r="G10" s="12">
        <f>+'29'!G10+'30'!G10+'31'!G10</f>
        <v>0</v>
      </c>
      <c r="H10" s="12">
        <f>+'29'!H10+'30'!H10+'31'!H10</f>
        <v>0</v>
      </c>
      <c r="I10" s="271"/>
      <c r="J10" s="514">
        <f>+'29'!J10+'30'!J10+'31'!J10</f>
        <v>0</v>
      </c>
      <c r="K10" s="12">
        <f>+'29'!K10+'30'!K10+'31'!K10</f>
        <v>0</v>
      </c>
      <c r="L10" s="12">
        <f>+'29'!L10+'30'!L10+'31'!L10</f>
        <v>0</v>
      </c>
      <c r="M10" s="271"/>
      <c r="N10" s="514">
        <f>+'29'!N10+'30'!N10+'31'!N10</f>
        <v>0</v>
      </c>
      <c r="O10" s="12">
        <f>+'29'!O10+'30'!O10+'31'!O10</f>
        <v>0</v>
      </c>
      <c r="P10" s="12">
        <f>+'29'!P10+'30'!P10+'31'!P10</f>
        <v>0</v>
      </c>
      <c r="Q10" s="532"/>
      <c r="R10" s="270">
        <v>0</v>
      </c>
      <c r="S10" s="12">
        <v>0</v>
      </c>
      <c r="T10" s="12">
        <v>0</v>
      </c>
      <c r="U10" s="271"/>
      <c r="V10" s="533">
        <f t="shared" si="1"/>
        <v>0</v>
      </c>
      <c r="W10" s="533">
        <f t="shared" si="2"/>
        <v>0</v>
      </c>
      <c r="X10" s="257"/>
      <c r="Y10" s="261">
        <f t="shared" si="3"/>
        <v>0</v>
      </c>
      <c r="Z10" s="12">
        <f t="shared" si="4"/>
        <v>0</v>
      </c>
      <c r="AB10" s="13">
        <f t="shared" si="0"/>
        <v>0</v>
      </c>
      <c r="AF10" s="13">
        <f t="shared" si="5"/>
        <v>0</v>
      </c>
      <c r="AM10" s="12">
        <f t="shared" si="6"/>
        <v>0</v>
      </c>
      <c r="AN10" s="13">
        <f t="shared" si="7"/>
        <v>0</v>
      </c>
    </row>
    <row r="11" spans="1:40" x14ac:dyDescent="0.25">
      <c r="A11">
        <v>6</v>
      </c>
      <c r="B11" t="s">
        <v>28</v>
      </c>
      <c r="C11" t="s">
        <v>18</v>
      </c>
      <c r="D11" t="s">
        <v>16</v>
      </c>
      <c r="F11" s="514">
        <f>+'29'!F11+'30'!F11+'31'!F11</f>
        <v>36</v>
      </c>
      <c r="G11" s="12">
        <f>+'29'!G11+'30'!G11+'31'!G11</f>
        <v>91903.77</v>
      </c>
      <c r="H11" s="12">
        <f>+'29'!H11+'30'!H11+'31'!H11</f>
        <v>540</v>
      </c>
      <c r="I11" s="271"/>
      <c r="J11" s="514">
        <f>+'29'!J11+'30'!J11+'31'!J11</f>
        <v>0</v>
      </c>
      <c r="K11" s="12">
        <f>+'29'!K11+'30'!K11+'31'!K11</f>
        <v>0</v>
      </c>
      <c r="L11" s="12">
        <f>+'29'!L11+'30'!L11+'31'!L11</f>
        <v>0</v>
      </c>
      <c r="M11" s="271"/>
      <c r="N11" s="514">
        <f>+'29'!N11+'30'!N11+'31'!N11</f>
        <v>36</v>
      </c>
      <c r="O11" s="12">
        <f>+'29'!O11+'30'!O11+'31'!O11</f>
        <v>91903.77</v>
      </c>
      <c r="P11" s="12">
        <f>+'29'!P11+'30'!P11+'31'!P11</f>
        <v>540</v>
      </c>
      <c r="Q11" s="532"/>
      <c r="R11" s="270">
        <v>36</v>
      </c>
      <c r="S11" s="12">
        <v>91903.77</v>
      </c>
      <c r="T11" s="12">
        <v>0</v>
      </c>
      <c r="U11" s="271"/>
      <c r="V11" s="533">
        <f t="shared" si="1"/>
        <v>0</v>
      </c>
      <c r="W11" s="533">
        <f t="shared" si="2"/>
        <v>0</v>
      </c>
      <c r="X11" s="257"/>
      <c r="Y11" s="261">
        <f t="shared" si="3"/>
        <v>0</v>
      </c>
      <c r="Z11" s="12">
        <f t="shared" si="4"/>
        <v>0</v>
      </c>
      <c r="AB11" s="13">
        <f t="shared" si="0"/>
        <v>91903.77</v>
      </c>
      <c r="AF11" s="13">
        <f t="shared" si="5"/>
        <v>91903.77</v>
      </c>
      <c r="AM11" s="12">
        <f t="shared" si="6"/>
        <v>0</v>
      </c>
      <c r="AN11" s="13">
        <f t="shared" si="7"/>
        <v>91903.77</v>
      </c>
    </row>
    <row r="12" spans="1:40" x14ac:dyDescent="0.25">
      <c r="A12">
        <v>7</v>
      </c>
      <c r="B12" t="s">
        <v>29</v>
      </c>
      <c r="C12" t="s">
        <v>27</v>
      </c>
      <c r="D12" t="s">
        <v>16</v>
      </c>
      <c r="F12" s="514">
        <f>+'29'!F12+'30'!F12+'31'!F12</f>
        <v>0</v>
      </c>
      <c r="G12" s="12">
        <f>+'29'!G12+'30'!G12+'31'!G12</f>
        <v>0</v>
      </c>
      <c r="H12" s="12">
        <f>+'29'!H12+'30'!H12+'31'!H12</f>
        <v>0</v>
      </c>
      <c r="I12" s="271"/>
      <c r="J12" s="514">
        <f>+'29'!J12+'30'!J12+'31'!J12</f>
        <v>0</v>
      </c>
      <c r="K12" s="12">
        <f>+'29'!K12+'30'!K12+'31'!K12</f>
        <v>0</v>
      </c>
      <c r="L12" s="12">
        <f>+'29'!L12+'30'!L12+'31'!L12</f>
        <v>0</v>
      </c>
      <c r="M12" s="271"/>
      <c r="N12" s="514">
        <f>+'29'!N12+'30'!N12+'31'!N12</f>
        <v>0</v>
      </c>
      <c r="O12" s="12">
        <f>+'29'!O12+'30'!O12+'31'!O12</f>
        <v>0</v>
      </c>
      <c r="P12" s="12">
        <f>+'29'!P12+'30'!P12+'31'!P12</f>
        <v>0</v>
      </c>
      <c r="Q12" s="532"/>
      <c r="R12" s="270">
        <v>0</v>
      </c>
      <c r="S12" s="12">
        <v>0</v>
      </c>
      <c r="T12" s="12">
        <v>0</v>
      </c>
      <c r="U12" s="271"/>
      <c r="V12" s="533">
        <f t="shared" si="1"/>
        <v>0</v>
      </c>
      <c r="W12" s="533">
        <f t="shared" si="2"/>
        <v>0</v>
      </c>
      <c r="X12" s="257"/>
      <c r="Y12" s="261">
        <f t="shared" si="3"/>
        <v>0</v>
      </c>
      <c r="Z12" s="12">
        <f t="shared" si="4"/>
        <v>0</v>
      </c>
      <c r="AB12" s="13">
        <f t="shared" si="0"/>
        <v>0</v>
      </c>
      <c r="AF12" s="13">
        <f t="shared" si="5"/>
        <v>0</v>
      </c>
      <c r="AM12" s="12">
        <f t="shared" si="6"/>
        <v>0</v>
      </c>
      <c r="AN12" s="13">
        <f t="shared" si="7"/>
        <v>0</v>
      </c>
    </row>
    <row r="13" spans="1:40" x14ac:dyDescent="0.25">
      <c r="A13">
        <v>8</v>
      </c>
      <c r="B13" t="s">
        <v>30</v>
      </c>
      <c r="C13" t="s">
        <v>25</v>
      </c>
      <c r="D13" t="s">
        <v>16</v>
      </c>
      <c r="F13" s="514">
        <f>+'29'!F13+'30'!F13+'31'!F13</f>
        <v>26</v>
      </c>
      <c r="G13" s="12">
        <f>+'29'!G13+'30'!G13+'31'!G13</f>
        <v>210044.66999999998</v>
      </c>
      <c r="H13" s="12">
        <f>+'29'!H13+'30'!H13+'31'!H13</f>
        <v>650</v>
      </c>
      <c r="I13" s="271"/>
      <c r="J13" s="514">
        <f>+'29'!J13+'30'!J13+'31'!J13</f>
        <v>0</v>
      </c>
      <c r="K13" s="12">
        <f>+'29'!K13+'30'!K13+'31'!K13</f>
        <v>0</v>
      </c>
      <c r="L13" s="12">
        <f>+'29'!L13+'30'!L13+'31'!L13</f>
        <v>0</v>
      </c>
      <c r="M13" s="271"/>
      <c r="N13" s="514">
        <f>+'29'!N13+'30'!N13+'31'!N13</f>
        <v>26</v>
      </c>
      <c r="O13" s="12">
        <f>+'29'!O13+'30'!O13+'31'!O13</f>
        <v>210044.66999999998</v>
      </c>
      <c r="P13" s="12">
        <f>+'29'!P13+'30'!P13+'31'!P13</f>
        <v>650</v>
      </c>
      <c r="Q13" s="532"/>
      <c r="R13" s="270">
        <v>26</v>
      </c>
      <c r="S13" s="12">
        <v>210044.67</v>
      </c>
      <c r="T13" s="12">
        <v>0</v>
      </c>
      <c r="U13" s="271"/>
      <c r="V13" s="533">
        <f t="shared" si="1"/>
        <v>0</v>
      </c>
      <c r="W13" s="533">
        <f t="shared" si="2"/>
        <v>0</v>
      </c>
      <c r="X13" s="257"/>
      <c r="Y13" s="261">
        <f t="shared" si="3"/>
        <v>0</v>
      </c>
      <c r="Z13" s="12">
        <f t="shared" si="4"/>
        <v>0</v>
      </c>
      <c r="AB13" s="13">
        <f t="shared" si="0"/>
        <v>210044.66999999998</v>
      </c>
      <c r="AF13" s="13">
        <f t="shared" si="5"/>
        <v>210044.66999999998</v>
      </c>
      <c r="AM13" s="12">
        <f t="shared" si="6"/>
        <v>0</v>
      </c>
      <c r="AN13" s="13">
        <f t="shared" si="7"/>
        <v>210044.66999999998</v>
      </c>
    </row>
    <row r="14" spans="1:40" x14ac:dyDescent="0.25">
      <c r="A14">
        <v>9</v>
      </c>
      <c r="B14" t="s">
        <v>31</v>
      </c>
      <c r="C14" t="s">
        <v>15</v>
      </c>
      <c r="D14" t="s">
        <v>20</v>
      </c>
      <c r="F14" s="514">
        <f>+'29'!F14+'30'!F14+'31'!F14</f>
        <v>13</v>
      </c>
      <c r="G14" s="12">
        <f>+'29'!G14+'30'!G14+'31'!G14</f>
        <v>131749.38999999998</v>
      </c>
      <c r="H14" s="12">
        <f>+'29'!H14+'30'!H14+'31'!H14</f>
        <v>300</v>
      </c>
      <c r="I14" s="271"/>
      <c r="J14" s="514">
        <f>+'29'!J14+'30'!J14+'31'!J14</f>
        <v>0</v>
      </c>
      <c r="K14" s="12">
        <f>+'29'!K14+'30'!K14+'31'!K14</f>
        <v>0</v>
      </c>
      <c r="L14" s="12">
        <f>+'29'!L14+'30'!L14+'31'!L14</f>
        <v>0</v>
      </c>
      <c r="M14" s="271"/>
      <c r="N14" s="514">
        <f>+'29'!N14+'30'!N14+'31'!N14</f>
        <v>13</v>
      </c>
      <c r="O14" s="12">
        <f>+'29'!O14+'30'!O14+'31'!O14</f>
        <v>131749.38999999998</v>
      </c>
      <c r="P14" s="12">
        <f>+'29'!P14+'30'!P14+'31'!P14</f>
        <v>300</v>
      </c>
      <c r="Q14" s="532"/>
      <c r="R14" s="270">
        <v>13</v>
      </c>
      <c r="S14" s="12">
        <v>131449.39000000001</v>
      </c>
      <c r="T14" s="12">
        <v>300</v>
      </c>
      <c r="U14" s="271"/>
      <c r="V14" s="533">
        <f t="shared" si="1"/>
        <v>0</v>
      </c>
      <c r="W14" s="533">
        <f t="shared" si="2"/>
        <v>299.9999999999709</v>
      </c>
      <c r="X14" s="257"/>
      <c r="Y14" s="261">
        <f t="shared" si="3"/>
        <v>0</v>
      </c>
      <c r="Z14" s="12">
        <f t="shared" si="4"/>
        <v>299.9999999999709</v>
      </c>
      <c r="AB14" s="13">
        <f t="shared" si="0"/>
        <v>131749.38999999998</v>
      </c>
      <c r="AF14" s="13">
        <f>AB14-AD14</f>
        <v>131749.38999999998</v>
      </c>
      <c r="AM14" s="12">
        <f t="shared" si="6"/>
        <v>0</v>
      </c>
      <c r="AN14" s="13">
        <f t="shared" si="7"/>
        <v>131749.38999999998</v>
      </c>
    </row>
    <row r="15" spans="1:40" x14ac:dyDescent="0.25">
      <c r="A15">
        <v>10</v>
      </c>
      <c r="B15" t="s">
        <v>32</v>
      </c>
      <c r="C15" t="s">
        <v>15</v>
      </c>
      <c r="D15" t="s">
        <v>16</v>
      </c>
      <c r="F15" s="514">
        <f>+'29'!F15+'30'!F15+'31'!F15</f>
        <v>0</v>
      </c>
      <c r="G15" s="12">
        <f>+'29'!G15+'30'!G15+'31'!G15</f>
        <v>0</v>
      </c>
      <c r="H15" s="12">
        <f>+'29'!H15+'30'!H15+'31'!H15</f>
        <v>0</v>
      </c>
      <c r="I15" s="271"/>
      <c r="J15" s="514">
        <f>+'29'!J15+'30'!J15+'31'!J15</f>
        <v>0</v>
      </c>
      <c r="K15" s="12">
        <f>+'29'!K15+'30'!K15+'31'!K15</f>
        <v>0</v>
      </c>
      <c r="L15" s="12">
        <f>+'29'!L15+'30'!L15+'31'!L15</f>
        <v>0</v>
      </c>
      <c r="M15" s="271"/>
      <c r="N15" s="514">
        <f>+'29'!N15+'30'!N15+'31'!N15</f>
        <v>0</v>
      </c>
      <c r="O15" s="12">
        <f>+'29'!O15+'30'!O15+'31'!O15</f>
        <v>0</v>
      </c>
      <c r="P15" s="12">
        <f>+'29'!P15+'30'!P15+'31'!P15</f>
        <v>0</v>
      </c>
      <c r="Q15" s="532"/>
      <c r="R15" s="270">
        <v>0</v>
      </c>
      <c r="S15" s="12">
        <v>0</v>
      </c>
      <c r="T15" s="12">
        <v>0</v>
      </c>
      <c r="U15" s="271"/>
      <c r="V15" s="533">
        <f t="shared" si="1"/>
        <v>0</v>
      </c>
      <c r="W15" s="533">
        <f t="shared" si="2"/>
        <v>0</v>
      </c>
      <c r="X15" s="257"/>
      <c r="Y15" s="261">
        <f t="shared" si="3"/>
        <v>0</v>
      </c>
      <c r="Z15" s="12">
        <f t="shared" si="4"/>
        <v>0</v>
      </c>
      <c r="AB15" s="13">
        <f t="shared" si="0"/>
        <v>0</v>
      </c>
      <c r="AF15" s="13">
        <f t="shared" si="5"/>
        <v>0</v>
      </c>
      <c r="AM15" s="12">
        <f t="shared" si="6"/>
        <v>0</v>
      </c>
      <c r="AN15" s="13">
        <f t="shared" si="7"/>
        <v>0</v>
      </c>
    </row>
    <row r="16" spans="1:40" x14ac:dyDescent="0.25">
      <c r="A16">
        <v>11</v>
      </c>
      <c r="B16" t="s">
        <v>33</v>
      </c>
      <c r="D16" t="s">
        <v>16</v>
      </c>
      <c r="F16" s="514">
        <f>+'29'!F16+'30'!F16+'31'!F16</f>
        <v>0</v>
      </c>
      <c r="G16" s="12">
        <f>+'29'!G16+'30'!G16+'31'!G16</f>
        <v>0</v>
      </c>
      <c r="H16" s="12">
        <f>+'29'!H16+'30'!H16+'31'!H16</f>
        <v>0</v>
      </c>
      <c r="I16" s="271"/>
      <c r="J16" s="514">
        <f>+'29'!J16+'30'!J16+'31'!J16</f>
        <v>0</v>
      </c>
      <c r="K16" s="12">
        <f>+'29'!K16+'30'!K16+'31'!K16</f>
        <v>0</v>
      </c>
      <c r="L16" s="12">
        <f>+'29'!L16+'30'!L16+'31'!L16</f>
        <v>0</v>
      </c>
      <c r="M16" s="271"/>
      <c r="N16" s="514">
        <f>+'29'!N16+'30'!N16+'31'!N16</f>
        <v>0</v>
      </c>
      <c r="O16" s="12">
        <f>+'29'!O16+'30'!O16+'31'!O16</f>
        <v>0</v>
      </c>
      <c r="P16" s="12">
        <f>+'29'!P16+'30'!P16+'31'!P16</f>
        <v>0</v>
      </c>
      <c r="Q16" s="532"/>
      <c r="R16" s="270">
        <v>0</v>
      </c>
      <c r="S16" s="12">
        <v>0</v>
      </c>
      <c r="T16" s="12">
        <v>0</v>
      </c>
      <c r="U16" s="271"/>
      <c r="V16" s="533">
        <f t="shared" si="1"/>
        <v>0</v>
      </c>
      <c r="W16" s="533">
        <f t="shared" si="2"/>
        <v>0</v>
      </c>
      <c r="X16" s="257"/>
      <c r="Y16" s="261">
        <f t="shared" si="3"/>
        <v>0</v>
      </c>
      <c r="Z16" s="12">
        <f t="shared" si="4"/>
        <v>0</v>
      </c>
      <c r="AB16" s="13">
        <f t="shared" si="0"/>
        <v>0</v>
      </c>
      <c r="AF16" s="13">
        <f t="shared" si="5"/>
        <v>0</v>
      </c>
      <c r="AM16" s="12">
        <f t="shared" si="6"/>
        <v>0</v>
      </c>
      <c r="AN16" s="13">
        <f t="shared" si="7"/>
        <v>0</v>
      </c>
    </row>
    <row r="17" spans="1:40" x14ac:dyDescent="0.25">
      <c r="A17">
        <v>12</v>
      </c>
      <c r="B17" t="s">
        <v>34</v>
      </c>
      <c r="C17" t="s">
        <v>18</v>
      </c>
      <c r="D17" t="s">
        <v>16</v>
      </c>
      <c r="F17" s="514">
        <f>+'29'!F17+'30'!F17+'31'!F17</f>
        <v>0</v>
      </c>
      <c r="G17" s="12">
        <f>+'29'!G17+'30'!G17+'31'!G17</f>
        <v>0</v>
      </c>
      <c r="H17" s="12">
        <f>+'29'!H17+'30'!H17+'31'!H17</f>
        <v>0</v>
      </c>
      <c r="I17" s="271"/>
      <c r="J17" s="514">
        <f>+'29'!J17+'30'!J17+'31'!J17</f>
        <v>0</v>
      </c>
      <c r="K17" s="12">
        <f>+'29'!K17+'30'!K17+'31'!K17</f>
        <v>0</v>
      </c>
      <c r="L17" s="12">
        <f>+'29'!L17+'30'!L17+'31'!L17</f>
        <v>0</v>
      </c>
      <c r="M17" s="271"/>
      <c r="N17" s="514">
        <f>+'29'!N17+'30'!N17+'31'!N17</f>
        <v>0</v>
      </c>
      <c r="O17" s="12">
        <f>+'29'!O17+'30'!O17+'31'!O17</f>
        <v>0</v>
      </c>
      <c r="P17" s="12">
        <f>+'29'!P17+'30'!P17+'31'!P17</f>
        <v>0</v>
      </c>
      <c r="Q17" s="532"/>
      <c r="R17" s="270">
        <v>0</v>
      </c>
      <c r="S17" s="12">
        <v>0</v>
      </c>
      <c r="T17" s="12">
        <v>0</v>
      </c>
      <c r="U17" s="271"/>
      <c r="V17" s="533">
        <f t="shared" si="1"/>
        <v>0</v>
      </c>
      <c r="W17" s="533">
        <f t="shared" si="2"/>
        <v>0</v>
      </c>
      <c r="X17" s="257"/>
      <c r="Y17" s="261">
        <f t="shared" si="3"/>
        <v>0</v>
      </c>
      <c r="Z17" s="12">
        <f t="shared" si="4"/>
        <v>0</v>
      </c>
      <c r="AB17" s="13">
        <f t="shared" si="0"/>
        <v>0</v>
      </c>
      <c r="AF17" s="13">
        <f t="shared" si="5"/>
        <v>0</v>
      </c>
      <c r="AM17" s="12">
        <f t="shared" si="6"/>
        <v>0</v>
      </c>
      <c r="AN17" s="13">
        <f t="shared" si="7"/>
        <v>0</v>
      </c>
    </row>
    <row r="18" spans="1:40" x14ac:dyDescent="0.25">
      <c r="A18">
        <v>13</v>
      </c>
      <c r="B18" t="s">
        <v>35</v>
      </c>
      <c r="C18" t="s">
        <v>18</v>
      </c>
      <c r="D18" t="s">
        <v>20</v>
      </c>
      <c r="F18" s="514">
        <f>+'29'!F18+'30'!F18+'31'!F18</f>
        <v>170</v>
      </c>
      <c r="G18" s="12">
        <f>+'29'!G18+'30'!G18+'31'!G18</f>
        <v>3947448.55</v>
      </c>
      <c r="H18" s="12">
        <f>+'29'!H18+'30'!H18+'31'!H18</f>
        <v>5300</v>
      </c>
      <c r="I18" s="271"/>
      <c r="J18" s="514">
        <f>+'29'!J18+'30'!J18+'31'!J18</f>
        <v>0</v>
      </c>
      <c r="K18" s="12">
        <f>+'29'!K18+'30'!K18+'31'!K18</f>
        <v>0</v>
      </c>
      <c r="L18" s="12">
        <f>+'29'!L18+'30'!L18+'31'!L18</f>
        <v>0</v>
      </c>
      <c r="M18" s="271"/>
      <c r="N18" s="514">
        <f>+'29'!N18+'30'!N18+'31'!N18</f>
        <v>170</v>
      </c>
      <c r="O18" s="12">
        <f>+'29'!O18+'30'!O18+'31'!O18</f>
        <v>3947448.55</v>
      </c>
      <c r="P18" s="12">
        <f>+'29'!P18+'30'!P18+'31'!P18</f>
        <v>5300</v>
      </c>
      <c r="Q18" s="532"/>
      <c r="R18" s="270">
        <v>170</v>
      </c>
      <c r="S18" s="12">
        <v>3942148.55</v>
      </c>
      <c r="T18" s="12">
        <v>5300</v>
      </c>
      <c r="U18" s="271"/>
      <c r="V18" s="533">
        <f t="shared" si="1"/>
        <v>0</v>
      </c>
      <c r="W18" s="533">
        <f t="shared" si="2"/>
        <v>5300</v>
      </c>
      <c r="X18" s="257"/>
      <c r="Y18" s="261">
        <f t="shared" si="3"/>
        <v>0</v>
      </c>
      <c r="Z18" s="12">
        <f t="shared" si="4"/>
        <v>5300</v>
      </c>
      <c r="AB18" s="13">
        <f t="shared" si="0"/>
        <v>3947448.55</v>
      </c>
      <c r="AF18" s="13">
        <f t="shared" si="5"/>
        <v>3947448.55</v>
      </c>
      <c r="AJ18" s="13"/>
      <c r="AM18" s="12">
        <f t="shared" si="6"/>
        <v>0</v>
      </c>
      <c r="AN18" s="13">
        <f t="shared" si="7"/>
        <v>3947448.55</v>
      </c>
    </row>
    <row r="19" spans="1:40" x14ac:dyDescent="0.25">
      <c r="A19">
        <v>14</v>
      </c>
      <c r="B19" t="s">
        <v>36</v>
      </c>
      <c r="C19" t="s">
        <v>25</v>
      </c>
      <c r="D19" t="s">
        <v>16</v>
      </c>
      <c r="F19" s="514">
        <f>+'29'!F19+'30'!F19+'31'!F19</f>
        <v>21</v>
      </c>
      <c r="G19" s="12">
        <f>+'29'!G19+'30'!G19+'31'!G19</f>
        <v>60905.99</v>
      </c>
      <c r="H19" s="12">
        <f>+'29'!H19+'30'!H19+'31'!H19</f>
        <v>105</v>
      </c>
      <c r="I19" s="271"/>
      <c r="J19" s="514">
        <f>+'29'!J19+'30'!J19+'31'!J19</f>
        <v>0</v>
      </c>
      <c r="K19" s="12">
        <f>+'29'!K19+'30'!K19+'31'!K19</f>
        <v>0</v>
      </c>
      <c r="L19" s="12">
        <f>+'29'!L19+'30'!L19+'31'!L19</f>
        <v>0</v>
      </c>
      <c r="M19" s="271"/>
      <c r="N19" s="514">
        <f>+'29'!N19+'30'!N19+'31'!N19</f>
        <v>21</v>
      </c>
      <c r="O19" s="12">
        <f>+'29'!O19+'30'!O19+'31'!O19</f>
        <v>60905.99</v>
      </c>
      <c r="P19" s="12">
        <f>+'29'!P19+'30'!P19+'31'!P19</f>
        <v>105</v>
      </c>
      <c r="Q19" s="532"/>
      <c r="R19" s="270">
        <v>21</v>
      </c>
      <c r="S19" s="12">
        <v>60905.99</v>
      </c>
      <c r="T19" s="12">
        <v>0</v>
      </c>
      <c r="U19" s="271"/>
      <c r="V19" s="533">
        <f t="shared" si="1"/>
        <v>0</v>
      </c>
      <c r="W19" s="533">
        <f t="shared" si="2"/>
        <v>0</v>
      </c>
      <c r="X19" s="257"/>
      <c r="Y19" s="261">
        <f t="shared" si="3"/>
        <v>0</v>
      </c>
      <c r="Z19" s="12">
        <f t="shared" si="4"/>
        <v>0</v>
      </c>
      <c r="AB19" s="13">
        <f t="shared" si="0"/>
        <v>60905.99</v>
      </c>
      <c r="AD19" s="16">
        <v>1866.0714285714287</v>
      </c>
      <c r="AF19" s="13">
        <f t="shared" si="5"/>
        <v>59039.91857142857</v>
      </c>
      <c r="AG19" s="16">
        <v>4169.1964285714284</v>
      </c>
      <c r="AM19" s="12">
        <f t="shared" si="6"/>
        <v>4169.1964285714284</v>
      </c>
      <c r="AN19" s="13">
        <f t="shared" si="7"/>
        <v>54870.722142857143</v>
      </c>
    </row>
    <row r="20" spans="1:40" x14ac:dyDescent="0.25">
      <c r="A20">
        <v>15</v>
      </c>
      <c r="B20" t="s">
        <v>37</v>
      </c>
      <c r="C20" t="s">
        <v>25</v>
      </c>
      <c r="D20" t="s">
        <v>16</v>
      </c>
      <c r="F20" s="514">
        <f>+'29'!F20+'30'!F20+'31'!F20</f>
        <v>0</v>
      </c>
      <c r="G20" s="12">
        <f>+'29'!G20+'30'!G20+'31'!G20</f>
        <v>0</v>
      </c>
      <c r="H20" s="12">
        <f>+'29'!H20+'30'!H20+'31'!H20</f>
        <v>0</v>
      </c>
      <c r="I20" s="271"/>
      <c r="J20" s="514">
        <f>+'29'!J20+'30'!J20+'31'!J20</f>
        <v>0</v>
      </c>
      <c r="K20" s="12">
        <f>+'29'!K20+'30'!K20+'31'!K20</f>
        <v>0</v>
      </c>
      <c r="L20" s="12">
        <f>+'29'!L20+'30'!L20+'31'!L20</f>
        <v>0</v>
      </c>
      <c r="M20" s="271"/>
      <c r="N20" s="514">
        <f>+'29'!N20+'30'!N20+'31'!N20</f>
        <v>0</v>
      </c>
      <c r="O20" s="12">
        <f>+'29'!O20+'30'!O20+'31'!O20</f>
        <v>0</v>
      </c>
      <c r="P20" s="12">
        <f>+'29'!P20+'30'!P20+'31'!P20</f>
        <v>0</v>
      </c>
      <c r="Q20" s="532"/>
      <c r="R20" s="270">
        <v>0</v>
      </c>
      <c r="S20" s="12">
        <v>0</v>
      </c>
      <c r="T20" s="12">
        <v>0</v>
      </c>
      <c r="U20" s="271"/>
      <c r="V20" s="533">
        <f t="shared" si="1"/>
        <v>0</v>
      </c>
      <c r="W20" s="533">
        <f t="shared" si="2"/>
        <v>0</v>
      </c>
      <c r="X20" s="257"/>
      <c r="Y20" s="261">
        <f t="shared" si="3"/>
        <v>0</v>
      </c>
      <c r="Z20" s="12">
        <f t="shared" si="4"/>
        <v>0</v>
      </c>
      <c r="AB20" s="13">
        <f t="shared" si="0"/>
        <v>0</v>
      </c>
      <c r="AF20" s="13">
        <f t="shared" si="5"/>
        <v>0</v>
      </c>
      <c r="AG20" s="16">
        <v>58.928571428571431</v>
      </c>
      <c r="AM20" s="12">
        <f t="shared" si="6"/>
        <v>58.928571428571431</v>
      </c>
      <c r="AN20" s="13">
        <f t="shared" si="7"/>
        <v>-58.928571428571431</v>
      </c>
    </row>
    <row r="21" spans="1:40" x14ac:dyDescent="0.25">
      <c r="A21">
        <v>16</v>
      </c>
      <c r="B21" t="s">
        <v>38</v>
      </c>
      <c r="C21" t="s">
        <v>39</v>
      </c>
      <c r="D21" t="s">
        <v>16</v>
      </c>
      <c r="F21" s="514">
        <f>+'29'!F21+'30'!F21+'31'!F21</f>
        <v>0</v>
      </c>
      <c r="G21" s="12">
        <f>+'29'!G21+'30'!G21+'31'!G21</f>
        <v>0</v>
      </c>
      <c r="H21" s="12">
        <f>+'29'!H21+'30'!H21+'31'!H21</f>
        <v>0</v>
      </c>
      <c r="I21" s="271"/>
      <c r="J21" s="514">
        <f>+'29'!J21+'30'!J21+'31'!J21</f>
        <v>0</v>
      </c>
      <c r="K21" s="12">
        <f>+'29'!K21+'30'!K21+'31'!K21</f>
        <v>0</v>
      </c>
      <c r="L21" s="12">
        <f>+'29'!L21+'30'!L21+'31'!L21</f>
        <v>0</v>
      </c>
      <c r="M21" s="271"/>
      <c r="N21" s="514">
        <f>+'29'!N21+'30'!N21+'31'!N21</f>
        <v>0</v>
      </c>
      <c r="O21" s="12">
        <f>+'29'!O21+'30'!O21+'31'!O21</f>
        <v>0</v>
      </c>
      <c r="P21" s="12">
        <f>+'29'!P21+'30'!P21+'31'!P21</f>
        <v>0</v>
      </c>
      <c r="Q21" s="532"/>
      <c r="R21" s="270">
        <v>0</v>
      </c>
      <c r="S21" s="12">
        <v>0</v>
      </c>
      <c r="T21" s="12">
        <v>0</v>
      </c>
      <c r="U21" s="271"/>
      <c r="V21" s="533">
        <f t="shared" si="1"/>
        <v>0</v>
      </c>
      <c r="W21" s="533">
        <f t="shared" si="2"/>
        <v>0</v>
      </c>
      <c r="X21" s="257"/>
      <c r="Y21" s="261">
        <f t="shared" si="3"/>
        <v>0</v>
      </c>
      <c r="Z21" s="12">
        <f t="shared" si="4"/>
        <v>0</v>
      </c>
      <c r="AB21" s="13">
        <f t="shared" si="0"/>
        <v>0</v>
      </c>
      <c r="AD21" s="16"/>
      <c r="AF21" s="13">
        <f t="shared" si="5"/>
        <v>0</v>
      </c>
      <c r="AG21" s="16"/>
      <c r="AM21" s="12">
        <f t="shared" si="6"/>
        <v>0</v>
      </c>
      <c r="AN21" s="13">
        <f t="shared" si="7"/>
        <v>0</v>
      </c>
    </row>
    <row r="22" spans="1:40" x14ac:dyDescent="0.25">
      <c r="A22">
        <v>17</v>
      </c>
      <c r="B22" t="s">
        <v>42</v>
      </c>
      <c r="C22" t="s">
        <v>22</v>
      </c>
      <c r="D22" t="s">
        <v>43</v>
      </c>
      <c r="F22" s="514">
        <f>+'29'!F22+'30'!F22+'31'!F22</f>
        <v>2</v>
      </c>
      <c r="G22" s="12">
        <f>+'29'!G22+'30'!G22+'31'!G22</f>
        <v>2500</v>
      </c>
      <c r="H22" s="12">
        <f>+'29'!H22+'30'!H22+'31'!H22</f>
        <v>14</v>
      </c>
      <c r="I22" s="271"/>
      <c r="J22" s="514">
        <f>+'29'!J22+'30'!J22+'31'!J22</f>
        <v>0</v>
      </c>
      <c r="K22" s="12">
        <f>+'29'!K22+'30'!K22+'31'!K22</f>
        <v>0</v>
      </c>
      <c r="L22" s="12">
        <f>+'29'!L22+'30'!L22+'31'!L22</f>
        <v>0</v>
      </c>
      <c r="M22" s="271"/>
      <c r="N22" s="514">
        <f>+'29'!N22+'30'!N22+'31'!N22</f>
        <v>2</v>
      </c>
      <c r="O22" s="12">
        <f>+'29'!O22+'30'!O22+'31'!O22</f>
        <v>2500</v>
      </c>
      <c r="P22" s="12">
        <f>+'29'!P22+'30'!P22+'31'!P22</f>
        <v>14</v>
      </c>
      <c r="Q22" s="532"/>
      <c r="R22" s="270">
        <v>2</v>
      </c>
      <c r="S22" s="12">
        <v>2500</v>
      </c>
      <c r="T22" s="12">
        <v>0</v>
      </c>
      <c r="U22" s="271"/>
      <c r="V22" s="533">
        <f t="shared" si="1"/>
        <v>0</v>
      </c>
      <c r="W22" s="533">
        <f t="shared" si="2"/>
        <v>0</v>
      </c>
      <c r="X22" s="257"/>
      <c r="Y22" s="261">
        <f t="shared" si="3"/>
        <v>0</v>
      </c>
      <c r="Z22" s="12">
        <f t="shared" si="4"/>
        <v>0</v>
      </c>
      <c r="AB22" s="13">
        <f t="shared" si="0"/>
        <v>2500</v>
      </c>
      <c r="AF22" s="13">
        <f t="shared" si="5"/>
        <v>2500</v>
      </c>
      <c r="AG22" s="16"/>
      <c r="AM22" s="12">
        <f t="shared" si="6"/>
        <v>0</v>
      </c>
      <c r="AN22" s="13">
        <f t="shared" si="7"/>
        <v>2500</v>
      </c>
    </row>
    <row r="23" spans="1:40" x14ac:dyDescent="0.25">
      <c r="A23">
        <v>18</v>
      </c>
      <c r="B23" t="s">
        <v>44</v>
      </c>
      <c r="C23" t="s">
        <v>15</v>
      </c>
      <c r="D23" t="s">
        <v>45</v>
      </c>
      <c r="F23" s="514">
        <f>+'29'!F23+'30'!F23+'31'!F23</f>
        <v>1488</v>
      </c>
      <c r="G23" s="12">
        <f>+'29'!G23+'30'!G23+'31'!G23</f>
        <v>29805467.489999998</v>
      </c>
      <c r="H23" s="12">
        <f>+'29'!H23+'30'!H23+'31'!H23</f>
        <v>24912</v>
      </c>
      <c r="I23" s="271"/>
      <c r="J23" s="514">
        <f>+'29'!J23+'30'!J23+'31'!J23</f>
        <v>0</v>
      </c>
      <c r="K23" s="12">
        <f>+'29'!K23+'30'!K23+'31'!K23</f>
        <v>0</v>
      </c>
      <c r="L23" s="12">
        <f>+'29'!L23+'30'!L23+'31'!L23</f>
        <v>0</v>
      </c>
      <c r="M23" s="271"/>
      <c r="N23" s="514">
        <f>+'29'!N23+'30'!N23+'31'!N23</f>
        <v>1488</v>
      </c>
      <c r="O23" s="12">
        <f>+'29'!O23+'30'!O23+'31'!O23</f>
        <v>29805467.489999998</v>
      </c>
      <c r="P23" s="12">
        <f>+'29'!P23+'30'!P23+'31'!P23</f>
        <v>24912</v>
      </c>
      <c r="Q23" s="532"/>
      <c r="R23" s="270">
        <v>1488</v>
      </c>
      <c r="S23" s="12">
        <v>29805467.489999998</v>
      </c>
      <c r="T23" s="12">
        <v>0</v>
      </c>
      <c r="U23" s="271"/>
      <c r="V23" s="533">
        <f t="shared" si="1"/>
        <v>0</v>
      </c>
      <c r="W23" s="533">
        <f t="shared" si="2"/>
        <v>0</v>
      </c>
      <c r="X23" s="257"/>
      <c r="Y23" s="261">
        <f t="shared" si="3"/>
        <v>0</v>
      </c>
      <c r="Z23" s="12">
        <f t="shared" si="4"/>
        <v>0</v>
      </c>
      <c r="AB23" s="13">
        <f t="shared" si="0"/>
        <v>29805467.489999998</v>
      </c>
      <c r="AD23" s="16">
        <v>207664.28571428571</v>
      </c>
      <c r="AF23" s="13">
        <f t="shared" si="5"/>
        <v>29597803.204285711</v>
      </c>
      <c r="AG23" s="16">
        <v>637151.42857142864</v>
      </c>
      <c r="AM23" s="12">
        <f t="shared" si="6"/>
        <v>637151.42857142864</v>
      </c>
      <c r="AN23" s="13">
        <f t="shared" si="7"/>
        <v>28960651.775714282</v>
      </c>
    </row>
    <row r="24" spans="1:40" x14ac:dyDescent="0.25">
      <c r="A24">
        <v>19</v>
      </c>
      <c r="B24" t="s">
        <v>46</v>
      </c>
      <c r="C24" t="s">
        <v>22</v>
      </c>
      <c r="D24" t="s">
        <v>16</v>
      </c>
      <c r="F24" s="514">
        <f>+'29'!F24+'30'!F24+'31'!F24</f>
        <v>0</v>
      </c>
      <c r="G24" s="12">
        <f>+'29'!G24+'30'!G24+'31'!G24</f>
        <v>0</v>
      </c>
      <c r="H24" s="12">
        <f>+'29'!H24+'30'!H24+'31'!H24</f>
        <v>0</v>
      </c>
      <c r="I24" s="271"/>
      <c r="J24" s="514">
        <f>+'29'!J24+'30'!J24+'31'!J24</f>
        <v>0</v>
      </c>
      <c r="K24" s="12">
        <f>+'29'!K24+'30'!K24+'31'!K24</f>
        <v>0</v>
      </c>
      <c r="L24" s="12">
        <f>+'29'!L24+'30'!L24+'31'!L24</f>
        <v>0</v>
      </c>
      <c r="M24" s="271"/>
      <c r="N24" s="514">
        <f>+'29'!N24+'30'!N24+'31'!N24</f>
        <v>0</v>
      </c>
      <c r="O24" s="12">
        <f>+'29'!O24+'30'!O24+'31'!O24</f>
        <v>0</v>
      </c>
      <c r="P24" s="12">
        <f>+'29'!P24+'30'!P24+'31'!P24</f>
        <v>0</v>
      </c>
      <c r="Q24" s="532"/>
      <c r="R24" s="270">
        <v>0</v>
      </c>
      <c r="S24" s="12">
        <v>0</v>
      </c>
      <c r="T24" s="12">
        <v>0</v>
      </c>
      <c r="U24" s="271"/>
      <c r="V24" s="533">
        <f t="shared" si="1"/>
        <v>0</v>
      </c>
      <c r="W24" s="533">
        <f t="shared" si="2"/>
        <v>0</v>
      </c>
      <c r="X24" s="257"/>
      <c r="Y24" s="261">
        <f t="shared" si="3"/>
        <v>0</v>
      </c>
      <c r="Z24" s="12">
        <f t="shared" si="4"/>
        <v>0</v>
      </c>
      <c r="AB24" s="13">
        <f t="shared" si="0"/>
        <v>0</v>
      </c>
      <c r="AD24" s="16"/>
      <c r="AF24" s="13">
        <f t="shared" si="5"/>
        <v>0</v>
      </c>
      <c r="AG24" s="16"/>
      <c r="AM24" s="12">
        <f t="shared" si="6"/>
        <v>0</v>
      </c>
      <c r="AN24" s="13">
        <f t="shared" si="7"/>
        <v>0</v>
      </c>
    </row>
    <row r="25" spans="1:40" x14ac:dyDescent="0.25">
      <c r="A25">
        <v>20</v>
      </c>
      <c r="B25" t="s">
        <v>47</v>
      </c>
      <c r="D25" t="s">
        <v>16</v>
      </c>
      <c r="F25" s="514">
        <f>+'29'!F25+'30'!F25+'31'!F25</f>
        <v>0</v>
      </c>
      <c r="G25" s="12">
        <f>+'29'!G25+'30'!G25+'31'!G25</f>
        <v>0</v>
      </c>
      <c r="H25" s="12">
        <f>+'29'!H25+'30'!H25+'31'!H25</f>
        <v>0</v>
      </c>
      <c r="I25" s="271"/>
      <c r="J25" s="514">
        <f>+'29'!J25+'30'!J25+'31'!J25</f>
        <v>0</v>
      </c>
      <c r="K25" s="12">
        <f>+'29'!K25+'30'!K25+'31'!K25</f>
        <v>0</v>
      </c>
      <c r="L25" s="12">
        <f>+'29'!L25+'30'!L25+'31'!L25</f>
        <v>0</v>
      </c>
      <c r="M25" s="271"/>
      <c r="N25" s="514">
        <f>+'29'!N25+'30'!N25+'31'!N25</f>
        <v>0</v>
      </c>
      <c r="O25" s="12">
        <f>+'29'!O25+'30'!O25+'31'!O25</f>
        <v>0</v>
      </c>
      <c r="P25" s="12">
        <f>+'29'!P25+'30'!P25+'31'!P25</f>
        <v>0</v>
      </c>
      <c r="Q25" s="532"/>
      <c r="R25" s="270">
        <v>0</v>
      </c>
      <c r="S25" s="12">
        <v>0</v>
      </c>
      <c r="T25" s="12">
        <v>0</v>
      </c>
      <c r="U25" s="271"/>
      <c r="V25" s="533">
        <f t="shared" si="1"/>
        <v>0</v>
      </c>
      <c r="W25" s="533">
        <f t="shared" si="2"/>
        <v>0</v>
      </c>
      <c r="X25" s="257"/>
      <c r="Y25" s="261">
        <f t="shared" si="3"/>
        <v>0</v>
      </c>
      <c r="Z25" s="12">
        <f t="shared" si="4"/>
        <v>0</v>
      </c>
      <c r="AB25" s="13">
        <f t="shared" si="0"/>
        <v>0</v>
      </c>
      <c r="AD25" s="16"/>
      <c r="AF25" s="13">
        <f t="shared" si="5"/>
        <v>0</v>
      </c>
      <c r="AG25" s="16"/>
      <c r="AM25" s="12">
        <f t="shared" si="6"/>
        <v>0</v>
      </c>
      <c r="AN25" s="13">
        <f t="shared" si="7"/>
        <v>0</v>
      </c>
    </row>
    <row r="26" spans="1:40" x14ac:dyDescent="0.25">
      <c r="A26">
        <v>21</v>
      </c>
      <c r="B26" t="s">
        <v>48</v>
      </c>
      <c r="C26" t="s">
        <v>18</v>
      </c>
      <c r="D26" t="s">
        <v>16</v>
      </c>
      <c r="F26" s="514">
        <f>+'29'!F26+'30'!F26+'31'!F26</f>
        <v>2</v>
      </c>
      <c r="G26" s="12">
        <f>+'29'!G26+'30'!G26+'31'!G26</f>
        <v>18200</v>
      </c>
      <c r="H26" s="12">
        <f>+'29'!H26+'30'!H26+'31'!H26</f>
        <v>60</v>
      </c>
      <c r="I26" s="271"/>
      <c r="J26" s="514">
        <f>+'29'!J26+'30'!J26+'31'!J26</f>
        <v>0</v>
      </c>
      <c r="K26" s="12">
        <f>+'29'!K26+'30'!K26+'31'!K26</f>
        <v>0</v>
      </c>
      <c r="L26" s="12">
        <f>+'29'!L26+'30'!L26+'31'!L26</f>
        <v>0</v>
      </c>
      <c r="M26" s="271"/>
      <c r="N26" s="514">
        <f>+'29'!N26+'30'!N26+'31'!N26</f>
        <v>2</v>
      </c>
      <c r="O26" s="12">
        <f>+'29'!O26+'30'!O26+'31'!O26</f>
        <v>18200</v>
      </c>
      <c r="P26" s="12">
        <f>+'29'!P26+'30'!P26+'31'!P26</f>
        <v>60</v>
      </c>
      <c r="Q26" s="532"/>
      <c r="R26" s="270">
        <v>2</v>
      </c>
      <c r="S26" s="12">
        <v>18200</v>
      </c>
      <c r="T26" s="12">
        <v>0</v>
      </c>
      <c r="U26" s="271"/>
      <c r="V26" s="533">
        <f t="shared" si="1"/>
        <v>0</v>
      </c>
      <c r="W26" s="533">
        <f t="shared" si="2"/>
        <v>0</v>
      </c>
      <c r="X26" s="257"/>
      <c r="Y26" s="261">
        <f t="shared" si="3"/>
        <v>0</v>
      </c>
      <c r="Z26" s="12">
        <f t="shared" si="4"/>
        <v>0</v>
      </c>
      <c r="AB26" s="13">
        <f t="shared" si="0"/>
        <v>18200</v>
      </c>
      <c r="AF26" s="13">
        <f t="shared" si="5"/>
        <v>18200</v>
      </c>
      <c r="AM26" s="12">
        <f t="shared" si="6"/>
        <v>0</v>
      </c>
      <c r="AN26" s="13">
        <f t="shared" si="7"/>
        <v>18200</v>
      </c>
    </row>
    <row r="27" spans="1:40" x14ac:dyDescent="0.25">
      <c r="A27">
        <v>22</v>
      </c>
      <c r="B27" t="s">
        <v>50</v>
      </c>
      <c r="C27" t="s">
        <v>51</v>
      </c>
      <c r="D27" t="s">
        <v>16</v>
      </c>
      <c r="F27" s="514">
        <f>+'29'!F27+'30'!F27+'31'!F27</f>
        <v>0</v>
      </c>
      <c r="G27" s="12">
        <f>+'29'!G27+'30'!G27+'31'!G27</f>
        <v>0</v>
      </c>
      <c r="H27" s="12">
        <f>+'29'!H27+'30'!H27+'31'!H27</f>
        <v>0</v>
      </c>
      <c r="I27" s="271"/>
      <c r="J27" s="514">
        <f>+'29'!J27+'30'!J27+'31'!J27</f>
        <v>0</v>
      </c>
      <c r="K27" s="12">
        <f>+'29'!K27+'30'!K27+'31'!K27</f>
        <v>0</v>
      </c>
      <c r="L27" s="12">
        <f>+'29'!L27+'30'!L27+'31'!L27</f>
        <v>0</v>
      </c>
      <c r="M27" s="271"/>
      <c r="N27" s="514">
        <f>+'29'!N27+'30'!N27+'31'!N27</f>
        <v>0</v>
      </c>
      <c r="O27" s="12">
        <f>+'29'!O27+'30'!O27+'31'!O27</f>
        <v>0</v>
      </c>
      <c r="P27" s="12">
        <f>+'29'!P27+'30'!P27+'31'!P27</f>
        <v>0</v>
      </c>
      <c r="Q27" s="532"/>
      <c r="R27" s="270">
        <v>0</v>
      </c>
      <c r="S27" s="12">
        <v>0</v>
      </c>
      <c r="T27" s="12">
        <v>0</v>
      </c>
      <c r="U27" s="271"/>
      <c r="V27" s="533">
        <f t="shared" si="1"/>
        <v>0</v>
      </c>
      <c r="W27" s="533">
        <f t="shared" si="2"/>
        <v>0</v>
      </c>
      <c r="X27" s="257"/>
      <c r="Y27" s="261">
        <f t="shared" si="3"/>
        <v>0</v>
      </c>
      <c r="Z27" s="12">
        <f t="shared" si="4"/>
        <v>0</v>
      </c>
      <c r="AB27" s="13">
        <f t="shared" si="0"/>
        <v>0</v>
      </c>
      <c r="AF27" s="13">
        <f t="shared" si="5"/>
        <v>0</v>
      </c>
      <c r="AM27" s="12">
        <f t="shared" si="6"/>
        <v>0</v>
      </c>
      <c r="AN27" s="13">
        <f t="shared" si="7"/>
        <v>0</v>
      </c>
    </row>
    <row r="28" spans="1:40" x14ac:dyDescent="0.25">
      <c r="A28">
        <v>23</v>
      </c>
      <c r="B28" t="s">
        <v>52</v>
      </c>
      <c r="C28" t="s">
        <v>18</v>
      </c>
      <c r="D28" t="s">
        <v>16</v>
      </c>
      <c r="F28" s="514">
        <f>+'29'!F28+'30'!F28+'31'!F28</f>
        <v>0</v>
      </c>
      <c r="G28" s="12">
        <f>+'29'!G28+'30'!G28+'31'!G28</f>
        <v>0</v>
      </c>
      <c r="H28" s="12">
        <f>+'29'!H28+'30'!H28+'31'!H28</f>
        <v>0</v>
      </c>
      <c r="I28" s="271"/>
      <c r="J28" s="514">
        <f>+'29'!J28+'30'!J28+'31'!J28</f>
        <v>0</v>
      </c>
      <c r="K28" s="12">
        <f>+'29'!K28+'30'!K28+'31'!K28</f>
        <v>0</v>
      </c>
      <c r="L28" s="12">
        <f>+'29'!L28+'30'!L28+'31'!L28</f>
        <v>0</v>
      </c>
      <c r="M28" s="271"/>
      <c r="N28" s="514">
        <f>+'29'!N28+'30'!N28+'31'!N28</f>
        <v>0</v>
      </c>
      <c r="O28" s="12">
        <f>+'29'!O28+'30'!O28+'31'!O28</f>
        <v>0</v>
      </c>
      <c r="P28" s="12">
        <f>+'29'!P28+'30'!P28+'31'!P28</f>
        <v>0</v>
      </c>
      <c r="Q28" s="532"/>
      <c r="R28" s="270">
        <v>0</v>
      </c>
      <c r="S28" s="12">
        <v>0</v>
      </c>
      <c r="T28" s="12">
        <v>0</v>
      </c>
      <c r="U28" s="271"/>
      <c r="V28" s="533">
        <f t="shared" si="1"/>
        <v>0</v>
      </c>
      <c r="W28" s="533">
        <f t="shared" si="2"/>
        <v>0</v>
      </c>
      <c r="X28" s="257"/>
      <c r="Y28" s="261">
        <f t="shared" si="3"/>
        <v>0</v>
      </c>
      <c r="Z28" s="12">
        <f t="shared" si="4"/>
        <v>0</v>
      </c>
      <c r="AB28" s="13">
        <f t="shared" si="0"/>
        <v>0</v>
      </c>
      <c r="AF28" s="13">
        <f t="shared" si="5"/>
        <v>0</v>
      </c>
      <c r="AM28" s="12">
        <f t="shared" si="6"/>
        <v>0</v>
      </c>
      <c r="AN28" s="13">
        <f t="shared" si="7"/>
        <v>0</v>
      </c>
    </row>
    <row r="29" spans="1:40" x14ac:dyDescent="0.25">
      <c r="A29">
        <v>24</v>
      </c>
      <c r="B29" t="s">
        <v>53</v>
      </c>
      <c r="C29" t="s">
        <v>24</v>
      </c>
      <c r="D29" t="s">
        <v>16</v>
      </c>
      <c r="F29" s="514">
        <f>+'29'!F29+'30'!F29+'31'!F29</f>
        <v>11</v>
      </c>
      <c r="G29" s="12">
        <f>+'29'!G29+'30'!G29+'31'!G29</f>
        <v>634315</v>
      </c>
      <c r="H29" s="12">
        <f>+'29'!H29+'30'!H29+'31'!H29</f>
        <v>550</v>
      </c>
      <c r="I29" s="271"/>
      <c r="J29" s="514">
        <f>+'29'!J29+'30'!J29+'31'!J29</f>
        <v>0</v>
      </c>
      <c r="K29" s="12">
        <f>+'29'!K29+'30'!K29+'31'!K29</f>
        <v>0</v>
      </c>
      <c r="L29" s="12">
        <f>+'29'!L29+'30'!L29+'31'!L29</f>
        <v>0</v>
      </c>
      <c r="M29" s="271"/>
      <c r="N29" s="514">
        <f>+'29'!N29+'30'!N29+'31'!N29</f>
        <v>11</v>
      </c>
      <c r="O29" s="12">
        <f>+'29'!O29+'30'!O29+'31'!O29</f>
        <v>634315</v>
      </c>
      <c r="P29" s="12">
        <f>+'29'!P29+'30'!P29+'31'!P29</f>
        <v>550</v>
      </c>
      <c r="Q29" s="532"/>
      <c r="R29" s="270">
        <v>11</v>
      </c>
      <c r="S29" s="12">
        <v>634315</v>
      </c>
      <c r="T29" s="12">
        <v>0</v>
      </c>
      <c r="U29" s="271"/>
      <c r="V29" s="533">
        <f t="shared" si="1"/>
        <v>0</v>
      </c>
      <c r="W29" s="533">
        <f t="shared" si="2"/>
        <v>0</v>
      </c>
      <c r="X29" s="257"/>
      <c r="Y29" s="261">
        <f t="shared" si="3"/>
        <v>0</v>
      </c>
      <c r="Z29" s="12">
        <f t="shared" si="4"/>
        <v>0</v>
      </c>
      <c r="AB29" s="13">
        <f t="shared" si="0"/>
        <v>634315</v>
      </c>
      <c r="AD29" s="16"/>
      <c r="AF29" s="13">
        <f t="shared" si="5"/>
        <v>634315</v>
      </c>
      <c r="AG29" s="16"/>
      <c r="AM29" s="12">
        <f t="shared" si="6"/>
        <v>0</v>
      </c>
      <c r="AN29" s="13">
        <f t="shared" si="7"/>
        <v>634315</v>
      </c>
    </row>
    <row r="30" spans="1:40" x14ac:dyDescent="0.25">
      <c r="A30">
        <v>25</v>
      </c>
      <c r="B30" t="s">
        <v>54</v>
      </c>
      <c r="C30" t="s">
        <v>25</v>
      </c>
      <c r="D30" t="s">
        <v>16</v>
      </c>
      <c r="F30" s="514">
        <f>+'29'!F30+'30'!F30+'31'!F30</f>
        <v>7</v>
      </c>
      <c r="G30" s="12">
        <f>+'29'!G30+'30'!G30+'31'!G30</f>
        <v>48204</v>
      </c>
      <c r="H30" s="12">
        <f>+'29'!H30+'30'!H30+'31'!H30</f>
        <v>210</v>
      </c>
      <c r="I30" s="271"/>
      <c r="J30" s="514">
        <f>+'29'!J30+'30'!J30+'31'!J30</f>
        <v>0</v>
      </c>
      <c r="K30" s="12">
        <f>+'29'!K30+'30'!K30+'31'!K30</f>
        <v>0</v>
      </c>
      <c r="L30" s="12">
        <f>+'29'!L30+'30'!L30+'31'!L30</f>
        <v>0</v>
      </c>
      <c r="M30" s="271"/>
      <c r="N30" s="514">
        <f>+'29'!N30+'30'!N30+'31'!N30</f>
        <v>7</v>
      </c>
      <c r="O30" s="12">
        <f>+'29'!O30+'30'!O30+'31'!O30</f>
        <v>48204</v>
      </c>
      <c r="P30" s="12">
        <f>+'29'!P30+'30'!P30+'31'!P30</f>
        <v>210</v>
      </c>
      <c r="Q30" s="532"/>
      <c r="R30" s="270">
        <v>7</v>
      </c>
      <c r="S30" s="12">
        <v>48204</v>
      </c>
      <c r="T30" s="12">
        <v>0</v>
      </c>
      <c r="U30" s="271"/>
      <c r="V30" s="533">
        <f t="shared" si="1"/>
        <v>0</v>
      </c>
      <c r="W30" s="533">
        <f t="shared" si="2"/>
        <v>0</v>
      </c>
      <c r="X30" s="257"/>
      <c r="Y30" s="261">
        <f t="shared" si="3"/>
        <v>0</v>
      </c>
      <c r="Z30" s="12">
        <f t="shared" si="4"/>
        <v>0</v>
      </c>
      <c r="AB30" s="13">
        <f t="shared" si="0"/>
        <v>48204</v>
      </c>
      <c r="AF30" s="13">
        <f t="shared" si="5"/>
        <v>48204</v>
      </c>
      <c r="AM30" s="12">
        <f t="shared" si="6"/>
        <v>0</v>
      </c>
      <c r="AN30" s="13">
        <f t="shared" si="7"/>
        <v>48204</v>
      </c>
    </row>
    <row r="31" spans="1:40" x14ac:dyDescent="0.25">
      <c r="A31">
        <v>26</v>
      </c>
      <c r="B31" t="s">
        <v>55</v>
      </c>
      <c r="D31" t="s">
        <v>26</v>
      </c>
      <c r="F31" s="514">
        <f>+'29'!F31+'30'!F31+'31'!F31</f>
        <v>0</v>
      </c>
      <c r="G31" s="12">
        <f>+'29'!G31+'30'!G31+'31'!G31</f>
        <v>0</v>
      </c>
      <c r="H31" s="12">
        <f>+'29'!H31+'30'!H31+'31'!H31</f>
        <v>0</v>
      </c>
      <c r="I31" s="271"/>
      <c r="J31" s="514">
        <f>+'29'!J31+'30'!J31+'31'!J31</f>
        <v>0</v>
      </c>
      <c r="K31" s="12">
        <f>+'29'!K31+'30'!K31+'31'!K31</f>
        <v>0</v>
      </c>
      <c r="L31" s="12">
        <f>+'29'!L31+'30'!L31+'31'!L31</f>
        <v>0</v>
      </c>
      <c r="M31" s="271"/>
      <c r="N31" s="514">
        <f>+'29'!N31+'30'!N31+'31'!N31</f>
        <v>0</v>
      </c>
      <c r="O31" s="12">
        <f>+'29'!O31+'30'!O31+'31'!O31</f>
        <v>0</v>
      </c>
      <c r="P31" s="12">
        <f>+'29'!P31+'30'!P31+'31'!P31</f>
        <v>0</v>
      </c>
      <c r="Q31" s="532"/>
      <c r="R31" s="270">
        <v>0</v>
      </c>
      <c r="S31" s="12">
        <v>0</v>
      </c>
      <c r="T31" s="12">
        <v>0</v>
      </c>
      <c r="U31" s="271"/>
      <c r="V31" s="533">
        <f t="shared" si="1"/>
        <v>0</v>
      </c>
      <c r="W31" s="533">
        <f t="shared" si="2"/>
        <v>0</v>
      </c>
      <c r="X31" s="257"/>
      <c r="Y31" s="261">
        <f t="shared" si="3"/>
        <v>0</v>
      </c>
      <c r="Z31" s="12">
        <f t="shared" si="4"/>
        <v>0</v>
      </c>
      <c r="AB31" s="13">
        <f t="shared" si="0"/>
        <v>0</v>
      </c>
      <c r="AF31" s="13">
        <f t="shared" si="5"/>
        <v>0</v>
      </c>
      <c r="AM31" s="12">
        <f t="shared" si="6"/>
        <v>0</v>
      </c>
      <c r="AN31" s="13">
        <f t="shared" si="7"/>
        <v>0</v>
      </c>
    </row>
    <row r="32" spans="1:40" x14ac:dyDescent="0.25">
      <c r="A32">
        <v>27</v>
      </c>
      <c r="B32" t="s">
        <v>56</v>
      </c>
      <c r="C32" t="s">
        <v>39</v>
      </c>
      <c r="D32" t="s">
        <v>16</v>
      </c>
      <c r="F32" s="514">
        <f>+'29'!F32+'30'!F32+'31'!F32</f>
        <v>27</v>
      </c>
      <c r="G32" s="12">
        <f>+'29'!G32+'30'!G32+'31'!G32</f>
        <v>12767.650000000001</v>
      </c>
      <c r="H32" s="12">
        <f>+'29'!H32+'30'!H32+'31'!H32</f>
        <v>270</v>
      </c>
      <c r="I32" s="271"/>
      <c r="J32" s="514">
        <f>+'29'!J32+'30'!J32+'31'!J32</f>
        <v>0</v>
      </c>
      <c r="K32" s="12">
        <f>+'29'!K32+'30'!K32+'31'!K32</f>
        <v>0</v>
      </c>
      <c r="L32" s="12">
        <f>+'29'!L32+'30'!L32+'31'!L32</f>
        <v>0</v>
      </c>
      <c r="M32" s="271"/>
      <c r="N32" s="514">
        <f>+'29'!N32+'30'!N32+'31'!N32</f>
        <v>27</v>
      </c>
      <c r="O32" s="12">
        <f>+'29'!O32+'30'!O32+'31'!O32</f>
        <v>12767.650000000001</v>
      </c>
      <c r="P32" s="12">
        <f>+'29'!P32+'30'!P32+'31'!P32</f>
        <v>270</v>
      </c>
      <c r="Q32" s="532"/>
      <c r="R32" s="270">
        <v>27</v>
      </c>
      <c r="S32" s="12">
        <v>12767.65</v>
      </c>
      <c r="T32" s="12">
        <v>0</v>
      </c>
      <c r="U32" s="271"/>
      <c r="V32" s="533">
        <f t="shared" si="1"/>
        <v>0</v>
      </c>
      <c r="W32" s="533">
        <f t="shared" si="2"/>
        <v>0</v>
      </c>
      <c r="X32" s="257"/>
      <c r="Y32" s="261">
        <f t="shared" si="3"/>
        <v>0</v>
      </c>
      <c r="Z32" s="12">
        <f t="shared" si="4"/>
        <v>0</v>
      </c>
      <c r="AB32" s="13">
        <f t="shared" si="0"/>
        <v>12767.650000000001</v>
      </c>
      <c r="AF32" s="13">
        <f t="shared" si="5"/>
        <v>12767.650000000001</v>
      </c>
      <c r="AM32" s="12">
        <f t="shared" si="6"/>
        <v>0</v>
      </c>
      <c r="AN32" s="13">
        <f t="shared" si="7"/>
        <v>12767.650000000001</v>
      </c>
    </row>
    <row r="33" spans="1:40" x14ac:dyDescent="0.25">
      <c r="A33">
        <v>28</v>
      </c>
      <c r="B33" t="s">
        <v>57</v>
      </c>
      <c r="C33" t="s">
        <v>18</v>
      </c>
      <c r="D33" t="s">
        <v>20</v>
      </c>
      <c r="F33" s="514">
        <f>+'29'!F33+'30'!F33+'31'!F33</f>
        <v>0</v>
      </c>
      <c r="G33" s="12">
        <f>+'29'!G33+'30'!G33+'31'!G33</f>
        <v>0</v>
      </c>
      <c r="H33" s="12">
        <f>+'29'!H33+'30'!H33+'31'!H33</f>
        <v>0</v>
      </c>
      <c r="I33" s="271"/>
      <c r="J33" s="514">
        <f>+'29'!J33+'30'!J33+'31'!J33</f>
        <v>0</v>
      </c>
      <c r="K33" s="12">
        <f>+'29'!K33+'30'!K33+'31'!K33</f>
        <v>0</v>
      </c>
      <c r="L33" s="12">
        <f>+'29'!L33+'30'!L33+'31'!L33</f>
        <v>0</v>
      </c>
      <c r="M33" s="271"/>
      <c r="N33" s="514">
        <f>+'29'!N33+'30'!N33+'31'!N33</f>
        <v>0</v>
      </c>
      <c r="O33" s="12">
        <f>+'29'!O33+'30'!O33+'31'!O33</f>
        <v>0</v>
      </c>
      <c r="P33" s="12">
        <f>+'29'!P33+'30'!P33+'31'!P33</f>
        <v>0</v>
      </c>
      <c r="Q33" s="532"/>
      <c r="R33" s="270">
        <v>0</v>
      </c>
      <c r="S33" s="12">
        <v>0</v>
      </c>
      <c r="T33" s="12">
        <v>0</v>
      </c>
      <c r="U33" s="271"/>
      <c r="V33" s="533">
        <f t="shared" si="1"/>
        <v>0</v>
      </c>
      <c r="W33" s="533">
        <f t="shared" si="2"/>
        <v>0</v>
      </c>
      <c r="X33" s="257"/>
      <c r="Y33" s="261">
        <f t="shared" si="3"/>
        <v>0</v>
      </c>
      <c r="Z33" s="12">
        <f t="shared" si="4"/>
        <v>0</v>
      </c>
      <c r="AB33" s="13">
        <f t="shared" si="0"/>
        <v>0</v>
      </c>
      <c r="AD33" s="16"/>
      <c r="AF33" s="13">
        <f t="shared" si="5"/>
        <v>0</v>
      </c>
      <c r="AG33" s="16"/>
      <c r="AM33" s="12">
        <f t="shared" si="6"/>
        <v>0</v>
      </c>
      <c r="AN33" s="13">
        <f t="shared" si="7"/>
        <v>0</v>
      </c>
    </row>
    <row r="34" spans="1:40" x14ac:dyDescent="0.25">
      <c r="A34">
        <v>29</v>
      </c>
      <c r="B34" t="s">
        <v>58</v>
      </c>
      <c r="D34" t="s">
        <v>16</v>
      </c>
      <c r="F34" s="514">
        <f>+'29'!F34+'30'!F34+'31'!F34</f>
        <v>0</v>
      </c>
      <c r="G34" s="12">
        <f>+'29'!G34+'30'!G34+'31'!G34</f>
        <v>0</v>
      </c>
      <c r="H34" s="12">
        <f>+'29'!H34+'30'!H34+'31'!H34</f>
        <v>0</v>
      </c>
      <c r="I34" s="271"/>
      <c r="J34" s="514">
        <f>+'29'!J34+'30'!J34+'31'!J34</f>
        <v>0</v>
      </c>
      <c r="K34" s="12">
        <f>+'29'!K34+'30'!K34+'31'!K34</f>
        <v>0</v>
      </c>
      <c r="L34" s="12">
        <f>+'29'!L34+'30'!L34+'31'!L34</f>
        <v>0</v>
      </c>
      <c r="M34" s="271"/>
      <c r="N34" s="514">
        <f>+'29'!N34+'30'!N34+'31'!N34</f>
        <v>0</v>
      </c>
      <c r="O34" s="12">
        <f>+'29'!O34+'30'!O34+'31'!O34</f>
        <v>0</v>
      </c>
      <c r="P34" s="12">
        <f>+'29'!P34+'30'!P34+'31'!P34</f>
        <v>0</v>
      </c>
      <c r="Q34" s="532"/>
      <c r="R34" s="270">
        <v>0</v>
      </c>
      <c r="S34" s="12">
        <v>0</v>
      </c>
      <c r="T34" s="12">
        <v>0</v>
      </c>
      <c r="U34" s="271"/>
      <c r="V34" s="533">
        <f t="shared" si="1"/>
        <v>0</v>
      </c>
      <c r="W34" s="533">
        <f t="shared" si="2"/>
        <v>0</v>
      </c>
      <c r="X34" s="257"/>
      <c r="Y34" s="261">
        <f t="shared" si="3"/>
        <v>0</v>
      </c>
      <c r="Z34" s="12">
        <f t="shared" si="4"/>
        <v>0</v>
      </c>
      <c r="AB34" s="13">
        <f t="shared" si="0"/>
        <v>0</v>
      </c>
      <c r="AF34" s="13">
        <f t="shared" si="5"/>
        <v>0</v>
      </c>
      <c r="AM34" s="12">
        <f t="shared" si="6"/>
        <v>0</v>
      </c>
      <c r="AN34" s="13">
        <f t="shared" si="7"/>
        <v>0</v>
      </c>
    </row>
    <row r="35" spans="1:40" x14ac:dyDescent="0.25">
      <c r="A35">
        <v>30</v>
      </c>
      <c r="B35" t="s">
        <v>59</v>
      </c>
      <c r="D35" t="s">
        <v>16</v>
      </c>
      <c r="F35" s="514">
        <f>+'29'!F35+'30'!F35+'31'!F35</f>
        <v>0</v>
      </c>
      <c r="G35" s="12">
        <f>+'29'!G35+'30'!G35+'31'!G35</f>
        <v>0</v>
      </c>
      <c r="H35" s="12">
        <f>+'29'!H35+'30'!H35+'31'!H35</f>
        <v>0</v>
      </c>
      <c r="I35" s="271"/>
      <c r="J35" s="514">
        <f>+'29'!J35+'30'!J35+'31'!J35</f>
        <v>0</v>
      </c>
      <c r="K35" s="12">
        <f>+'29'!K35+'30'!K35+'31'!K35</f>
        <v>0</v>
      </c>
      <c r="L35" s="12">
        <f>+'29'!L35+'30'!L35+'31'!L35</f>
        <v>0</v>
      </c>
      <c r="M35" s="271"/>
      <c r="N35" s="514">
        <f>+'29'!N35+'30'!N35+'31'!N35</f>
        <v>0</v>
      </c>
      <c r="O35" s="12">
        <f>+'29'!O35+'30'!O35+'31'!O35</f>
        <v>0</v>
      </c>
      <c r="P35" s="12">
        <f>+'29'!P35+'30'!P35+'31'!P35</f>
        <v>0</v>
      </c>
      <c r="Q35" s="532"/>
      <c r="R35" s="270">
        <v>0</v>
      </c>
      <c r="S35" s="12">
        <v>0</v>
      </c>
      <c r="T35" s="12">
        <v>0</v>
      </c>
      <c r="U35" s="271"/>
      <c r="V35" s="533">
        <f t="shared" si="1"/>
        <v>0</v>
      </c>
      <c r="W35" s="533">
        <f t="shared" si="2"/>
        <v>0</v>
      </c>
      <c r="X35" s="257"/>
      <c r="Y35" s="261">
        <f t="shared" si="3"/>
        <v>0</v>
      </c>
      <c r="Z35" s="12">
        <f t="shared" si="4"/>
        <v>0</v>
      </c>
      <c r="AB35" s="13">
        <f t="shared" si="0"/>
        <v>0</v>
      </c>
      <c r="AF35" s="13">
        <f t="shared" si="5"/>
        <v>0</v>
      </c>
      <c r="AM35" s="12">
        <f t="shared" si="6"/>
        <v>0</v>
      </c>
      <c r="AN35" s="13">
        <f t="shared" si="7"/>
        <v>0</v>
      </c>
    </row>
    <row r="36" spans="1:40" x14ac:dyDescent="0.25">
      <c r="A36">
        <v>31</v>
      </c>
      <c r="B36" t="s">
        <v>60</v>
      </c>
      <c r="D36" t="s">
        <v>26</v>
      </c>
      <c r="F36" s="514">
        <f>+'29'!F36+'30'!F36+'31'!F36</f>
        <v>0</v>
      </c>
      <c r="G36" s="12">
        <f>+'29'!G36+'30'!G36+'31'!G36</f>
        <v>0</v>
      </c>
      <c r="H36" s="12">
        <f>+'29'!H36+'30'!H36+'31'!H36</f>
        <v>0</v>
      </c>
      <c r="I36" s="271"/>
      <c r="J36" s="514">
        <f>+'29'!J36+'30'!J36+'31'!J36</f>
        <v>0</v>
      </c>
      <c r="K36" s="12">
        <f>+'29'!K36+'30'!K36+'31'!K36</f>
        <v>0</v>
      </c>
      <c r="L36" s="12">
        <f>+'29'!L36+'30'!L36+'31'!L36</f>
        <v>0</v>
      </c>
      <c r="M36" s="271"/>
      <c r="N36" s="514">
        <f>+'29'!N36+'30'!N36+'31'!N36</f>
        <v>0</v>
      </c>
      <c r="O36" s="12">
        <f>+'29'!O36+'30'!O36+'31'!O36</f>
        <v>0</v>
      </c>
      <c r="P36" s="12">
        <f>+'29'!P36+'30'!P36+'31'!P36</f>
        <v>0</v>
      </c>
      <c r="Q36" s="532"/>
      <c r="R36" s="270">
        <v>0</v>
      </c>
      <c r="S36" s="12">
        <v>0</v>
      </c>
      <c r="T36" s="12">
        <v>0</v>
      </c>
      <c r="U36" s="271"/>
      <c r="V36" s="533">
        <f t="shared" si="1"/>
        <v>0</v>
      </c>
      <c r="W36" s="533">
        <f t="shared" si="2"/>
        <v>0</v>
      </c>
      <c r="X36" s="257"/>
      <c r="Y36" s="261">
        <f t="shared" si="3"/>
        <v>0</v>
      </c>
      <c r="Z36" s="12">
        <f t="shared" si="4"/>
        <v>0</v>
      </c>
      <c r="AB36" s="13">
        <f t="shared" si="0"/>
        <v>0</v>
      </c>
      <c r="AF36" s="13">
        <f t="shared" si="5"/>
        <v>0</v>
      </c>
      <c r="AM36" s="12">
        <f t="shared" si="6"/>
        <v>0</v>
      </c>
      <c r="AN36" s="13">
        <f t="shared" si="7"/>
        <v>0</v>
      </c>
    </row>
    <row r="37" spans="1:40" x14ac:dyDescent="0.25">
      <c r="A37">
        <v>32</v>
      </c>
      <c r="B37" t="s">
        <v>61</v>
      </c>
      <c r="C37" t="s">
        <v>15</v>
      </c>
      <c r="D37" t="s">
        <v>43</v>
      </c>
      <c r="F37" s="514">
        <f>+'29'!F37+'30'!F37+'31'!F37</f>
        <v>0</v>
      </c>
      <c r="G37" s="12">
        <f>+'29'!G37+'30'!G37+'31'!G37</f>
        <v>0</v>
      </c>
      <c r="H37" s="12">
        <f>+'29'!H37+'30'!H37+'31'!H37</f>
        <v>0</v>
      </c>
      <c r="I37" s="271"/>
      <c r="J37" s="514">
        <f>+'29'!J37+'30'!J37+'31'!J37</f>
        <v>0</v>
      </c>
      <c r="K37" s="12">
        <f>+'29'!K37+'30'!K37+'31'!K37</f>
        <v>0</v>
      </c>
      <c r="L37" s="12">
        <f>+'29'!L37+'30'!L37+'31'!L37</f>
        <v>0</v>
      </c>
      <c r="M37" s="271"/>
      <c r="N37" s="514">
        <f>+'29'!N37+'30'!N37+'31'!N37</f>
        <v>0</v>
      </c>
      <c r="O37" s="12">
        <f>+'29'!O37+'30'!O37+'31'!O37</f>
        <v>0</v>
      </c>
      <c r="P37" s="12">
        <f>+'29'!P37+'30'!P37+'31'!P37</f>
        <v>0</v>
      </c>
      <c r="Q37" s="532"/>
      <c r="R37" s="270">
        <v>0</v>
      </c>
      <c r="S37" s="12">
        <v>0</v>
      </c>
      <c r="T37" s="12">
        <v>0</v>
      </c>
      <c r="U37" s="271"/>
      <c r="V37" s="533">
        <f t="shared" si="1"/>
        <v>0</v>
      </c>
      <c r="W37" s="533">
        <f t="shared" si="2"/>
        <v>0</v>
      </c>
      <c r="X37" s="257"/>
      <c r="Y37" s="261">
        <f t="shared" si="3"/>
        <v>0</v>
      </c>
      <c r="Z37" s="12">
        <f t="shared" si="4"/>
        <v>0</v>
      </c>
      <c r="AB37" s="13">
        <f t="shared" si="0"/>
        <v>0</v>
      </c>
      <c r="AD37" s="16"/>
      <c r="AF37" s="13">
        <f t="shared" si="5"/>
        <v>0</v>
      </c>
      <c r="AG37" s="16"/>
      <c r="AJ37" s="13"/>
      <c r="AM37" s="12">
        <f t="shared" si="6"/>
        <v>0</v>
      </c>
      <c r="AN37" s="13">
        <f t="shared" si="7"/>
        <v>0</v>
      </c>
    </row>
    <row r="38" spans="1:40" x14ac:dyDescent="0.25">
      <c r="A38">
        <v>33</v>
      </c>
      <c r="B38" t="s">
        <v>62</v>
      </c>
      <c r="C38" t="s">
        <v>41</v>
      </c>
      <c r="D38" t="s">
        <v>16</v>
      </c>
      <c r="F38" s="514">
        <f>+'29'!F38+'30'!F38+'31'!F38</f>
        <v>5</v>
      </c>
      <c r="G38" s="12">
        <f>+'29'!G38+'30'!G38+'31'!G38</f>
        <v>58165</v>
      </c>
      <c r="H38" s="12">
        <f>+'29'!H38+'30'!H38+'31'!H38</f>
        <v>150</v>
      </c>
      <c r="I38" s="271"/>
      <c r="J38" s="514">
        <f>+'29'!J38+'30'!J38+'31'!J38</f>
        <v>0</v>
      </c>
      <c r="K38" s="12">
        <f>+'29'!K38+'30'!K38+'31'!K38</f>
        <v>0</v>
      </c>
      <c r="L38" s="12">
        <f>+'29'!L38+'30'!L38+'31'!L38</f>
        <v>0</v>
      </c>
      <c r="M38" s="271"/>
      <c r="N38" s="514">
        <f>+'29'!N38+'30'!N38+'31'!N38</f>
        <v>5</v>
      </c>
      <c r="O38" s="12">
        <f>+'29'!O38+'30'!O38+'31'!O38</f>
        <v>58165</v>
      </c>
      <c r="P38" s="12">
        <f>+'29'!P38+'30'!P38+'31'!P38</f>
        <v>150</v>
      </c>
      <c r="Q38" s="532"/>
      <c r="R38" s="270">
        <v>5</v>
      </c>
      <c r="S38" s="12">
        <v>58165</v>
      </c>
      <c r="T38" s="12">
        <v>0</v>
      </c>
      <c r="U38" s="271"/>
      <c r="V38" s="533">
        <f t="shared" si="1"/>
        <v>0</v>
      </c>
      <c r="W38" s="533">
        <f t="shared" si="2"/>
        <v>0</v>
      </c>
      <c r="X38" s="257"/>
      <c r="Y38" s="261">
        <f t="shared" si="3"/>
        <v>0</v>
      </c>
      <c r="Z38" s="12">
        <f t="shared" si="4"/>
        <v>0</v>
      </c>
      <c r="AB38" s="13">
        <f t="shared" si="0"/>
        <v>58165</v>
      </c>
      <c r="AF38" s="13">
        <f t="shared" si="5"/>
        <v>58165</v>
      </c>
      <c r="AM38" s="12">
        <f t="shared" si="6"/>
        <v>0</v>
      </c>
      <c r="AN38" s="13">
        <f t="shared" si="7"/>
        <v>58165</v>
      </c>
    </row>
    <row r="39" spans="1:40" x14ac:dyDescent="0.25">
      <c r="A39">
        <v>34</v>
      </c>
      <c r="B39" t="s">
        <v>63</v>
      </c>
      <c r="C39" t="s">
        <v>41</v>
      </c>
      <c r="D39" t="s">
        <v>16</v>
      </c>
      <c r="F39" s="514">
        <f>+'29'!F39+'30'!F39+'31'!F39</f>
        <v>0</v>
      </c>
      <c r="G39" s="12">
        <f>+'29'!G39+'30'!G39+'31'!G39</f>
        <v>0</v>
      </c>
      <c r="H39" s="12">
        <f>+'29'!H39+'30'!H39+'31'!H39</f>
        <v>0</v>
      </c>
      <c r="I39" s="271"/>
      <c r="J39" s="514">
        <f>+'29'!J39+'30'!J39+'31'!J39</f>
        <v>0</v>
      </c>
      <c r="K39" s="12">
        <f>+'29'!K39+'30'!K39+'31'!K39</f>
        <v>0</v>
      </c>
      <c r="L39" s="12">
        <f>+'29'!L39+'30'!L39+'31'!L39</f>
        <v>0</v>
      </c>
      <c r="M39" s="271"/>
      <c r="N39" s="514">
        <f>+'29'!N39+'30'!N39+'31'!N39</f>
        <v>0</v>
      </c>
      <c r="O39" s="12">
        <f>+'29'!O39+'30'!O39+'31'!O39</f>
        <v>0</v>
      </c>
      <c r="P39" s="12">
        <f>+'29'!P39+'30'!P39+'31'!P39</f>
        <v>0</v>
      </c>
      <c r="Q39" s="532"/>
      <c r="R39" s="270">
        <v>0</v>
      </c>
      <c r="S39" s="12">
        <v>0</v>
      </c>
      <c r="T39" s="12">
        <v>0</v>
      </c>
      <c r="U39" s="271"/>
      <c r="V39" s="533">
        <f t="shared" si="1"/>
        <v>0</v>
      </c>
      <c r="W39" s="533">
        <f t="shared" si="2"/>
        <v>0</v>
      </c>
      <c r="X39" s="257"/>
      <c r="Y39" s="261">
        <f t="shared" si="3"/>
        <v>0</v>
      </c>
      <c r="Z39" s="12">
        <f t="shared" si="4"/>
        <v>0</v>
      </c>
      <c r="AB39" s="13">
        <f t="shared" si="0"/>
        <v>0</v>
      </c>
      <c r="AF39" s="13">
        <f t="shared" si="5"/>
        <v>0</v>
      </c>
      <c r="AM39" s="12">
        <f t="shared" si="6"/>
        <v>0</v>
      </c>
      <c r="AN39" s="13">
        <f t="shared" si="7"/>
        <v>0</v>
      </c>
    </row>
    <row r="40" spans="1:40" x14ac:dyDescent="0.25">
      <c r="A40">
        <v>35</v>
      </c>
      <c r="B40" t="s">
        <v>64</v>
      </c>
      <c r="C40" t="s">
        <v>41</v>
      </c>
      <c r="D40" t="s">
        <v>16</v>
      </c>
      <c r="F40" s="514">
        <f>+'29'!F40+'30'!F40+'31'!F40</f>
        <v>0</v>
      </c>
      <c r="G40" s="12">
        <f>+'29'!G40+'30'!G40+'31'!G40</f>
        <v>0</v>
      </c>
      <c r="H40" s="12">
        <f>+'29'!H40+'30'!H40+'31'!H40</f>
        <v>0</v>
      </c>
      <c r="I40" s="271"/>
      <c r="J40" s="514">
        <f>+'29'!J40+'30'!J40+'31'!J40</f>
        <v>0</v>
      </c>
      <c r="K40" s="12">
        <f>+'29'!K40+'30'!K40+'31'!K40</f>
        <v>0</v>
      </c>
      <c r="L40" s="12">
        <f>+'29'!L40+'30'!L40+'31'!L40</f>
        <v>0</v>
      </c>
      <c r="M40" s="271"/>
      <c r="N40" s="514">
        <f>+'29'!N40+'30'!N40+'31'!N40</f>
        <v>0</v>
      </c>
      <c r="O40" s="12">
        <f>+'29'!O40+'30'!O40+'31'!O40</f>
        <v>0</v>
      </c>
      <c r="P40" s="12">
        <f>+'29'!P40+'30'!P40+'31'!P40</f>
        <v>0</v>
      </c>
      <c r="Q40" s="532"/>
      <c r="R40" s="270">
        <v>0</v>
      </c>
      <c r="S40" s="12">
        <v>0</v>
      </c>
      <c r="T40" s="12">
        <v>0</v>
      </c>
      <c r="U40" s="271"/>
      <c r="V40" s="533">
        <f t="shared" si="1"/>
        <v>0</v>
      </c>
      <c r="W40" s="533">
        <f t="shared" si="2"/>
        <v>0</v>
      </c>
      <c r="X40" s="257"/>
      <c r="Y40" s="261">
        <f t="shared" si="3"/>
        <v>0</v>
      </c>
      <c r="Z40" s="12">
        <f t="shared" si="4"/>
        <v>0</v>
      </c>
      <c r="AB40" s="13">
        <f t="shared" si="0"/>
        <v>0</v>
      </c>
      <c r="AF40" s="13">
        <f t="shared" si="5"/>
        <v>0</v>
      </c>
      <c r="AM40" s="12">
        <f t="shared" si="6"/>
        <v>0</v>
      </c>
      <c r="AN40" s="13">
        <f t="shared" si="7"/>
        <v>0</v>
      </c>
    </row>
    <row r="41" spans="1:40" x14ac:dyDescent="0.25">
      <c r="A41">
        <v>36</v>
      </c>
      <c r="B41" t="s">
        <v>65</v>
      </c>
      <c r="C41" t="s">
        <v>41</v>
      </c>
      <c r="D41" t="s">
        <v>16</v>
      </c>
      <c r="F41" s="514">
        <f>+'29'!F41+'30'!F41+'31'!F41</f>
        <v>2</v>
      </c>
      <c r="G41" s="12">
        <f>+'29'!G41+'30'!G41+'31'!G41</f>
        <v>25720</v>
      </c>
      <c r="H41" s="12">
        <f>+'29'!H41+'30'!H41+'31'!H41</f>
        <v>60</v>
      </c>
      <c r="I41" s="271"/>
      <c r="J41" s="514">
        <f>+'29'!J41+'30'!J41+'31'!J41</f>
        <v>0</v>
      </c>
      <c r="K41" s="12">
        <f>+'29'!K41+'30'!K41+'31'!K41</f>
        <v>0</v>
      </c>
      <c r="L41" s="12">
        <f>+'29'!L41+'30'!L41+'31'!L41</f>
        <v>0</v>
      </c>
      <c r="M41" s="271"/>
      <c r="N41" s="514">
        <f>+'29'!N41+'30'!N41+'31'!N41</f>
        <v>2</v>
      </c>
      <c r="O41" s="12">
        <f>+'29'!O41+'30'!O41+'31'!O41</f>
        <v>25720</v>
      </c>
      <c r="P41" s="12">
        <f>+'29'!P41+'30'!P41+'31'!P41</f>
        <v>60</v>
      </c>
      <c r="Q41" s="532"/>
      <c r="R41" s="270">
        <v>2</v>
      </c>
      <c r="S41" s="12">
        <v>25720</v>
      </c>
      <c r="T41" s="12">
        <v>0</v>
      </c>
      <c r="U41" s="271"/>
      <c r="V41" s="533">
        <f t="shared" si="1"/>
        <v>0</v>
      </c>
      <c r="W41" s="533">
        <f t="shared" si="2"/>
        <v>0</v>
      </c>
      <c r="X41" s="257"/>
      <c r="Y41" s="261">
        <f t="shared" si="3"/>
        <v>0</v>
      </c>
      <c r="Z41" s="12">
        <f t="shared" si="4"/>
        <v>0</v>
      </c>
      <c r="AB41" s="13">
        <f t="shared" si="0"/>
        <v>25720</v>
      </c>
      <c r="AF41" s="13">
        <f t="shared" si="5"/>
        <v>25720</v>
      </c>
      <c r="AM41" s="12">
        <f t="shared" si="6"/>
        <v>0</v>
      </c>
      <c r="AN41" s="13">
        <f t="shared" si="7"/>
        <v>25720</v>
      </c>
    </row>
    <row r="42" spans="1:40" x14ac:dyDescent="0.25">
      <c r="A42">
        <v>37</v>
      </c>
      <c r="B42" t="s">
        <v>66</v>
      </c>
      <c r="C42" t="s">
        <v>41</v>
      </c>
      <c r="D42" t="s">
        <v>16</v>
      </c>
      <c r="F42" s="514">
        <f>+'29'!F42+'30'!F42+'31'!F42</f>
        <v>0</v>
      </c>
      <c r="G42" s="12">
        <f>+'29'!G42+'30'!G42+'31'!G42</f>
        <v>0</v>
      </c>
      <c r="H42" s="12">
        <f>+'29'!H42+'30'!H42+'31'!H42</f>
        <v>0</v>
      </c>
      <c r="I42" s="271"/>
      <c r="J42" s="514">
        <f>+'29'!J42+'30'!J42+'31'!J42</f>
        <v>0</v>
      </c>
      <c r="K42" s="12">
        <f>+'29'!K42+'30'!K42+'31'!K42</f>
        <v>0</v>
      </c>
      <c r="L42" s="12">
        <f>+'29'!L42+'30'!L42+'31'!L42</f>
        <v>0</v>
      </c>
      <c r="M42" s="271"/>
      <c r="N42" s="514">
        <f>+'29'!N42+'30'!N42+'31'!N42</f>
        <v>0</v>
      </c>
      <c r="O42" s="12">
        <f>+'29'!O42+'30'!O42+'31'!O42</f>
        <v>0</v>
      </c>
      <c r="P42" s="12">
        <f>+'29'!P42+'30'!P42+'31'!P42</f>
        <v>0</v>
      </c>
      <c r="Q42" s="532"/>
      <c r="R42" s="270">
        <v>0</v>
      </c>
      <c r="S42" s="12">
        <v>0</v>
      </c>
      <c r="T42" s="12">
        <v>0</v>
      </c>
      <c r="U42" s="271"/>
      <c r="V42" s="533">
        <f t="shared" si="1"/>
        <v>0</v>
      </c>
      <c r="W42" s="533">
        <f t="shared" si="2"/>
        <v>0</v>
      </c>
      <c r="X42" s="257"/>
      <c r="Y42" s="261">
        <f t="shared" si="3"/>
        <v>0</v>
      </c>
      <c r="Z42" s="12">
        <f t="shared" si="4"/>
        <v>0</v>
      </c>
      <c r="AB42" s="13">
        <f t="shared" si="0"/>
        <v>0</v>
      </c>
      <c r="AF42" s="13">
        <f t="shared" si="5"/>
        <v>0</v>
      </c>
      <c r="AM42" s="12">
        <f t="shared" si="6"/>
        <v>0</v>
      </c>
      <c r="AN42" s="13">
        <f t="shared" si="7"/>
        <v>0</v>
      </c>
    </row>
    <row r="43" spans="1:40" x14ac:dyDescent="0.25">
      <c r="A43">
        <v>38</v>
      </c>
      <c r="B43" t="s">
        <v>67</v>
      </c>
      <c r="C43" t="s">
        <v>41</v>
      </c>
      <c r="D43" t="s">
        <v>16</v>
      </c>
      <c r="F43" s="514">
        <f>+'29'!F43+'30'!F43+'31'!F43</f>
        <v>0</v>
      </c>
      <c r="G43" s="12">
        <f>+'29'!G43+'30'!G43+'31'!G43</f>
        <v>0</v>
      </c>
      <c r="H43" s="12">
        <f>+'29'!H43+'30'!H43+'31'!H43</f>
        <v>0</v>
      </c>
      <c r="I43" s="271"/>
      <c r="J43" s="514">
        <f>+'29'!J43+'30'!J43+'31'!J43</f>
        <v>0</v>
      </c>
      <c r="K43" s="12">
        <f>+'29'!K43+'30'!K43+'31'!K43</f>
        <v>0</v>
      </c>
      <c r="L43" s="12">
        <f>+'29'!L43+'30'!L43+'31'!L43</f>
        <v>0</v>
      </c>
      <c r="M43" s="271"/>
      <c r="N43" s="514">
        <f>+'29'!N43+'30'!N43+'31'!N43</f>
        <v>0</v>
      </c>
      <c r="O43" s="12">
        <f>+'29'!O43+'30'!O43+'31'!O43</f>
        <v>0</v>
      </c>
      <c r="P43" s="12">
        <f>+'29'!P43+'30'!P43+'31'!P43</f>
        <v>0</v>
      </c>
      <c r="Q43" s="532"/>
      <c r="R43" s="270">
        <v>0</v>
      </c>
      <c r="S43" s="12">
        <v>0</v>
      </c>
      <c r="T43" s="12">
        <v>0</v>
      </c>
      <c r="U43" s="271"/>
      <c r="V43" s="533">
        <f t="shared" si="1"/>
        <v>0</v>
      </c>
      <c r="W43" s="533">
        <f t="shared" si="2"/>
        <v>0</v>
      </c>
      <c r="X43" s="257"/>
      <c r="Y43" s="261">
        <f t="shared" si="3"/>
        <v>0</v>
      </c>
      <c r="Z43" s="12">
        <f t="shared" si="4"/>
        <v>0</v>
      </c>
      <c r="AB43" s="13">
        <f t="shared" si="0"/>
        <v>0</v>
      </c>
      <c r="AF43" s="13">
        <f t="shared" si="5"/>
        <v>0</v>
      </c>
      <c r="AM43" s="12">
        <f t="shared" si="6"/>
        <v>0</v>
      </c>
      <c r="AN43" s="13">
        <f t="shared" si="7"/>
        <v>0</v>
      </c>
    </row>
    <row r="44" spans="1:40" x14ac:dyDescent="0.25">
      <c r="A44">
        <v>39</v>
      </c>
      <c r="B44" t="s">
        <v>68</v>
      </c>
      <c r="C44" t="s">
        <v>15</v>
      </c>
      <c r="D44" t="s">
        <v>16</v>
      </c>
      <c r="F44" s="514">
        <f>+'29'!F44+'30'!F44+'31'!F44</f>
        <v>0</v>
      </c>
      <c r="G44" s="12">
        <f>+'29'!G44+'30'!G44+'31'!G44</f>
        <v>0</v>
      </c>
      <c r="H44" s="12">
        <f>+'29'!H44+'30'!H44+'31'!H44</f>
        <v>0</v>
      </c>
      <c r="I44" s="271"/>
      <c r="J44" s="514">
        <f>+'29'!J44+'30'!J44+'31'!J44</f>
        <v>0</v>
      </c>
      <c r="K44" s="12">
        <f>+'29'!K44+'30'!K44+'31'!K44</f>
        <v>0</v>
      </c>
      <c r="L44" s="12">
        <f>+'29'!L44+'30'!L44+'31'!L44</f>
        <v>0</v>
      </c>
      <c r="M44" s="271"/>
      <c r="N44" s="514">
        <f>+'29'!N44+'30'!N44+'31'!N44</f>
        <v>0</v>
      </c>
      <c r="O44" s="12">
        <f>+'29'!O44+'30'!O44+'31'!O44</f>
        <v>0</v>
      </c>
      <c r="P44" s="12">
        <f>+'29'!P44+'30'!P44+'31'!P44</f>
        <v>0</v>
      </c>
      <c r="Q44" s="532"/>
      <c r="R44" s="270">
        <v>0</v>
      </c>
      <c r="S44" s="12">
        <v>0</v>
      </c>
      <c r="T44" s="12">
        <v>0</v>
      </c>
      <c r="U44" s="271"/>
      <c r="V44" s="533">
        <f t="shared" si="1"/>
        <v>0</v>
      </c>
      <c r="W44" s="533">
        <f t="shared" si="2"/>
        <v>0</v>
      </c>
      <c r="X44" s="257"/>
      <c r="Y44" s="261">
        <f t="shared" si="3"/>
        <v>0</v>
      </c>
      <c r="Z44" s="12">
        <f t="shared" si="4"/>
        <v>0</v>
      </c>
      <c r="AB44" s="13">
        <f t="shared" si="0"/>
        <v>0</v>
      </c>
      <c r="AF44" s="13">
        <f t="shared" si="5"/>
        <v>0</v>
      </c>
      <c r="AM44" s="12">
        <f t="shared" si="6"/>
        <v>0</v>
      </c>
      <c r="AN44" s="13">
        <f t="shared" si="7"/>
        <v>0</v>
      </c>
    </row>
    <row r="45" spans="1:40" x14ac:dyDescent="0.25">
      <c r="A45">
        <v>40</v>
      </c>
      <c r="B45" t="s">
        <v>69</v>
      </c>
      <c r="C45" t="s">
        <v>25</v>
      </c>
      <c r="D45" t="s">
        <v>16</v>
      </c>
      <c r="F45" s="514">
        <f>+'29'!F45+'30'!F45+'31'!F45</f>
        <v>0</v>
      </c>
      <c r="G45" s="12">
        <f>+'29'!G45+'30'!G45+'31'!G45</f>
        <v>0</v>
      </c>
      <c r="H45" s="12">
        <f>+'29'!H45+'30'!H45+'31'!H45</f>
        <v>0</v>
      </c>
      <c r="I45" s="271"/>
      <c r="J45" s="514">
        <f>+'29'!J45+'30'!J45+'31'!J45</f>
        <v>0</v>
      </c>
      <c r="K45" s="12">
        <f>+'29'!K45+'30'!K45+'31'!K45</f>
        <v>0</v>
      </c>
      <c r="L45" s="12">
        <f>+'29'!L45+'30'!L45+'31'!L45</f>
        <v>0</v>
      </c>
      <c r="M45" s="271"/>
      <c r="N45" s="514">
        <f>+'29'!N45+'30'!N45+'31'!N45</f>
        <v>0</v>
      </c>
      <c r="O45" s="12">
        <f>+'29'!O45+'30'!O45+'31'!O45</f>
        <v>0</v>
      </c>
      <c r="P45" s="12">
        <f>+'29'!P45+'30'!P45+'31'!P45</f>
        <v>0</v>
      </c>
      <c r="Q45" s="532"/>
      <c r="R45" s="270">
        <v>0</v>
      </c>
      <c r="S45" s="12">
        <v>0</v>
      </c>
      <c r="T45" s="12">
        <v>0</v>
      </c>
      <c r="U45" s="271"/>
      <c r="V45" s="533">
        <f t="shared" si="1"/>
        <v>0</v>
      </c>
      <c r="W45" s="533">
        <f t="shared" si="2"/>
        <v>0</v>
      </c>
      <c r="X45" s="257"/>
      <c r="Y45" s="261">
        <f t="shared" si="3"/>
        <v>0</v>
      </c>
      <c r="Z45" s="12">
        <f t="shared" si="4"/>
        <v>0</v>
      </c>
      <c r="AB45" s="13">
        <f t="shared" si="0"/>
        <v>0</v>
      </c>
      <c r="AF45" s="13">
        <f t="shared" si="5"/>
        <v>0</v>
      </c>
      <c r="AM45" s="12">
        <f t="shared" si="6"/>
        <v>0</v>
      </c>
      <c r="AN45" s="13">
        <f t="shared" si="7"/>
        <v>0</v>
      </c>
    </row>
    <row r="46" spans="1:40" x14ac:dyDescent="0.25">
      <c r="A46">
        <v>41</v>
      </c>
      <c r="B46" t="s">
        <v>70</v>
      </c>
      <c r="C46" t="s">
        <v>51</v>
      </c>
      <c r="D46" t="s">
        <v>16</v>
      </c>
      <c r="F46" s="514">
        <f>+'29'!F46+'30'!F46+'31'!F46</f>
        <v>0</v>
      </c>
      <c r="G46" s="12">
        <f>+'29'!G46+'30'!G46+'31'!G46</f>
        <v>0</v>
      </c>
      <c r="H46" s="12">
        <f>+'29'!H46+'30'!H46+'31'!H46</f>
        <v>0</v>
      </c>
      <c r="I46" s="271"/>
      <c r="J46" s="514">
        <f>+'29'!J46+'30'!J46+'31'!J46</f>
        <v>0</v>
      </c>
      <c r="K46" s="12">
        <f>+'29'!K46+'30'!K46+'31'!K46</f>
        <v>0</v>
      </c>
      <c r="L46" s="12">
        <f>+'29'!L46+'30'!L46+'31'!L46</f>
        <v>0</v>
      </c>
      <c r="M46" s="271"/>
      <c r="N46" s="514">
        <f>+'29'!N46+'30'!N46+'31'!N46</f>
        <v>0</v>
      </c>
      <c r="O46" s="12">
        <f>+'29'!O46+'30'!O46+'31'!O46</f>
        <v>0</v>
      </c>
      <c r="P46" s="12">
        <f>+'29'!P46+'30'!P46+'31'!P46</f>
        <v>0</v>
      </c>
      <c r="Q46" s="532"/>
      <c r="R46" s="270">
        <v>0</v>
      </c>
      <c r="S46" s="12">
        <v>0</v>
      </c>
      <c r="T46" s="12">
        <v>0</v>
      </c>
      <c r="U46" s="271"/>
      <c r="V46" s="533">
        <f t="shared" si="1"/>
        <v>0</v>
      </c>
      <c r="W46" s="533">
        <f t="shared" si="2"/>
        <v>0</v>
      </c>
      <c r="X46" s="257"/>
      <c r="Y46" s="261">
        <f t="shared" si="3"/>
        <v>0</v>
      </c>
      <c r="Z46" s="12">
        <f t="shared" si="4"/>
        <v>0</v>
      </c>
      <c r="AB46" s="13">
        <f t="shared" si="0"/>
        <v>0</v>
      </c>
      <c r="AF46" s="13">
        <f t="shared" si="5"/>
        <v>0</v>
      </c>
      <c r="AM46" s="12">
        <f t="shared" si="6"/>
        <v>0</v>
      </c>
      <c r="AN46" s="13">
        <f t="shared" si="7"/>
        <v>0</v>
      </c>
    </row>
    <row r="47" spans="1:40" x14ac:dyDescent="0.25">
      <c r="A47">
        <v>42</v>
      </c>
      <c r="B47" t="s">
        <v>71</v>
      </c>
      <c r="C47" t="s">
        <v>41</v>
      </c>
      <c r="D47" t="s">
        <v>16</v>
      </c>
      <c r="F47" s="514">
        <f>+'29'!F47+'30'!F47+'31'!F47</f>
        <v>63</v>
      </c>
      <c r="G47" s="12">
        <f>+'29'!G47+'30'!G47+'31'!G47</f>
        <v>737612</v>
      </c>
      <c r="H47" s="12">
        <f>+'29'!H47+'30'!H47+'31'!H47</f>
        <v>1890</v>
      </c>
      <c r="I47" s="271"/>
      <c r="J47" s="514">
        <f>+'29'!J47+'30'!J47+'31'!J47</f>
        <v>0</v>
      </c>
      <c r="K47" s="12">
        <f>+'29'!K47+'30'!K47+'31'!K47</f>
        <v>0</v>
      </c>
      <c r="L47" s="12">
        <f>+'29'!L47+'30'!L47+'31'!L47</f>
        <v>0</v>
      </c>
      <c r="M47" s="271"/>
      <c r="N47" s="514">
        <f>+'29'!N47+'30'!N47+'31'!N47</f>
        <v>63</v>
      </c>
      <c r="O47" s="12">
        <f>+'29'!O47+'30'!O47+'31'!O47</f>
        <v>737612</v>
      </c>
      <c r="P47" s="12">
        <f>+'29'!P47+'30'!P47+'31'!P47</f>
        <v>1890</v>
      </c>
      <c r="Q47" s="532"/>
      <c r="R47" s="270">
        <v>63</v>
      </c>
      <c r="S47" s="12">
        <v>737612</v>
      </c>
      <c r="T47" s="12">
        <v>0</v>
      </c>
      <c r="U47" s="271"/>
      <c r="V47" s="533">
        <f t="shared" si="1"/>
        <v>0</v>
      </c>
      <c r="W47" s="533">
        <f t="shared" si="2"/>
        <v>0</v>
      </c>
      <c r="X47" s="257"/>
      <c r="Y47" s="261">
        <f t="shared" si="3"/>
        <v>0</v>
      </c>
      <c r="Z47" s="12">
        <f t="shared" si="4"/>
        <v>0</v>
      </c>
      <c r="AB47" s="13">
        <f t="shared" si="0"/>
        <v>737612</v>
      </c>
      <c r="AF47" s="13">
        <f t="shared" si="5"/>
        <v>737612</v>
      </c>
      <c r="AM47" s="12">
        <f t="shared" si="6"/>
        <v>0</v>
      </c>
      <c r="AN47" s="13">
        <f t="shared" si="7"/>
        <v>737612</v>
      </c>
    </row>
    <row r="48" spans="1:40" x14ac:dyDescent="0.25">
      <c r="A48">
        <v>43</v>
      </c>
      <c r="B48" t="s">
        <v>72</v>
      </c>
      <c r="C48" t="s">
        <v>41</v>
      </c>
      <c r="D48" t="s">
        <v>16</v>
      </c>
      <c r="F48" s="514">
        <f>+'29'!F48+'30'!F48+'31'!F48</f>
        <v>43</v>
      </c>
      <c r="G48" s="12">
        <f>+'29'!G48+'30'!G48+'31'!G48</f>
        <v>531204</v>
      </c>
      <c r="H48" s="12">
        <f>+'29'!H48+'30'!H48+'31'!H48</f>
        <v>1290</v>
      </c>
      <c r="I48" s="271"/>
      <c r="J48" s="514">
        <f>+'29'!J48+'30'!J48+'31'!J48</f>
        <v>0</v>
      </c>
      <c r="K48" s="12">
        <f>+'29'!K48+'30'!K48+'31'!K48</f>
        <v>0</v>
      </c>
      <c r="L48" s="12">
        <f>+'29'!L48+'30'!L48+'31'!L48</f>
        <v>0</v>
      </c>
      <c r="M48" s="271"/>
      <c r="N48" s="514">
        <f>+'29'!N48+'30'!N48+'31'!N48</f>
        <v>43</v>
      </c>
      <c r="O48" s="12">
        <f>+'29'!O48+'30'!O48+'31'!O48</f>
        <v>531204</v>
      </c>
      <c r="P48" s="12">
        <f>+'29'!P48+'30'!P48+'31'!P48</f>
        <v>1290</v>
      </c>
      <c r="Q48" s="532"/>
      <c r="R48" s="270">
        <v>43</v>
      </c>
      <c r="S48" s="12">
        <v>531204</v>
      </c>
      <c r="T48" s="12">
        <v>0</v>
      </c>
      <c r="U48" s="271"/>
      <c r="V48" s="533">
        <f t="shared" si="1"/>
        <v>0</v>
      </c>
      <c r="W48" s="533">
        <f t="shared" si="2"/>
        <v>0</v>
      </c>
      <c r="X48" s="257"/>
      <c r="Y48" s="261">
        <f t="shared" si="3"/>
        <v>0</v>
      </c>
      <c r="Z48" s="12">
        <f t="shared" si="4"/>
        <v>0</v>
      </c>
      <c r="AB48" s="13">
        <f t="shared" si="0"/>
        <v>531204</v>
      </c>
      <c r="AF48" s="13">
        <f t="shared" si="5"/>
        <v>531204</v>
      </c>
      <c r="AM48" s="12">
        <f t="shared" si="6"/>
        <v>0</v>
      </c>
      <c r="AN48" s="13">
        <f t="shared" si="7"/>
        <v>531204</v>
      </c>
    </row>
    <row r="49" spans="1:40" x14ac:dyDescent="0.25">
      <c r="A49">
        <v>44</v>
      </c>
      <c r="B49" t="s">
        <v>73</v>
      </c>
      <c r="C49" t="s">
        <v>18</v>
      </c>
      <c r="D49" t="s">
        <v>16</v>
      </c>
      <c r="F49" s="514">
        <f>+'29'!F49+'30'!F49+'31'!F49</f>
        <v>0</v>
      </c>
      <c r="G49" s="12">
        <f>+'29'!G49+'30'!G49+'31'!G49</f>
        <v>0</v>
      </c>
      <c r="H49" s="12">
        <f>+'29'!H49+'30'!H49+'31'!H49</f>
        <v>0</v>
      </c>
      <c r="I49" s="271"/>
      <c r="J49" s="514">
        <f>+'29'!J49+'30'!J49+'31'!J49</f>
        <v>0</v>
      </c>
      <c r="K49" s="12">
        <f>+'29'!K49+'30'!K49+'31'!K49</f>
        <v>0</v>
      </c>
      <c r="L49" s="12">
        <f>+'29'!L49+'30'!L49+'31'!L49</f>
        <v>0</v>
      </c>
      <c r="M49" s="271"/>
      <c r="N49" s="514">
        <f>+'29'!N49+'30'!N49+'31'!N49</f>
        <v>0</v>
      </c>
      <c r="O49" s="12">
        <f>+'29'!O49+'30'!O49+'31'!O49</f>
        <v>0</v>
      </c>
      <c r="P49" s="12">
        <f>+'29'!P49+'30'!P49+'31'!P49</f>
        <v>0</v>
      </c>
      <c r="Q49" s="532"/>
      <c r="R49" s="270">
        <v>0</v>
      </c>
      <c r="S49" s="12">
        <v>0</v>
      </c>
      <c r="T49" s="12">
        <v>0</v>
      </c>
      <c r="U49" s="271"/>
      <c r="V49" s="533">
        <f t="shared" si="1"/>
        <v>0</v>
      </c>
      <c r="W49" s="533">
        <f t="shared" si="2"/>
        <v>0</v>
      </c>
      <c r="X49" s="257"/>
      <c r="Y49" s="261">
        <f t="shared" si="3"/>
        <v>0</v>
      </c>
      <c r="Z49" s="12">
        <f t="shared" si="4"/>
        <v>0</v>
      </c>
      <c r="AB49" s="13">
        <f t="shared" si="0"/>
        <v>0</v>
      </c>
      <c r="AF49" s="13">
        <f t="shared" si="5"/>
        <v>0</v>
      </c>
      <c r="AM49" s="12">
        <f t="shared" si="6"/>
        <v>0</v>
      </c>
      <c r="AN49" s="13">
        <f t="shared" si="7"/>
        <v>0</v>
      </c>
    </row>
    <row r="50" spans="1:40" x14ac:dyDescent="0.25">
      <c r="A50">
        <v>45</v>
      </c>
      <c r="B50" t="s">
        <v>74</v>
      </c>
      <c r="C50" t="s">
        <v>51</v>
      </c>
      <c r="D50" t="s">
        <v>16</v>
      </c>
      <c r="F50" s="514">
        <f>+'29'!F50+'30'!F50+'31'!F50</f>
        <v>0</v>
      </c>
      <c r="G50" s="12">
        <f>+'29'!G50+'30'!G50+'31'!G50</f>
        <v>0</v>
      </c>
      <c r="H50" s="12">
        <f>+'29'!H50+'30'!H50+'31'!H50</f>
        <v>0</v>
      </c>
      <c r="I50" s="271"/>
      <c r="J50" s="514">
        <f>+'29'!J50+'30'!J50+'31'!J50</f>
        <v>0</v>
      </c>
      <c r="K50" s="12">
        <f>+'29'!K50+'30'!K50+'31'!K50</f>
        <v>0</v>
      </c>
      <c r="L50" s="12">
        <f>+'29'!L50+'30'!L50+'31'!L50</f>
        <v>0</v>
      </c>
      <c r="M50" s="271"/>
      <c r="N50" s="514">
        <f>+'29'!N50+'30'!N50+'31'!N50</f>
        <v>0</v>
      </c>
      <c r="O50" s="12">
        <f>+'29'!O50+'30'!O50+'31'!O50</f>
        <v>0</v>
      </c>
      <c r="P50" s="12">
        <f>+'29'!P50+'30'!P50+'31'!P50</f>
        <v>0</v>
      </c>
      <c r="Q50" s="532"/>
      <c r="R50" s="270">
        <v>0</v>
      </c>
      <c r="S50" s="12">
        <v>0</v>
      </c>
      <c r="T50" s="12">
        <v>0</v>
      </c>
      <c r="U50" s="271"/>
      <c r="V50" s="533">
        <f t="shared" si="1"/>
        <v>0</v>
      </c>
      <c r="W50" s="533">
        <f t="shared" si="2"/>
        <v>0</v>
      </c>
      <c r="X50" s="257"/>
      <c r="Y50" s="261">
        <f t="shared" si="3"/>
        <v>0</v>
      </c>
      <c r="Z50" s="12">
        <f t="shared" si="4"/>
        <v>0</v>
      </c>
      <c r="AB50" s="13">
        <f t="shared" si="0"/>
        <v>0</v>
      </c>
      <c r="AF50" s="13">
        <f t="shared" si="5"/>
        <v>0</v>
      </c>
      <c r="AM50" s="12">
        <f t="shared" si="6"/>
        <v>0</v>
      </c>
      <c r="AN50" s="13">
        <f t="shared" si="7"/>
        <v>0</v>
      </c>
    </row>
    <row r="51" spans="1:40" x14ac:dyDescent="0.25">
      <c r="A51">
        <v>46</v>
      </c>
      <c r="B51" t="s">
        <v>75</v>
      </c>
      <c r="C51" t="s">
        <v>41</v>
      </c>
      <c r="D51" t="s">
        <v>16</v>
      </c>
      <c r="F51" s="514">
        <f>+'29'!F51+'30'!F51+'31'!F51</f>
        <v>0</v>
      </c>
      <c r="G51" s="12">
        <f>+'29'!G51+'30'!G51+'31'!G51</f>
        <v>0</v>
      </c>
      <c r="H51" s="12">
        <f>+'29'!H51+'30'!H51+'31'!H51</f>
        <v>0</v>
      </c>
      <c r="I51" s="271"/>
      <c r="J51" s="514">
        <f>+'29'!J51+'30'!J51+'31'!J51</f>
        <v>0</v>
      </c>
      <c r="K51" s="12">
        <f>+'29'!K51+'30'!K51+'31'!K51</f>
        <v>0</v>
      </c>
      <c r="L51" s="12">
        <f>+'29'!L51+'30'!L51+'31'!L51</f>
        <v>0</v>
      </c>
      <c r="M51" s="271"/>
      <c r="N51" s="514">
        <f>+'29'!N51+'30'!N51+'31'!N51</f>
        <v>0</v>
      </c>
      <c r="O51" s="12">
        <f>+'29'!O51+'30'!O51+'31'!O51</f>
        <v>0</v>
      </c>
      <c r="P51" s="12">
        <f>+'29'!P51+'30'!P51+'31'!P51</f>
        <v>0</v>
      </c>
      <c r="Q51" s="532"/>
      <c r="R51" s="270">
        <v>0</v>
      </c>
      <c r="S51" s="12">
        <v>0</v>
      </c>
      <c r="T51" s="12">
        <v>0</v>
      </c>
      <c r="U51" s="271"/>
      <c r="V51" s="533">
        <f t="shared" si="1"/>
        <v>0</v>
      </c>
      <c r="W51" s="533">
        <f t="shared" si="2"/>
        <v>0</v>
      </c>
      <c r="X51" s="257"/>
      <c r="Y51" s="261">
        <f t="shared" si="3"/>
        <v>0</v>
      </c>
      <c r="Z51" s="12">
        <f t="shared" si="4"/>
        <v>0</v>
      </c>
      <c r="AB51" s="13">
        <f t="shared" si="0"/>
        <v>0</v>
      </c>
      <c r="AF51" s="13">
        <f t="shared" si="5"/>
        <v>0</v>
      </c>
      <c r="AM51" s="12">
        <f t="shared" si="6"/>
        <v>0</v>
      </c>
      <c r="AN51" s="13">
        <f t="shared" si="7"/>
        <v>0</v>
      </c>
    </row>
    <row r="52" spans="1:40" x14ac:dyDescent="0.25">
      <c r="A52">
        <v>47</v>
      </c>
      <c r="B52" t="s">
        <v>76</v>
      </c>
      <c r="C52" t="s">
        <v>41</v>
      </c>
      <c r="D52" t="s">
        <v>16</v>
      </c>
      <c r="F52" s="514">
        <f>+'29'!F52+'30'!F52+'31'!F52</f>
        <v>0</v>
      </c>
      <c r="G52" s="12">
        <f>+'29'!G52+'30'!G52+'31'!G52</f>
        <v>0</v>
      </c>
      <c r="H52" s="12">
        <f>+'29'!H52+'30'!H52+'31'!H52</f>
        <v>0</v>
      </c>
      <c r="I52" s="271"/>
      <c r="J52" s="514">
        <f>+'29'!J52+'30'!J52+'31'!J52</f>
        <v>0</v>
      </c>
      <c r="K52" s="12">
        <f>+'29'!K52+'30'!K52+'31'!K52</f>
        <v>0</v>
      </c>
      <c r="L52" s="12">
        <f>+'29'!L52+'30'!L52+'31'!L52</f>
        <v>0</v>
      </c>
      <c r="M52" s="271"/>
      <c r="N52" s="514">
        <f>+'29'!N52+'30'!N52+'31'!N52</f>
        <v>0</v>
      </c>
      <c r="O52" s="12">
        <f>+'29'!O52+'30'!O52+'31'!O52</f>
        <v>0</v>
      </c>
      <c r="P52" s="12">
        <f>+'29'!P52+'30'!P52+'31'!P52</f>
        <v>0</v>
      </c>
      <c r="Q52" s="532"/>
      <c r="R52" s="270">
        <v>0</v>
      </c>
      <c r="S52" s="12">
        <v>0</v>
      </c>
      <c r="T52" s="12">
        <v>0</v>
      </c>
      <c r="U52" s="271"/>
      <c r="V52" s="533">
        <f t="shared" si="1"/>
        <v>0</v>
      </c>
      <c r="W52" s="533">
        <f t="shared" si="2"/>
        <v>0</v>
      </c>
      <c r="X52" s="257"/>
      <c r="Y52" s="261">
        <f t="shared" si="3"/>
        <v>0</v>
      </c>
      <c r="Z52" s="12">
        <f t="shared" si="4"/>
        <v>0</v>
      </c>
      <c r="AB52" s="13">
        <f t="shared" si="0"/>
        <v>0</v>
      </c>
      <c r="AF52" s="13">
        <f t="shared" si="5"/>
        <v>0</v>
      </c>
      <c r="AM52" s="12">
        <f t="shared" si="6"/>
        <v>0</v>
      </c>
      <c r="AN52" s="13">
        <f t="shared" si="7"/>
        <v>0</v>
      </c>
    </row>
    <row r="53" spans="1:40" x14ac:dyDescent="0.25">
      <c r="A53">
        <v>48</v>
      </c>
      <c r="B53" t="s">
        <v>77</v>
      </c>
      <c r="C53" t="s">
        <v>78</v>
      </c>
      <c r="D53" t="s">
        <v>16</v>
      </c>
      <c r="F53" s="514">
        <f>+'29'!F53+'30'!F53+'31'!F53</f>
        <v>0</v>
      </c>
      <c r="G53" s="12">
        <f>+'29'!G53+'30'!G53+'31'!G53</f>
        <v>0</v>
      </c>
      <c r="H53" s="12">
        <f>+'29'!H53+'30'!H53+'31'!H53</f>
        <v>0</v>
      </c>
      <c r="I53" s="271"/>
      <c r="J53" s="514">
        <f>+'29'!J53+'30'!J53+'31'!J53</f>
        <v>0</v>
      </c>
      <c r="K53" s="12">
        <f>+'29'!K53+'30'!K53+'31'!K53</f>
        <v>0</v>
      </c>
      <c r="L53" s="12">
        <f>+'29'!L53+'30'!L53+'31'!L53</f>
        <v>0</v>
      </c>
      <c r="M53" s="271"/>
      <c r="N53" s="514">
        <f>+'29'!N53+'30'!N53+'31'!N53</f>
        <v>0</v>
      </c>
      <c r="O53" s="12">
        <f>+'29'!O53+'30'!O53+'31'!O53</f>
        <v>0</v>
      </c>
      <c r="P53" s="12">
        <f>+'29'!P53+'30'!P53+'31'!P53</f>
        <v>0</v>
      </c>
      <c r="Q53" s="532"/>
      <c r="R53" s="270">
        <v>0</v>
      </c>
      <c r="S53" s="12">
        <v>0</v>
      </c>
      <c r="T53" s="12">
        <v>0</v>
      </c>
      <c r="U53" s="271"/>
      <c r="V53" s="533">
        <f t="shared" si="1"/>
        <v>0</v>
      </c>
      <c r="W53" s="533">
        <f t="shared" si="2"/>
        <v>0</v>
      </c>
      <c r="X53" s="257"/>
      <c r="Y53" s="261">
        <f t="shared" si="3"/>
        <v>0</v>
      </c>
      <c r="Z53" s="12">
        <f t="shared" si="4"/>
        <v>0</v>
      </c>
      <c r="AB53" s="13">
        <f t="shared" si="0"/>
        <v>0</v>
      </c>
      <c r="AF53" s="13">
        <f t="shared" si="5"/>
        <v>0</v>
      </c>
      <c r="AM53" s="12">
        <f t="shared" si="6"/>
        <v>0</v>
      </c>
      <c r="AN53" s="13">
        <f t="shared" si="7"/>
        <v>0</v>
      </c>
    </row>
    <row r="54" spans="1:40" x14ac:dyDescent="0.25">
      <c r="A54">
        <v>49</v>
      </c>
      <c r="B54" t="s">
        <v>79</v>
      </c>
      <c r="C54" t="s">
        <v>15</v>
      </c>
      <c r="D54" t="s">
        <v>16</v>
      </c>
      <c r="F54" s="514">
        <f>+'29'!F54+'30'!F54+'31'!F54</f>
        <v>1</v>
      </c>
      <c r="G54" s="12">
        <f>+'29'!G54+'30'!G54+'31'!G54</f>
        <v>1000</v>
      </c>
      <c r="H54" s="12">
        <f>+'29'!H54+'30'!H54+'31'!H54</f>
        <v>50</v>
      </c>
      <c r="I54" s="271"/>
      <c r="J54" s="514">
        <f>+'29'!J54+'30'!J54+'31'!J54</f>
        <v>0</v>
      </c>
      <c r="K54" s="12">
        <f>+'29'!K54+'30'!K54+'31'!K54</f>
        <v>0</v>
      </c>
      <c r="L54" s="12">
        <f>+'29'!L54+'30'!L54+'31'!L54</f>
        <v>0</v>
      </c>
      <c r="M54" s="271"/>
      <c r="N54" s="514">
        <f>+'29'!N54+'30'!N54+'31'!N54</f>
        <v>1</v>
      </c>
      <c r="O54" s="12">
        <f>+'29'!O54+'30'!O54+'31'!O54</f>
        <v>1000</v>
      </c>
      <c r="P54" s="12">
        <f>+'29'!P54+'30'!P54+'31'!P54</f>
        <v>50</v>
      </c>
      <c r="Q54" s="532"/>
      <c r="R54" s="270">
        <v>1</v>
      </c>
      <c r="S54" s="12">
        <v>1000</v>
      </c>
      <c r="T54" s="12">
        <v>0</v>
      </c>
      <c r="U54" s="271"/>
      <c r="V54" s="533">
        <f t="shared" si="1"/>
        <v>0</v>
      </c>
      <c r="W54" s="533">
        <f t="shared" si="2"/>
        <v>0</v>
      </c>
      <c r="X54" s="257"/>
      <c r="Y54" s="261">
        <f t="shared" si="3"/>
        <v>0</v>
      </c>
      <c r="Z54" s="12">
        <f t="shared" si="4"/>
        <v>0</v>
      </c>
      <c r="AB54" s="13">
        <f t="shared" si="0"/>
        <v>1000</v>
      </c>
      <c r="AF54" s="13">
        <f t="shared" si="5"/>
        <v>1000</v>
      </c>
      <c r="AM54" s="12">
        <f t="shared" si="6"/>
        <v>0</v>
      </c>
      <c r="AN54" s="13">
        <f t="shared" si="7"/>
        <v>1000</v>
      </c>
    </row>
    <row r="55" spans="1:40" x14ac:dyDescent="0.25">
      <c r="A55">
        <v>50</v>
      </c>
      <c r="B55" t="s">
        <v>80</v>
      </c>
      <c r="D55" t="s">
        <v>16</v>
      </c>
      <c r="F55" s="514">
        <f>+'29'!F55+'30'!F55+'31'!F55</f>
        <v>0</v>
      </c>
      <c r="G55" s="12">
        <f>+'29'!G55+'30'!G55+'31'!G55</f>
        <v>0</v>
      </c>
      <c r="H55" s="12">
        <f>+'29'!H55+'30'!H55+'31'!H55</f>
        <v>0</v>
      </c>
      <c r="I55" s="271"/>
      <c r="J55" s="514">
        <f>+'29'!J55+'30'!J55+'31'!J55</f>
        <v>0</v>
      </c>
      <c r="K55" s="12">
        <f>+'29'!K55+'30'!K55+'31'!K55</f>
        <v>0</v>
      </c>
      <c r="L55" s="12">
        <f>+'29'!L55+'30'!L55+'31'!L55</f>
        <v>0</v>
      </c>
      <c r="M55" s="271"/>
      <c r="N55" s="514">
        <f>+'29'!N55+'30'!N55+'31'!N55</f>
        <v>0</v>
      </c>
      <c r="O55" s="12">
        <f>+'29'!O55+'30'!O55+'31'!O55</f>
        <v>0</v>
      </c>
      <c r="P55" s="12">
        <f>+'29'!P55+'30'!P55+'31'!P55</f>
        <v>0</v>
      </c>
      <c r="Q55" s="532"/>
      <c r="R55" s="270">
        <v>0</v>
      </c>
      <c r="S55" s="12">
        <v>0</v>
      </c>
      <c r="T55" s="12">
        <v>0</v>
      </c>
      <c r="U55" s="271"/>
      <c r="V55" s="533">
        <f t="shared" si="1"/>
        <v>0</v>
      </c>
      <c r="W55" s="533">
        <f t="shared" si="2"/>
        <v>0</v>
      </c>
      <c r="X55" s="257"/>
      <c r="Y55" s="261">
        <f t="shared" si="3"/>
        <v>0</v>
      </c>
      <c r="Z55" s="12">
        <f t="shared" si="4"/>
        <v>0</v>
      </c>
      <c r="AB55" s="13">
        <f t="shared" si="0"/>
        <v>0</v>
      </c>
      <c r="AF55" s="13">
        <f t="shared" si="5"/>
        <v>0</v>
      </c>
      <c r="AM55" s="12">
        <f t="shared" si="6"/>
        <v>0</v>
      </c>
      <c r="AN55" s="13">
        <f t="shared" si="7"/>
        <v>0</v>
      </c>
    </row>
    <row r="56" spans="1:40" x14ac:dyDescent="0.25">
      <c r="A56">
        <v>51</v>
      </c>
      <c r="B56" t="s">
        <v>81</v>
      </c>
      <c r="C56" t="s">
        <v>18</v>
      </c>
      <c r="D56" t="s">
        <v>16</v>
      </c>
      <c r="F56" s="514">
        <f>+'29'!F56+'30'!F56+'31'!F56</f>
        <v>2</v>
      </c>
      <c r="G56" s="12">
        <f>+'29'!G56+'30'!G56+'31'!G56</f>
        <v>6353</v>
      </c>
      <c r="H56" s="12">
        <f>+'29'!H56+'30'!H56+'31'!H56</f>
        <v>100</v>
      </c>
      <c r="I56" s="271"/>
      <c r="J56" s="514">
        <f>+'29'!J56+'30'!J56+'31'!J56</f>
        <v>0</v>
      </c>
      <c r="K56" s="12">
        <f>+'29'!K56+'30'!K56+'31'!K56</f>
        <v>0</v>
      </c>
      <c r="L56" s="12">
        <f>+'29'!L56+'30'!L56+'31'!L56</f>
        <v>0</v>
      </c>
      <c r="M56" s="271"/>
      <c r="N56" s="514">
        <f>+'29'!N56+'30'!N56+'31'!N56</f>
        <v>2</v>
      </c>
      <c r="O56" s="12">
        <f>+'29'!O56+'30'!O56+'31'!O56</f>
        <v>6353</v>
      </c>
      <c r="P56" s="12">
        <f>+'29'!P56+'30'!P56+'31'!P56</f>
        <v>100</v>
      </c>
      <c r="Q56" s="532"/>
      <c r="R56" s="270">
        <v>2</v>
      </c>
      <c r="S56" s="12">
        <v>6353</v>
      </c>
      <c r="T56" s="12">
        <v>0</v>
      </c>
      <c r="U56" s="271"/>
      <c r="V56" s="533">
        <f t="shared" si="1"/>
        <v>0</v>
      </c>
      <c r="W56" s="533">
        <f t="shared" si="2"/>
        <v>0</v>
      </c>
      <c r="X56" s="257"/>
      <c r="Y56" s="261">
        <f t="shared" si="3"/>
        <v>0</v>
      </c>
      <c r="Z56" s="12">
        <f t="shared" si="4"/>
        <v>0</v>
      </c>
      <c r="AB56" s="13">
        <f t="shared" si="0"/>
        <v>6353</v>
      </c>
      <c r="AF56" s="13">
        <f t="shared" si="5"/>
        <v>6353</v>
      </c>
      <c r="AM56" s="12">
        <f t="shared" si="6"/>
        <v>0</v>
      </c>
      <c r="AN56" s="13">
        <f t="shared" si="7"/>
        <v>6353</v>
      </c>
    </row>
    <row r="57" spans="1:40" x14ac:dyDescent="0.25">
      <c r="A57">
        <v>52</v>
      </c>
      <c r="B57" t="s">
        <v>82</v>
      </c>
      <c r="C57" t="s">
        <v>51</v>
      </c>
      <c r="D57" t="s">
        <v>16</v>
      </c>
      <c r="F57" s="514">
        <f>+'29'!F57+'30'!F57+'31'!F57</f>
        <v>0</v>
      </c>
      <c r="G57" s="12">
        <f>+'29'!G57+'30'!G57+'31'!G57</f>
        <v>0</v>
      </c>
      <c r="H57" s="12">
        <f>+'29'!H57+'30'!H57+'31'!H57</f>
        <v>0</v>
      </c>
      <c r="I57" s="271"/>
      <c r="J57" s="514">
        <f>+'29'!J57+'30'!J57+'31'!J57</f>
        <v>0</v>
      </c>
      <c r="K57" s="12">
        <f>+'29'!K57+'30'!K57+'31'!K57</f>
        <v>0</v>
      </c>
      <c r="L57" s="12">
        <f>+'29'!L57+'30'!L57+'31'!L57</f>
        <v>0</v>
      </c>
      <c r="M57" s="271"/>
      <c r="N57" s="514">
        <f>+'29'!N57+'30'!N57+'31'!N57</f>
        <v>0</v>
      </c>
      <c r="O57" s="12">
        <f>+'29'!O57+'30'!O57+'31'!O57</f>
        <v>0</v>
      </c>
      <c r="P57" s="12">
        <f>+'29'!P57+'30'!P57+'31'!P57</f>
        <v>0</v>
      </c>
      <c r="Q57" s="532"/>
      <c r="R57" s="270">
        <v>0</v>
      </c>
      <c r="S57" s="12">
        <v>0</v>
      </c>
      <c r="T57" s="12">
        <v>0</v>
      </c>
      <c r="U57" s="271"/>
      <c r="V57" s="533">
        <f t="shared" si="1"/>
        <v>0</v>
      </c>
      <c r="W57" s="533">
        <f t="shared" si="2"/>
        <v>0</v>
      </c>
      <c r="X57" s="257"/>
      <c r="Y57" s="261">
        <f t="shared" si="3"/>
        <v>0</v>
      </c>
      <c r="Z57" s="12">
        <f t="shared" si="4"/>
        <v>0</v>
      </c>
      <c r="AB57" s="13">
        <f t="shared" si="0"/>
        <v>0</v>
      </c>
      <c r="AF57" s="13">
        <f t="shared" si="5"/>
        <v>0</v>
      </c>
      <c r="AM57" s="12">
        <f t="shared" si="6"/>
        <v>0</v>
      </c>
      <c r="AN57" s="13">
        <f t="shared" si="7"/>
        <v>0</v>
      </c>
    </row>
    <row r="58" spans="1:40" x14ac:dyDescent="0.25">
      <c r="A58">
        <v>53</v>
      </c>
      <c r="B58" t="s">
        <v>83</v>
      </c>
      <c r="D58" t="s">
        <v>16</v>
      </c>
      <c r="F58" s="514">
        <f>+'29'!F58+'30'!F58+'31'!F58</f>
        <v>0</v>
      </c>
      <c r="G58" s="12">
        <f>+'29'!G58+'30'!G58+'31'!G58</f>
        <v>0</v>
      </c>
      <c r="H58" s="12">
        <f>+'29'!H58+'30'!H58+'31'!H58</f>
        <v>0</v>
      </c>
      <c r="I58" s="271"/>
      <c r="J58" s="514">
        <f>+'29'!J58+'30'!J58+'31'!J58</f>
        <v>0</v>
      </c>
      <c r="K58" s="12">
        <f>+'29'!K58+'30'!K58+'31'!K58</f>
        <v>0</v>
      </c>
      <c r="L58" s="12">
        <f>+'29'!L58+'30'!L58+'31'!L58</f>
        <v>0</v>
      </c>
      <c r="M58" s="271"/>
      <c r="N58" s="514">
        <f>+'29'!N58+'30'!N58+'31'!N58</f>
        <v>0</v>
      </c>
      <c r="O58" s="12">
        <f>+'29'!O58+'30'!O58+'31'!O58</f>
        <v>0</v>
      </c>
      <c r="P58" s="12">
        <f>+'29'!P58+'30'!P58+'31'!P58</f>
        <v>0</v>
      </c>
      <c r="Q58" s="532"/>
      <c r="R58" s="270">
        <v>0</v>
      </c>
      <c r="S58" s="12">
        <v>0</v>
      </c>
      <c r="T58" s="12">
        <v>0</v>
      </c>
      <c r="U58" s="271"/>
      <c r="V58" s="533">
        <f t="shared" si="1"/>
        <v>0</v>
      </c>
      <c r="W58" s="533">
        <f t="shared" si="2"/>
        <v>0</v>
      </c>
      <c r="X58" s="257"/>
      <c r="Y58" s="261">
        <f t="shared" si="3"/>
        <v>0</v>
      </c>
      <c r="Z58" s="12">
        <f t="shared" si="4"/>
        <v>0</v>
      </c>
      <c r="AB58" s="13">
        <f t="shared" si="0"/>
        <v>0</v>
      </c>
      <c r="AF58" s="13">
        <f t="shared" si="5"/>
        <v>0</v>
      </c>
      <c r="AM58" s="12">
        <f t="shared" si="6"/>
        <v>0</v>
      </c>
      <c r="AN58" s="13">
        <f t="shared" si="7"/>
        <v>0</v>
      </c>
    </row>
    <row r="59" spans="1:40" x14ac:dyDescent="0.25">
      <c r="A59">
        <v>54</v>
      </c>
      <c r="B59" t="s">
        <v>84</v>
      </c>
      <c r="C59" t="s">
        <v>18</v>
      </c>
      <c r="D59" t="s">
        <v>20</v>
      </c>
      <c r="F59" s="514">
        <f>+'29'!F59+'30'!F59+'31'!F59</f>
        <v>3</v>
      </c>
      <c r="G59" s="12">
        <f>+'29'!G59+'30'!G59+'31'!G59</f>
        <v>119314</v>
      </c>
      <c r="H59" s="12">
        <f>+'29'!H59+'30'!H59+'31'!H59</f>
        <v>150</v>
      </c>
      <c r="I59" s="271"/>
      <c r="J59" s="514">
        <f>+'29'!J59+'30'!J59+'31'!J59</f>
        <v>0</v>
      </c>
      <c r="K59" s="12">
        <f>+'29'!K59+'30'!K59+'31'!K59</f>
        <v>0</v>
      </c>
      <c r="L59" s="12">
        <f>+'29'!L59+'30'!L59+'31'!L59</f>
        <v>0</v>
      </c>
      <c r="M59" s="271"/>
      <c r="N59" s="514">
        <f>+'29'!N59+'30'!N59+'31'!N59</f>
        <v>3</v>
      </c>
      <c r="O59" s="12">
        <f>+'29'!O59+'30'!O59+'31'!O59</f>
        <v>119314</v>
      </c>
      <c r="P59" s="12">
        <f>+'29'!P59+'30'!P59+'31'!P59</f>
        <v>150</v>
      </c>
      <c r="Q59" s="532"/>
      <c r="R59" s="270">
        <v>3</v>
      </c>
      <c r="S59" s="12">
        <v>119164</v>
      </c>
      <c r="T59" s="12">
        <v>150</v>
      </c>
      <c r="U59" s="271"/>
      <c r="V59" s="533">
        <f t="shared" si="1"/>
        <v>0</v>
      </c>
      <c r="W59" s="533">
        <f t="shared" si="2"/>
        <v>150</v>
      </c>
      <c r="X59" s="257"/>
      <c r="Y59" s="261">
        <f t="shared" si="3"/>
        <v>0</v>
      </c>
      <c r="Z59" s="12">
        <f t="shared" si="4"/>
        <v>150</v>
      </c>
      <c r="AB59" s="13">
        <f t="shared" si="0"/>
        <v>119314</v>
      </c>
      <c r="AF59" s="13">
        <f t="shared" si="5"/>
        <v>119314</v>
      </c>
      <c r="AM59" s="12">
        <f t="shared" si="6"/>
        <v>0</v>
      </c>
      <c r="AN59" s="13">
        <f t="shared" si="7"/>
        <v>119314</v>
      </c>
    </row>
    <row r="60" spans="1:40" x14ac:dyDescent="0.25">
      <c r="A60">
        <v>55</v>
      </c>
      <c r="B60" t="s">
        <v>85</v>
      </c>
      <c r="C60" t="s">
        <v>86</v>
      </c>
      <c r="D60" t="s">
        <v>87</v>
      </c>
      <c r="F60" s="514">
        <f>+'29'!F60+'30'!F60+'31'!F60</f>
        <v>7</v>
      </c>
      <c r="G60" s="12">
        <f>+'29'!G60+'30'!G60+'31'!G60</f>
        <v>27804</v>
      </c>
      <c r="H60" s="12">
        <f>+'29'!H60+'30'!H60+'31'!H60</f>
        <v>140</v>
      </c>
      <c r="I60" s="271"/>
      <c r="J60" s="514">
        <f>+'29'!J60+'30'!J60+'31'!J60</f>
        <v>0</v>
      </c>
      <c r="K60" s="12">
        <f>+'29'!K60+'30'!K60+'31'!K60</f>
        <v>0</v>
      </c>
      <c r="L60" s="12">
        <f>+'29'!L60+'30'!L60+'31'!L60</f>
        <v>0</v>
      </c>
      <c r="M60" s="271"/>
      <c r="N60" s="514">
        <f>+'29'!N60+'30'!N60+'31'!N60</f>
        <v>7</v>
      </c>
      <c r="O60" s="12">
        <f>+'29'!O60+'30'!O60+'31'!O60</f>
        <v>27804</v>
      </c>
      <c r="P60" s="12">
        <f>+'29'!P60+'30'!P60+'31'!P60</f>
        <v>140</v>
      </c>
      <c r="Q60" s="532"/>
      <c r="R60" s="270">
        <v>7</v>
      </c>
      <c r="S60" s="12">
        <v>27664</v>
      </c>
      <c r="T60" s="12">
        <v>140</v>
      </c>
      <c r="U60" s="271"/>
      <c r="V60" s="533">
        <f t="shared" si="1"/>
        <v>0</v>
      </c>
      <c r="W60" s="533">
        <f t="shared" si="2"/>
        <v>140</v>
      </c>
      <c r="X60" s="257"/>
      <c r="Y60" s="261">
        <f t="shared" si="3"/>
        <v>0</v>
      </c>
      <c r="Z60" s="12">
        <f t="shared" si="4"/>
        <v>140</v>
      </c>
      <c r="AB60" s="13">
        <f t="shared" si="0"/>
        <v>27804</v>
      </c>
      <c r="AF60" s="13">
        <f t="shared" si="5"/>
        <v>27804</v>
      </c>
      <c r="AM60" s="12">
        <f t="shared" si="6"/>
        <v>0</v>
      </c>
      <c r="AN60" s="13">
        <f t="shared" si="7"/>
        <v>27804</v>
      </c>
    </row>
    <row r="61" spans="1:40" x14ac:dyDescent="0.25">
      <c r="A61">
        <v>56</v>
      </c>
      <c r="B61" t="s">
        <v>2961</v>
      </c>
      <c r="C61" t="s">
        <v>25</v>
      </c>
      <c r="D61" t="s">
        <v>16</v>
      </c>
      <c r="F61" s="514">
        <f>+'29'!F61+'30'!F61+'31'!F61</f>
        <v>4</v>
      </c>
      <c r="G61" s="12">
        <f>+'29'!G61+'30'!G61+'31'!G61</f>
        <v>78950</v>
      </c>
      <c r="H61" s="12">
        <f>+'29'!H61+'30'!H61+'31'!H61</f>
        <v>200</v>
      </c>
      <c r="I61" s="271"/>
      <c r="J61" s="514">
        <f>+'29'!J61+'30'!J61+'31'!J61</f>
        <v>0</v>
      </c>
      <c r="K61" s="12">
        <f>+'29'!K61+'30'!K61+'31'!K61</f>
        <v>0</v>
      </c>
      <c r="L61" s="12">
        <f>+'29'!L61+'30'!L61+'31'!L61</f>
        <v>0</v>
      </c>
      <c r="M61" s="271"/>
      <c r="N61" s="514">
        <f>+'29'!N61+'30'!N61+'31'!N61</f>
        <v>4</v>
      </c>
      <c r="O61" s="12">
        <f>+'29'!O61+'30'!O61+'31'!O61</f>
        <v>78950</v>
      </c>
      <c r="P61" s="12">
        <f>+'29'!P61+'30'!P61+'31'!P61</f>
        <v>200</v>
      </c>
      <c r="Q61" s="532"/>
      <c r="R61" s="270">
        <v>4</v>
      </c>
      <c r="S61" s="12">
        <v>78950</v>
      </c>
      <c r="T61" s="12">
        <v>0</v>
      </c>
      <c r="U61" s="271"/>
      <c r="V61" s="533">
        <f t="shared" si="1"/>
        <v>0</v>
      </c>
      <c r="W61" s="533">
        <f t="shared" si="2"/>
        <v>0</v>
      </c>
      <c r="X61" s="257"/>
      <c r="Y61" s="261">
        <f t="shared" si="3"/>
        <v>0</v>
      </c>
      <c r="Z61" s="12">
        <f t="shared" si="4"/>
        <v>0</v>
      </c>
      <c r="AB61" s="13">
        <f t="shared" si="0"/>
        <v>78950</v>
      </c>
      <c r="AF61" s="13">
        <f t="shared" si="5"/>
        <v>78950</v>
      </c>
      <c r="AH61" s="33">
        <v>20000</v>
      </c>
      <c r="AL61" s="33"/>
      <c r="AM61" s="12">
        <f t="shared" si="6"/>
        <v>20000</v>
      </c>
      <c r="AN61" s="13">
        <f t="shared" si="7"/>
        <v>58950</v>
      </c>
    </row>
    <row r="62" spans="1:40" x14ac:dyDescent="0.25">
      <c r="A62">
        <v>57</v>
      </c>
      <c r="B62" t="s">
        <v>88</v>
      </c>
      <c r="D62" t="s">
        <v>16</v>
      </c>
      <c r="F62" s="514">
        <f>+'29'!F62+'30'!F62+'31'!F62</f>
        <v>0</v>
      </c>
      <c r="G62" s="12">
        <f>+'29'!G62+'30'!G62+'31'!G62</f>
        <v>0</v>
      </c>
      <c r="H62" s="12">
        <f>+'29'!H62+'30'!H62+'31'!H62</f>
        <v>0</v>
      </c>
      <c r="I62" s="271"/>
      <c r="J62" s="514">
        <f>+'29'!J62+'30'!J62+'31'!J62</f>
        <v>0</v>
      </c>
      <c r="K62" s="12">
        <f>+'29'!K62+'30'!K62+'31'!K62</f>
        <v>0</v>
      </c>
      <c r="L62" s="12">
        <f>+'29'!L62+'30'!L62+'31'!L62</f>
        <v>0</v>
      </c>
      <c r="M62" s="271"/>
      <c r="N62" s="514">
        <f>+'29'!N62+'30'!N62+'31'!N62</f>
        <v>0</v>
      </c>
      <c r="O62" s="12">
        <f>+'29'!O62+'30'!O62+'31'!O62</f>
        <v>0</v>
      </c>
      <c r="P62" s="12">
        <f>+'29'!P62+'30'!P62+'31'!P62</f>
        <v>0</v>
      </c>
      <c r="Q62" s="532"/>
      <c r="R62" s="270">
        <v>0</v>
      </c>
      <c r="S62" s="12">
        <v>0</v>
      </c>
      <c r="T62" s="12">
        <v>0</v>
      </c>
      <c r="U62" s="271"/>
      <c r="V62" s="533">
        <f t="shared" si="1"/>
        <v>0</v>
      </c>
      <c r="W62" s="533">
        <f t="shared" si="2"/>
        <v>0</v>
      </c>
      <c r="X62" s="257"/>
      <c r="Y62" s="261">
        <f t="shared" si="3"/>
        <v>0</v>
      </c>
      <c r="Z62" s="12">
        <f t="shared" si="4"/>
        <v>0</v>
      </c>
      <c r="AB62" s="13">
        <f t="shared" si="0"/>
        <v>0</v>
      </c>
      <c r="AF62" s="13">
        <f t="shared" si="5"/>
        <v>0</v>
      </c>
      <c r="AM62" s="12">
        <f t="shared" si="6"/>
        <v>0</v>
      </c>
      <c r="AN62" s="13">
        <f t="shared" si="7"/>
        <v>0</v>
      </c>
    </row>
    <row r="63" spans="1:40" x14ac:dyDescent="0.25">
      <c r="A63">
        <v>58</v>
      </c>
      <c r="B63" t="s">
        <v>89</v>
      </c>
      <c r="C63" t="s">
        <v>90</v>
      </c>
      <c r="D63" t="s">
        <v>16</v>
      </c>
      <c r="F63" s="514">
        <f>+'29'!F63+'30'!F63+'31'!F63</f>
        <v>0</v>
      </c>
      <c r="G63" s="12">
        <f>+'29'!G63+'30'!G63+'31'!G63</f>
        <v>0</v>
      </c>
      <c r="H63" s="12">
        <f>+'29'!H63+'30'!H63+'31'!H63</f>
        <v>0</v>
      </c>
      <c r="I63" s="271"/>
      <c r="J63" s="514">
        <f>+'29'!J63+'30'!J63+'31'!J63</f>
        <v>0</v>
      </c>
      <c r="K63" s="12">
        <f>+'29'!K63+'30'!K63+'31'!K63</f>
        <v>0</v>
      </c>
      <c r="L63" s="12">
        <f>+'29'!L63+'30'!L63+'31'!L63</f>
        <v>0</v>
      </c>
      <c r="M63" s="271"/>
      <c r="N63" s="514">
        <f>+'29'!N63+'30'!N63+'31'!N63</f>
        <v>0</v>
      </c>
      <c r="O63" s="12">
        <f>+'29'!O63+'30'!O63+'31'!O63</f>
        <v>0</v>
      </c>
      <c r="P63" s="12">
        <f>+'29'!P63+'30'!P63+'31'!P63</f>
        <v>0</v>
      </c>
      <c r="Q63" s="532"/>
      <c r="R63" s="270">
        <v>0</v>
      </c>
      <c r="S63" s="12">
        <v>0</v>
      </c>
      <c r="T63" s="12">
        <v>0</v>
      </c>
      <c r="U63" s="271"/>
      <c r="V63" s="533">
        <f t="shared" si="1"/>
        <v>0</v>
      </c>
      <c r="W63" s="533">
        <f t="shared" si="2"/>
        <v>0</v>
      </c>
      <c r="X63" s="257"/>
      <c r="Y63" s="261">
        <f t="shared" si="3"/>
        <v>0</v>
      </c>
      <c r="Z63" s="12">
        <f t="shared" si="4"/>
        <v>0</v>
      </c>
      <c r="AB63" s="13">
        <f t="shared" si="0"/>
        <v>0</v>
      </c>
      <c r="AF63" s="13">
        <f t="shared" si="5"/>
        <v>0</v>
      </c>
      <c r="AM63" s="12">
        <f t="shared" si="6"/>
        <v>0</v>
      </c>
      <c r="AN63" s="13">
        <f t="shared" si="7"/>
        <v>0</v>
      </c>
    </row>
    <row r="64" spans="1:40" x14ac:dyDescent="0.25">
      <c r="A64">
        <v>59</v>
      </c>
      <c r="B64" t="s">
        <v>91</v>
      </c>
      <c r="C64" t="s">
        <v>92</v>
      </c>
      <c r="D64" t="s">
        <v>16</v>
      </c>
      <c r="F64" s="514">
        <f>+'29'!F64+'30'!F64+'31'!F64</f>
        <v>188</v>
      </c>
      <c r="G64" s="12">
        <f>+'29'!G64+'30'!G64+'31'!G64</f>
        <v>353763.62</v>
      </c>
      <c r="H64" s="12">
        <f>+'29'!H64+'30'!H64+'31'!H64</f>
        <v>1880</v>
      </c>
      <c r="I64" s="271"/>
      <c r="J64" s="514">
        <f>+'29'!J64+'30'!J64+'31'!J64</f>
        <v>0</v>
      </c>
      <c r="K64" s="12">
        <f>+'29'!K64+'30'!K64+'31'!K64</f>
        <v>0</v>
      </c>
      <c r="L64" s="12">
        <f>+'29'!L64+'30'!L64+'31'!L64</f>
        <v>0</v>
      </c>
      <c r="M64" s="271"/>
      <c r="N64" s="514">
        <f>+'29'!N64+'30'!N64+'31'!N64</f>
        <v>188</v>
      </c>
      <c r="O64" s="12">
        <f>+'29'!O64+'30'!O64+'31'!O64</f>
        <v>353763.62</v>
      </c>
      <c r="P64" s="12">
        <f>+'29'!P64+'30'!P64+'31'!P64</f>
        <v>1880</v>
      </c>
      <c r="Q64" s="532"/>
      <c r="R64" s="270">
        <v>188</v>
      </c>
      <c r="S64" s="12">
        <v>353763.62</v>
      </c>
      <c r="T64" s="12">
        <v>0</v>
      </c>
      <c r="U64" s="271"/>
      <c r="V64" s="533">
        <f t="shared" si="1"/>
        <v>0</v>
      </c>
      <c r="W64" s="533">
        <f t="shared" si="2"/>
        <v>0</v>
      </c>
      <c r="X64" s="257"/>
      <c r="Y64" s="261">
        <f t="shared" si="3"/>
        <v>0</v>
      </c>
      <c r="Z64" s="12">
        <f t="shared" si="4"/>
        <v>0</v>
      </c>
      <c r="AB64" s="13">
        <f t="shared" si="0"/>
        <v>353763.62</v>
      </c>
      <c r="AF64" s="13">
        <f t="shared" si="5"/>
        <v>353763.62</v>
      </c>
      <c r="AH64" s="33"/>
      <c r="AL64" s="33"/>
      <c r="AM64" s="12">
        <f t="shared" si="6"/>
        <v>0</v>
      </c>
      <c r="AN64" s="13">
        <f t="shared" si="7"/>
        <v>353763.62</v>
      </c>
    </row>
    <row r="65" spans="1:40" x14ac:dyDescent="0.25">
      <c r="A65">
        <v>60</v>
      </c>
      <c r="B65" t="s">
        <v>93</v>
      </c>
      <c r="C65" t="s">
        <v>18</v>
      </c>
      <c r="D65" t="s">
        <v>16</v>
      </c>
      <c r="F65" s="514">
        <f>+'29'!F65+'30'!F65+'31'!F65</f>
        <v>45</v>
      </c>
      <c r="G65" s="12">
        <f>+'29'!G65+'30'!G65+'31'!G65</f>
        <v>52851.03</v>
      </c>
      <c r="H65" s="12">
        <f>+'29'!H65+'30'!H65+'31'!H65</f>
        <v>225</v>
      </c>
      <c r="I65" s="271"/>
      <c r="J65" s="514">
        <f>+'29'!J65+'30'!J65+'31'!J65</f>
        <v>0</v>
      </c>
      <c r="K65" s="12">
        <f>+'29'!K65+'30'!K65+'31'!K65</f>
        <v>0</v>
      </c>
      <c r="L65" s="12">
        <f>+'29'!L65+'30'!L65+'31'!L65</f>
        <v>0</v>
      </c>
      <c r="M65" s="271"/>
      <c r="N65" s="514">
        <f>+'29'!N65+'30'!N65+'31'!N65</f>
        <v>45</v>
      </c>
      <c r="O65" s="12">
        <f>+'29'!O65+'30'!O65+'31'!O65</f>
        <v>52851.03</v>
      </c>
      <c r="P65" s="12">
        <f>+'29'!P65+'30'!P65+'31'!P65</f>
        <v>225</v>
      </c>
      <c r="Q65" s="532"/>
      <c r="R65" s="270">
        <v>45</v>
      </c>
      <c r="S65" s="12">
        <v>52851.03</v>
      </c>
      <c r="T65" s="12">
        <v>0</v>
      </c>
      <c r="U65" s="271"/>
      <c r="V65" s="533">
        <f t="shared" si="1"/>
        <v>0</v>
      </c>
      <c r="W65" s="533">
        <f t="shared" si="2"/>
        <v>0</v>
      </c>
      <c r="X65" s="257"/>
      <c r="Y65" s="261">
        <f t="shared" si="3"/>
        <v>0</v>
      </c>
      <c r="Z65" s="12">
        <f t="shared" si="4"/>
        <v>0</v>
      </c>
      <c r="AB65" s="13">
        <f t="shared" si="0"/>
        <v>52851.03</v>
      </c>
      <c r="AF65" s="13">
        <f t="shared" si="5"/>
        <v>52851.03</v>
      </c>
      <c r="AM65" s="12">
        <f t="shared" si="6"/>
        <v>0</v>
      </c>
      <c r="AN65" s="13">
        <f t="shared" si="7"/>
        <v>52851.03</v>
      </c>
    </row>
    <row r="66" spans="1:40" x14ac:dyDescent="0.25">
      <c r="A66">
        <v>61</v>
      </c>
      <c r="B66" t="s">
        <v>94</v>
      </c>
      <c r="C66" t="s">
        <v>92</v>
      </c>
      <c r="D66" t="s">
        <v>16</v>
      </c>
      <c r="F66" s="514">
        <f>+'29'!F66+'30'!F66+'31'!F66</f>
        <v>584</v>
      </c>
      <c r="G66" s="12">
        <f>+'29'!G66+'30'!G66+'31'!G66</f>
        <v>1950951.3599999999</v>
      </c>
      <c r="H66" s="12">
        <f>+'29'!H66+'30'!H66+'31'!H66</f>
        <v>5840</v>
      </c>
      <c r="I66" s="271"/>
      <c r="J66" s="514">
        <f>+'29'!J66+'30'!J66+'31'!J66</f>
        <v>-2</v>
      </c>
      <c r="K66" s="12">
        <f>+'29'!K66+'30'!K66+'31'!K66</f>
        <v>-7037.27</v>
      </c>
      <c r="L66" s="12">
        <f>+'29'!L66+'30'!L66+'31'!L66</f>
        <v>-20</v>
      </c>
      <c r="M66" s="271"/>
      <c r="N66" s="514">
        <f>+'29'!N66+'30'!N66+'31'!N66</f>
        <v>582</v>
      </c>
      <c r="O66" s="12">
        <f>+'29'!O66+'30'!O66+'31'!O66</f>
        <v>1943914.0899999999</v>
      </c>
      <c r="P66" s="12">
        <f>+'29'!P66+'30'!P66+'31'!P66</f>
        <v>5820</v>
      </c>
      <c r="Q66" s="532"/>
      <c r="R66" s="270">
        <v>582</v>
      </c>
      <c r="S66" s="12">
        <v>1943914.09</v>
      </c>
      <c r="T66" s="12">
        <v>0</v>
      </c>
      <c r="U66" s="271"/>
      <c r="V66" s="533">
        <f t="shared" si="1"/>
        <v>0</v>
      </c>
      <c r="W66" s="533">
        <f t="shared" si="2"/>
        <v>0</v>
      </c>
      <c r="X66" s="257"/>
      <c r="Y66" s="261">
        <f t="shared" si="3"/>
        <v>0</v>
      </c>
      <c r="Z66" s="12">
        <f t="shared" si="4"/>
        <v>0</v>
      </c>
      <c r="AB66" s="13">
        <f t="shared" si="0"/>
        <v>1943914.0899999999</v>
      </c>
      <c r="AF66" s="13">
        <f t="shared" si="5"/>
        <v>1943914.0899999999</v>
      </c>
      <c r="AM66" s="12">
        <f t="shared" si="6"/>
        <v>0</v>
      </c>
      <c r="AN66" s="13">
        <f t="shared" si="7"/>
        <v>1943914.0899999999</v>
      </c>
    </row>
    <row r="67" spans="1:40" x14ac:dyDescent="0.25">
      <c r="A67">
        <v>62</v>
      </c>
      <c r="B67" t="s">
        <v>95</v>
      </c>
      <c r="D67" t="s">
        <v>16</v>
      </c>
      <c r="F67" s="514">
        <f>+'29'!F67+'30'!F67+'31'!F67</f>
        <v>0</v>
      </c>
      <c r="G67" s="12">
        <f>+'29'!G67+'30'!G67+'31'!G67</f>
        <v>0</v>
      </c>
      <c r="H67" s="12">
        <f>+'29'!H67+'30'!H67+'31'!H67</f>
        <v>0</v>
      </c>
      <c r="I67" s="271"/>
      <c r="J67" s="514">
        <f>+'29'!J67+'30'!J67+'31'!J67</f>
        <v>0</v>
      </c>
      <c r="K67" s="12">
        <f>+'29'!K67+'30'!K67+'31'!K67</f>
        <v>0</v>
      </c>
      <c r="L67" s="12">
        <f>+'29'!L67+'30'!L67+'31'!L67</f>
        <v>0</v>
      </c>
      <c r="M67" s="271"/>
      <c r="N67" s="514">
        <f>+'29'!N67+'30'!N67+'31'!N67</f>
        <v>0</v>
      </c>
      <c r="O67" s="12">
        <f>+'29'!O67+'30'!O67+'31'!O67</f>
        <v>0</v>
      </c>
      <c r="P67" s="12">
        <f>+'29'!P67+'30'!P67+'31'!P67</f>
        <v>0</v>
      </c>
      <c r="Q67" s="532"/>
      <c r="R67" s="270">
        <v>0</v>
      </c>
      <c r="S67" s="12">
        <v>0</v>
      </c>
      <c r="T67" s="12">
        <v>0</v>
      </c>
      <c r="U67" s="271"/>
      <c r="V67" s="533">
        <f t="shared" si="1"/>
        <v>0</v>
      </c>
      <c r="W67" s="533">
        <f t="shared" si="2"/>
        <v>0</v>
      </c>
      <c r="X67" s="257"/>
      <c r="Y67" s="261">
        <f t="shared" si="3"/>
        <v>0</v>
      </c>
      <c r="Z67" s="12">
        <f t="shared" si="4"/>
        <v>0</v>
      </c>
      <c r="AB67" s="13">
        <f t="shared" si="0"/>
        <v>0</v>
      </c>
      <c r="AD67" s="16"/>
      <c r="AF67" s="13">
        <f t="shared" si="5"/>
        <v>0</v>
      </c>
      <c r="AH67" s="16"/>
      <c r="AM67" s="12">
        <f t="shared" si="6"/>
        <v>0</v>
      </c>
      <c r="AN67" s="13">
        <f t="shared" si="7"/>
        <v>0</v>
      </c>
    </row>
    <row r="68" spans="1:40" x14ac:dyDescent="0.25">
      <c r="A68">
        <v>63</v>
      </c>
      <c r="B68" t="s">
        <v>96</v>
      </c>
      <c r="C68" t="s">
        <v>92</v>
      </c>
      <c r="D68" t="s">
        <v>16</v>
      </c>
      <c r="F68" s="514">
        <f>+'29'!F68+'30'!F68+'31'!F68</f>
        <v>141</v>
      </c>
      <c r="G68" s="12">
        <f>+'29'!G68+'30'!G68+'31'!G68</f>
        <v>99338.450000000012</v>
      </c>
      <c r="H68" s="12">
        <f>+'29'!H68+'30'!H68+'31'!H68</f>
        <v>1410</v>
      </c>
      <c r="I68" s="271"/>
      <c r="J68" s="514">
        <f>+'29'!J68+'30'!J68+'31'!J68</f>
        <v>0</v>
      </c>
      <c r="K68" s="12">
        <f>+'29'!K68+'30'!K68+'31'!K68</f>
        <v>0</v>
      </c>
      <c r="L68" s="12">
        <f>+'29'!L68+'30'!L68+'31'!L68</f>
        <v>0</v>
      </c>
      <c r="M68" s="271"/>
      <c r="N68" s="514">
        <f>+'29'!N68+'30'!N68+'31'!N68</f>
        <v>141</v>
      </c>
      <c r="O68" s="12">
        <f>+'29'!O68+'30'!O68+'31'!O68</f>
        <v>99338.450000000012</v>
      </c>
      <c r="P68" s="12">
        <f>+'29'!P68+'30'!P68+'31'!P68</f>
        <v>1410</v>
      </c>
      <c r="Q68" s="532"/>
      <c r="R68" s="270">
        <v>141</v>
      </c>
      <c r="S68" s="12">
        <v>99338.45</v>
      </c>
      <c r="T68" s="12">
        <v>0</v>
      </c>
      <c r="U68" s="271"/>
      <c r="V68" s="533">
        <f t="shared" si="1"/>
        <v>0</v>
      </c>
      <c r="W68" s="533">
        <f t="shared" si="2"/>
        <v>0</v>
      </c>
      <c r="X68" s="257"/>
      <c r="Y68" s="261">
        <f t="shared" si="3"/>
        <v>0</v>
      </c>
      <c r="Z68" s="12">
        <f t="shared" si="4"/>
        <v>0</v>
      </c>
      <c r="AB68" s="13">
        <f t="shared" si="0"/>
        <v>99338.450000000012</v>
      </c>
      <c r="AF68" s="13">
        <f t="shared" si="5"/>
        <v>99338.450000000012</v>
      </c>
      <c r="AM68" s="12">
        <f t="shared" si="6"/>
        <v>0</v>
      </c>
      <c r="AN68" s="13">
        <f t="shared" si="7"/>
        <v>99338.450000000012</v>
      </c>
    </row>
    <row r="69" spans="1:40" x14ac:dyDescent="0.25">
      <c r="A69">
        <v>64</v>
      </c>
      <c r="B69" t="s">
        <v>97</v>
      </c>
      <c r="C69" t="s">
        <v>98</v>
      </c>
      <c r="D69" t="s">
        <v>20</v>
      </c>
      <c r="F69" s="514">
        <f>+'29'!F69+'30'!F69+'31'!F69</f>
        <v>0</v>
      </c>
      <c r="G69" s="12">
        <f>+'29'!G69+'30'!G69+'31'!G69</f>
        <v>0</v>
      </c>
      <c r="H69" s="12">
        <f>+'29'!H69+'30'!H69+'31'!H69</f>
        <v>0</v>
      </c>
      <c r="I69" s="271"/>
      <c r="J69" s="514">
        <f>+'29'!J69+'30'!J69+'31'!J69</f>
        <v>0</v>
      </c>
      <c r="K69" s="12">
        <f>+'29'!K69+'30'!K69+'31'!K69</f>
        <v>0</v>
      </c>
      <c r="L69" s="12">
        <f>+'29'!L69+'30'!L69+'31'!L69</f>
        <v>0</v>
      </c>
      <c r="M69" s="271"/>
      <c r="N69" s="514">
        <f>+'29'!N69+'30'!N69+'31'!N69</f>
        <v>0</v>
      </c>
      <c r="O69" s="12">
        <f>+'29'!O69+'30'!O69+'31'!O69</f>
        <v>0</v>
      </c>
      <c r="P69" s="12">
        <f>+'29'!P69+'30'!P69+'31'!P69</f>
        <v>0</v>
      </c>
      <c r="Q69" s="532"/>
      <c r="R69" s="270">
        <v>0</v>
      </c>
      <c r="S69" s="12">
        <v>0</v>
      </c>
      <c r="T69" s="12">
        <v>0</v>
      </c>
      <c r="U69" s="271"/>
      <c r="V69" s="533">
        <f t="shared" si="1"/>
        <v>0</v>
      </c>
      <c r="W69" s="533">
        <f t="shared" si="2"/>
        <v>0</v>
      </c>
      <c r="X69" s="257"/>
      <c r="Y69" s="261">
        <f t="shared" si="3"/>
        <v>0</v>
      </c>
      <c r="Z69" s="12">
        <f t="shared" si="4"/>
        <v>0</v>
      </c>
      <c r="AB69" s="13">
        <f t="shared" si="0"/>
        <v>0</v>
      </c>
      <c r="AF69" s="13">
        <f t="shared" si="5"/>
        <v>0</v>
      </c>
      <c r="AM69" s="12">
        <f t="shared" si="6"/>
        <v>0</v>
      </c>
      <c r="AN69" s="13">
        <f t="shared" si="7"/>
        <v>0</v>
      </c>
    </row>
    <row r="70" spans="1:40" x14ac:dyDescent="0.25">
      <c r="A70">
        <v>65</v>
      </c>
      <c r="B70" t="s">
        <v>99</v>
      </c>
      <c r="C70" t="s">
        <v>24</v>
      </c>
      <c r="D70" t="s">
        <v>16</v>
      </c>
      <c r="F70" s="514">
        <f>+'29'!F70+'30'!F70+'31'!F70</f>
        <v>1</v>
      </c>
      <c r="G70" s="12">
        <f>+'29'!G70+'30'!G70+'31'!G70</f>
        <v>1000</v>
      </c>
      <c r="H70" s="12">
        <f>+'29'!H70+'30'!H70+'31'!H70</f>
        <v>25</v>
      </c>
      <c r="I70" s="271"/>
      <c r="J70" s="514">
        <f>+'29'!J70+'30'!J70+'31'!J70</f>
        <v>0</v>
      </c>
      <c r="K70" s="12">
        <f>+'29'!K70+'30'!K70+'31'!K70</f>
        <v>0</v>
      </c>
      <c r="L70" s="12">
        <f>+'29'!L70+'30'!L70+'31'!L70</f>
        <v>0</v>
      </c>
      <c r="M70" s="271"/>
      <c r="N70" s="514">
        <f>+'29'!N70+'30'!N70+'31'!N70</f>
        <v>1</v>
      </c>
      <c r="O70" s="12">
        <f>+'29'!O70+'30'!O70+'31'!O70</f>
        <v>1000</v>
      </c>
      <c r="P70" s="12">
        <f>+'29'!P70+'30'!P70+'31'!P70</f>
        <v>25</v>
      </c>
      <c r="Q70" s="532"/>
      <c r="R70" s="270">
        <v>1</v>
      </c>
      <c r="S70" s="12">
        <v>1000</v>
      </c>
      <c r="T70" s="12">
        <v>0</v>
      </c>
      <c r="U70" s="271"/>
      <c r="V70" s="533">
        <f t="shared" si="1"/>
        <v>0</v>
      </c>
      <c r="W70" s="533">
        <f t="shared" si="2"/>
        <v>0</v>
      </c>
      <c r="X70" s="257"/>
      <c r="Y70" s="261">
        <f t="shared" si="3"/>
        <v>0</v>
      </c>
      <c r="Z70" s="12">
        <f t="shared" si="4"/>
        <v>0</v>
      </c>
      <c r="AB70" s="13">
        <f t="shared" ref="AB70:AB133" si="8">O70</f>
        <v>1000</v>
      </c>
      <c r="AF70" s="13">
        <f t="shared" si="5"/>
        <v>1000</v>
      </c>
      <c r="AM70" s="12">
        <f t="shared" si="6"/>
        <v>0</v>
      </c>
      <c r="AN70" s="13">
        <f t="shared" si="7"/>
        <v>1000</v>
      </c>
    </row>
    <row r="71" spans="1:40" x14ac:dyDescent="0.25">
      <c r="A71">
        <v>66</v>
      </c>
      <c r="B71" t="s">
        <v>100</v>
      </c>
      <c r="C71" t="s">
        <v>25</v>
      </c>
      <c r="D71" t="s">
        <v>20</v>
      </c>
      <c r="F71" s="514">
        <f>+'29'!F71+'30'!F71+'31'!F71</f>
        <v>6</v>
      </c>
      <c r="G71" s="12">
        <f>+'29'!G71+'30'!G71+'31'!G71</f>
        <v>59585</v>
      </c>
      <c r="H71" s="12">
        <f>+'29'!H71+'30'!H71+'31'!H71</f>
        <v>180</v>
      </c>
      <c r="I71" s="271"/>
      <c r="J71" s="514">
        <f>+'29'!J71+'30'!J71+'31'!J71</f>
        <v>0</v>
      </c>
      <c r="K71" s="12">
        <f>+'29'!K71+'30'!K71+'31'!K71</f>
        <v>0</v>
      </c>
      <c r="L71" s="12">
        <f>+'29'!L71+'30'!L71+'31'!L71</f>
        <v>0</v>
      </c>
      <c r="M71" s="271"/>
      <c r="N71" s="514">
        <f>+'29'!N71+'30'!N71+'31'!N71</f>
        <v>6</v>
      </c>
      <c r="O71" s="12">
        <f>+'29'!O71+'30'!O71+'31'!O71</f>
        <v>59585</v>
      </c>
      <c r="P71" s="12">
        <f>+'29'!P71+'30'!P71+'31'!P71</f>
        <v>180</v>
      </c>
      <c r="Q71" s="532"/>
      <c r="R71" s="270">
        <v>6</v>
      </c>
      <c r="S71" s="12">
        <v>59405</v>
      </c>
      <c r="T71" s="12">
        <v>180</v>
      </c>
      <c r="U71" s="271"/>
      <c r="V71" s="533">
        <f t="shared" ref="V71:V134" si="9">N71-R71</f>
        <v>0</v>
      </c>
      <c r="W71" s="533">
        <f t="shared" ref="W71:W134" si="10">O71-S71</f>
        <v>180</v>
      </c>
      <c r="X71" s="257"/>
      <c r="Y71" s="261">
        <f t="shared" ref="Y71:Y134" si="11">V71</f>
        <v>0</v>
      </c>
      <c r="Z71" s="12">
        <f t="shared" ref="Z71:Z134" si="12">W71</f>
        <v>180</v>
      </c>
      <c r="AB71" s="13">
        <f t="shared" si="8"/>
        <v>59585</v>
      </c>
      <c r="AF71" s="13">
        <f t="shared" ref="AF71:AF134" si="13">AB71-AD71</f>
        <v>59585</v>
      </c>
      <c r="AM71" s="12">
        <f t="shared" ref="AM71:AM134" si="14">SUM(AG71:AL71)</f>
        <v>0</v>
      </c>
      <c r="AN71" s="13">
        <f t="shared" ref="AN71:AN134" si="15">AF71-AM71</f>
        <v>59585</v>
      </c>
    </row>
    <row r="72" spans="1:40" x14ac:dyDescent="0.25">
      <c r="A72">
        <v>67</v>
      </c>
      <c r="B72" t="s">
        <v>2958</v>
      </c>
      <c r="C72" t="s">
        <v>27</v>
      </c>
      <c r="D72" t="s">
        <v>2959</v>
      </c>
      <c r="F72" s="514">
        <f>+'29'!F72+'30'!F72+'31'!F72</f>
        <v>0</v>
      </c>
      <c r="G72" s="12">
        <f>+'29'!G72+'30'!G72+'31'!G72</f>
        <v>0</v>
      </c>
      <c r="H72" s="12">
        <f>+'29'!H72+'30'!H72+'31'!H72</f>
        <v>0</v>
      </c>
      <c r="I72" s="271"/>
      <c r="J72" s="514">
        <f>+'29'!J72+'30'!J72+'31'!J72</f>
        <v>0</v>
      </c>
      <c r="K72" s="12">
        <f>+'29'!K72+'30'!K72+'31'!K72</f>
        <v>0</v>
      </c>
      <c r="L72" s="12">
        <f>+'29'!L72+'30'!L72+'31'!L72</f>
        <v>0</v>
      </c>
      <c r="M72" s="271"/>
      <c r="N72" s="514">
        <f>+'29'!N72+'30'!N72+'31'!N72</f>
        <v>0</v>
      </c>
      <c r="O72" s="12">
        <f>+'29'!O72+'30'!O72+'31'!O72</f>
        <v>0</v>
      </c>
      <c r="P72" s="12">
        <f>+'29'!P72+'30'!P72+'31'!P72</f>
        <v>0</v>
      </c>
      <c r="Q72" s="532"/>
      <c r="R72" s="270">
        <v>0</v>
      </c>
      <c r="S72" s="12">
        <v>0</v>
      </c>
      <c r="T72" s="12">
        <v>0</v>
      </c>
      <c r="U72" s="271"/>
      <c r="V72" s="533">
        <f t="shared" si="9"/>
        <v>0</v>
      </c>
      <c r="W72" s="533">
        <f t="shared" si="10"/>
        <v>0</v>
      </c>
      <c r="X72" s="257"/>
      <c r="Y72" s="261">
        <f t="shared" si="11"/>
        <v>0</v>
      </c>
      <c r="Z72" s="12">
        <f t="shared" si="12"/>
        <v>0</v>
      </c>
      <c r="AB72" s="13">
        <f t="shared" si="8"/>
        <v>0</v>
      </c>
      <c r="AF72" s="13">
        <f t="shared" si="13"/>
        <v>0</v>
      </c>
      <c r="AM72" s="12">
        <f t="shared" si="14"/>
        <v>0</v>
      </c>
      <c r="AN72" s="13">
        <f t="shared" si="15"/>
        <v>0</v>
      </c>
    </row>
    <row r="73" spans="1:40" x14ac:dyDescent="0.25">
      <c r="A73">
        <v>68</v>
      </c>
      <c r="B73" t="s">
        <v>2417</v>
      </c>
      <c r="C73" t="s">
        <v>92</v>
      </c>
      <c r="D73" t="s">
        <v>20</v>
      </c>
      <c r="F73" s="514">
        <f>+'29'!F73+'30'!F73+'31'!F73</f>
        <v>45</v>
      </c>
      <c r="G73" s="12">
        <f>+'29'!G73+'30'!G73+'31'!G73</f>
        <v>3104816.2800000003</v>
      </c>
      <c r="H73" s="12">
        <f>+'29'!H73+'30'!H73+'31'!H73</f>
        <v>3440</v>
      </c>
      <c r="I73" s="271"/>
      <c r="J73" s="514">
        <f>+'29'!J73+'30'!J73+'31'!J73</f>
        <v>0</v>
      </c>
      <c r="K73" s="12">
        <f>+'29'!K73+'30'!K73+'31'!K73</f>
        <v>0</v>
      </c>
      <c r="L73" s="12">
        <f>+'29'!L73+'30'!L73+'31'!L73</f>
        <v>0</v>
      </c>
      <c r="M73" s="271"/>
      <c r="N73" s="514">
        <f>+'29'!N73+'30'!N73+'31'!N73</f>
        <v>45</v>
      </c>
      <c r="O73" s="12">
        <f>+'29'!O73+'30'!O73+'31'!O73</f>
        <v>3104816.2800000003</v>
      </c>
      <c r="P73" s="12">
        <f>+'29'!P73+'30'!P73+'31'!P73</f>
        <v>3440</v>
      </c>
      <c r="Q73" s="532"/>
      <c r="R73" s="270">
        <v>2</v>
      </c>
      <c r="S73" s="12">
        <v>3101376.2800000003</v>
      </c>
      <c r="T73" s="12">
        <v>3440</v>
      </c>
      <c r="U73" s="271"/>
      <c r="V73" s="533">
        <f t="shared" si="9"/>
        <v>43</v>
      </c>
      <c r="W73" s="533">
        <f t="shared" si="10"/>
        <v>3440</v>
      </c>
      <c r="X73" s="257"/>
      <c r="Y73" s="261">
        <f t="shared" si="11"/>
        <v>43</v>
      </c>
      <c r="Z73" s="12">
        <f t="shared" si="12"/>
        <v>3440</v>
      </c>
      <c r="AB73" s="13">
        <f t="shared" si="8"/>
        <v>3104816.2800000003</v>
      </c>
      <c r="AF73" s="13">
        <f t="shared" si="13"/>
        <v>3104816.2800000003</v>
      </c>
      <c r="AM73" s="12">
        <f t="shared" si="14"/>
        <v>0</v>
      </c>
      <c r="AN73" s="13">
        <f t="shared" si="15"/>
        <v>3104816.2800000003</v>
      </c>
    </row>
    <row r="74" spans="1:40" x14ac:dyDescent="0.25">
      <c r="A74">
        <v>69</v>
      </c>
      <c r="B74" t="s">
        <v>2418</v>
      </c>
      <c r="C74" t="s">
        <v>136</v>
      </c>
      <c r="D74" t="s">
        <v>20</v>
      </c>
      <c r="F74" s="514">
        <f>+'29'!F74+'30'!F74+'31'!F74</f>
        <v>139</v>
      </c>
      <c r="G74" s="12">
        <f>+'29'!G74+'30'!G74+'31'!G74</f>
        <v>4864863.5599999996</v>
      </c>
      <c r="H74" s="12">
        <f>+'29'!H74+'30'!H74+'31'!H74</f>
        <v>7280</v>
      </c>
      <c r="I74" s="271"/>
      <c r="J74" s="514">
        <f>+'29'!J74+'30'!J74+'31'!J74</f>
        <v>0</v>
      </c>
      <c r="K74" s="12">
        <f>+'29'!K74+'30'!K74+'31'!K74</f>
        <v>0</v>
      </c>
      <c r="L74" s="12">
        <f>+'29'!L74+'30'!L74+'31'!L74</f>
        <v>0</v>
      </c>
      <c r="M74" s="271"/>
      <c r="N74" s="514">
        <f>+'29'!N74+'30'!N74+'31'!N74</f>
        <v>139</v>
      </c>
      <c r="O74" s="12">
        <f>+'29'!O74+'30'!O74+'31'!O74</f>
        <v>4864863.5599999996</v>
      </c>
      <c r="P74" s="12">
        <f>+'29'!P74+'30'!P74+'31'!P74</f>
        <v>7280</v>
      </c>
      <c r="Q74" s="532"/>
      <c r="R74" s="270">
        <v>3</v>
      </c>
      <c r="S74" s="12">
        <v>4857583.5599999996</v>
      </c>
      <c r="T74" s="12">
        <v>7280</v>
      </c>
      <c r="U74" s="271"/>
      <c r="V74" s="533">
        <f t="shared" si="9"/>
        <v>136</v>
      </c>
      <c r="W74" s="533">
        <f t="shared" si="10"/>
        <v>7280</v>
      </c>
      <c r="X74" s="257"/>
      <c r="Y74" s="261">
        <f t="shared" si="11"/>
        <v>136</v>
      </c>
      <c r="Z74" s="12">
        <f t="shared" si="12"/>
        <v>7280</v>
      </c>
      <c r="AB74" s="13">
        <f t="shared" si="8"/>
        <v>4864863.5599999996</v>
      </c>
      <c r="AF74" s="13">
        <f t="shared" si="13"/>
        <v>4864863.5599999996</v>
      </c>
      <c r="AM74" s="12">
        <f t="shared" si="14"/>
        <v>0</v>
      </c>
      <c r="AN74" s="13">
        <f t="shared" si="15"/>
        <v>4864863.5599999996</v>
      </c>
    </row>
    <row r="75" spans="1:40" x14ac:dyDescent="0.25">
      <c r="A75">
        <v>70</v>
      </c>
      <c r="B75" t="s">
        <v>102</v>
      </c>
      <c r="C75" t="s">
        <v>15</v>
      </c>
      <c r="D75" t="s">
        <v>45</v>
      </c>
      <c r="F75" s="514">
        <f>+'29'!F75+'30'!F75+'31'!F75</f>
        <v>291</v>
      </c>
      <c r="G75" s="12">
        <f>+'29'!G75+'30'!G75+'31'!G75</f>
        <v>193692.23</v>
      </c>
      <c r="H75" s="12">
        <f>+'29'!H75+'30'!H75+'31'!H75</f>
        <v>2328</v>
      </c>
      <c r="I75" s="271"/>
      <c r="J75" s="514">
        <f>+'29'!J75+'30'!J75+'31'!J75</f>
        <v>0</v>
      </c>
      <c r="K75" s="12">
        <f>+'29'!K75+'30'!K75+'31'!K75</f>
        <v>0</v>
      </c>
      <c r="L75" s="12">
        <f>+'29'!L75+'30'!L75+'31'!L75</f>
        <v>0</v>
      </c>
      <c r="M75" s="271"/>
      <c r="N75" s="514">
        <f>+'29'!N75+'30'!N75+'31'!N75</f>
        <v>291</v>
      </c>
      <c r="O75" s="12">
        <f>+'29'!O75+'30'!O75+'31'!O75</f>
        <v>193692.23</v>
      </c>
      <c r="P75" s="12">
        <f>+'29'!P75+'30'!P75+'31'!P75</f>
        <v>2328</v>
      </c>
      <c r="Q75" s="532"/>
      <c r="R75" s="270">
        <v>291</v>
      </c>
      <c r="S75" s="12">
        <v>193692.23</v>
      </c>
      <c r="T75" s="12">
        <v>0</v>
      </c>
      <c r="U75" s="271"/>
      <c r="V75" s="533">
        <f t="shared" si="9"/>
        <v>0</v>
      </c>
      <c r="W75" s="533">
        <f t="shared" si="10"/>
        <v>0</v>
      </c>
      <c r="X75" s="257"/>
      <c r="Y75" s="261">
        <f t="shared" si="11"/>
        <v>0</v>
      </c>
      <c r="Z75" s="12">
        <f t="shared" si="12"/>
        <v>0</v>
      </c>
      <c r="AB75" s="13">
        <f t="shared" si="8"/>
        <v>193692.23</v>
      </c>
      <c r="AF75" s="13">
        <f t="shared" si="13"/>
        <v>193692.23</v>
      </c>
      <c r="AL75" s="33"/>
      <c r="AM75" s="12">
        <f t="shared" si="14"/>
        <v>0</v>
      </c>
      <c r="AN75" s="13">
        <f t="shared" si="15"/>
        <v>193692.23</v>
      </c>
    </row>
    <row r="76" spans="1:40" x14ac:dyDescent="0.25">
      <c r="A76">
        <v>71</v>
      </c>
      <c r="B76" t="s">
        <v>103</v>
      </c>
      <c r="C76" t="s">
        <v>18</v>
      </c>
      <c r="D76" t="s">
        <v>20</v>
      </c>
      <c r="F76" s="514">
        <f>+'29'!F76+'30'!F76+'31'!F76</f>
        <v>57</v>
      </c>
      <c r="G76" s="12">
        <f>+'29'!G76+'30'!G76+'31'!G76</f>
        <v>1602835.85</v>
      </c>
      <c r="H76" s="12">
        <f>+'29'!H76+'30'!H76+'31'!H76</f>
        <v>1710</v>
      </c>
      <c r="I76" s="271"/>
      <c r="J76" s="514">
        <f>+'29'!J76+'30'!J76+'31'!J76</f>
        <v>0</v>
      </c>
      <c r="K76" s="12">
        <f>+'29'!K76+'30'!K76+'31'!K76</f>
        <v>0</v>
      </c>
      <c r="L76" s="12">
        <f>+'29'!L76+'30'!L76+'31'!L76</f>
        <v>0</v>
      </c>
      <c r="M76" s="271"/>
      <c r="N76" s="514">
        <f>+'29'!N76+'30'!N76+'31'!N76</f>
        <v>57</v>
      </c>
      <c r="O76" s="12">
        <f>+'29'!O76+'30'!O76+'31'!O76</f>
        <v>1602835.85</v>
      </c>
      <c r="P76" s="12">
        <f>+'29'!P76+'30'!P76+'31'!P76</f>
        <v>1710</v>
      </c>
      <c r="Q76" s="532"/>
      <c r="R76" s="270">
        <v>57</v>
      </c>
      <c r="S76" s="12">
        <v>1601125.85</v>
      </c>
      <c r="T76" s="12">
        <v>1710</v>
      </c>
      <c r="U76" s="271"/>
      <c r="V76" s="533">
        <f t="shared" si="9"/>
        <v>0</v>
      </c>
      <c r="W76" s="533">
        <f t="shared" si="10"/>
        <v>1710</v>
      </c>
      <c r="X76" s="257"/>
      <c r="Y76" s="261">
        <f t="shared" si="11"/>
        <v>0</v>
      </c>
      <c r="Z76" s="12">
        <f t="shared" si="12"/>
        <v>1710</v>
      </c>
      <c r="AB76" s="13">
        <f t="shared" si="8"/>
        <v>1602835.85</v>
      </c>
      <c r="AF76" s="13">
        <f t="shared" si="13"/>
        <v>1602835.85</v>
      </c>
      <c r="AM76" s="12">
        <f t="shared" si="14"/>
        <v>0</v>
      </c>
      <c r="AN76" s="13">
        <f t="shared" si="15"/>
        <v>1602835.85</v>
      </c>
    </row>
    <row r="77" spans="1:40" x14ac:dyDescent="0.25">
      <c r="A77">
        <v>72</v>
      </c>
      <c r="B77" t="s">
        <v>104</v>
      </c>
      <c r="C77" t="s">
        <v>18</v>
      </c>
      <c r="D77" t="s">
        <v>20</v>
      </c>
      <c r="F77" s="514">
        <f>+'29'!F77+'30'!F77+'31'!F77</f>
        <v>0</v>
      </c>
      <c r="G77" s="12">
        <f>+'29'!G77+'30'!G77+'31'!G77</f>
        <v>0</v>
      </c>
      <c r="H77" s="12">
        <f>+'29'!H77+'30'!H77+'31'!H77</f>
        <v>0</v>
      </c>
      <c r="I77" s="271"/>
      <c r="J77" s="514">
        <f>+'29'!J77+'30'!J77+'31'!J77</f>
        <v>0</v>
      </c>
      <c r="K77" s="12">
        <f>+'29'!K77+'30'!K77+'31'!K77</f>
        <v>0</v>
      </c>
      <c r="L77" s="12">
        <f>+'29'!L77+'30'!L77+'31'!L77</f>
        <v>0</v>
      </c>
      <c r="M77" s="271"/>
      <c r="N77" s="514">
        <f>+'29'!N77+'30'!N77+'31'!N77</f>
        <v>0</v>
      </c>
      <c r="O77" s="12">
        <f>+'29'!O77+'30'!O77+'31'!O77</f>
        <v>0</v>
      </c>
      <c r="P77" s="12">
        <f>+'29'!P77+'30'!P77+'31'!P77</f>
        <v>0</v>
      </c>
      <c r="Q77" s="532"/>
      <c r="R77" s="270">
        <v>0</v>
      </c>
      <c r="S77" s="12">
        <v>0</v>
      </c>
      <c r="T77" s="12">
        <v>0</v>
      </c>
      <c r="U77" s="271"/>
      <c r="V77" s="533">
        <f t="shared" si="9"/>
        <v>0</v>
      </c>
      <c r="W77" s="533">
        <f t="shared" si="10"/>
        <v>0</v>
      </c>
      <c r="X77" s="257"/>
      <c r="Y77" s="261">
        <f t="shared" si="11"/>
        <v>0</v>
      </c>
      <c r="Z77" s="12">
        <f t="shared" si="12"/>
        <v>0</v>
      </c>
      <c r="AB77" s="13">
        <f t="shared" si="8"/>
        <v>0</v>
      </c>
      <c r="AF77" s="13">
        <f t="shared" si="13"/>
        <v>0</v>
      </c>
      <c r="AM77" s="12">
        <f t="shared" si="14"/>
        <v>0</v>
      </c>
      <c r="AN77" s="13">
        <f t="shared" si="15"/>
        <v>0</v>
      </c>
    </row>
    <row r="78" spans="1:40" x14ac:dyDescent="0.25">
      <c r="A78">
        <v>73</v>
      </c>
      <c r="B78" t="s">
        <v>105</v>
      </c>
      <c r="C78" t="s">
        <v>24</v>
      </c>
      <c r="D78" t="s">
        <v>20</v>
      </c>
      <c r="F78" s="514">
        <f>+'29'!F78+'30'!F78+'31'!F78</f>
        <v>90</v>
      </c>
      <c r="G78" s="12">
        <f>+'29'!G78+'30'!G78+'31'!G78</f>
        <v>675734</v>
      </c>
      <c r="H78" s="12">
        <f>+'29'!H78+'30'!H78+'31'!H78</f>
        <v>2700</v>
      </c>
      <c r="I78" s="271"/>
      <c r="J78" s="514">
        <f>+'29'!J78+'30'!J78+'31'!J78</f>
        <v>0</v>
      </c>
      <c r="K78" s="12">
        <f>+'29'!K78+'30'!K78+'31'!K78</f>
        <v>0</v>
      </c>
      <c r="L78" s="12">
        <f>+'29'!L78+'30'!L78+'31'!L78</f>
        <v>0</v>
      </c>
      <c r="M78" s="271"/>
      <c r="N78" s="514">
        <f>+'29'!N78+'30'!N78+'31'!N78</f>
        <v>90</v>
      </c>
      <c r="O78" s="12">
        <f>+'29'!O78+'30'!O78+'31'!O78</f>
        <v>675734</v>
      </c>
      <c r="P78" s="12">
        <f>+'29'!P78+'30'!P78+'31'!P78</f>
        <v>2700</v>
      </c>
      <c r="Q78" s="532"/>
      <c r="R78" s="270">
        <v>90</v>
      </c>
      <c r="S78" s="12">
        <v>673034</v>
      </c>
      <c r="T78" s="12">
        <v>2700</v>
      </c>
      <c r="U78" s="271"/>
      <c r="V78" s="533">
        <f t="shared" si="9"/>
        <v>0</v>
      </c>
      <c r="W78" s="533">
        <f t="shared" si="10"/>
        <v>2700</v>
      </c>
      <c r="X78" s="257"/>
      <c r="Y78" s="261">
        <f t="shared" si="11"/>
        <v>0</v>
      </c>
      <c r="Z78" s="12">
        <f t="shared" si="12"/>
        <v>2700</v>
      </c>
      <c r="AB78" s="13">
        <f t="shared" si="8"/>
        <v>675734</v>
      </c>
      <c r="AF78" s="13">
        <f t="shared" si="13"/>
        <v>675734</v>
      </c>
      <c r="AM78" s="12">
        <f t="shared" si="14"/>
        <v>0</v>
      </c>
      <c r="AN78" s="13">
        <f t="shared" si="15"/>
        <v>675734</v>
      </c>
    </row>
    <row r="79" spans="1:40" x14ac:dyDescent="0.25">
      <c r="A79">
        <v>74</v>
      </c>
      <c r="B79" t="s">
        <v>106</v>
      </c>
      <c r="C79" t="s">
        <v>18</v>
      </c>
      <c r="D79" t="s">
        <v>16</v>
      </c>
      <c r="F79" s="514">
        <f>+'29'!F79+'30'!F79+'31'!F79</f>
        <v>88</v>
      </c>
      <c r="G79" s="12">
        <f>+'29'!G79+'30'!G79+'31'!G79</f>
        <v>929417</v>
      </c>
      <c r="H79" s="12">
        <f>+'29'!H79+'30'!H79+'31'!H79</f>
        <v>3520</v>
      </c>
      <c r="I79" s="271"/>
      <c r="J79" s="514">
        <f>+'29'!J79+'30'!J79+'31'!J79</f>
        <v>0</v>
      </c>
      <c r="K79" s="12">
        <f>+'29'!K79+'30'!K79+'31'!K79</f>
        <v>0</v>
      </c>
      <c r="L79" s="12">
        <f>+'29'!L79+'30'!L79+'31'!L79</f>
        <v>0</v>
      </c>
      <c r="M79" s="271"/>
      <c r="N79" s="514">
        <f>+'29'!N79+'30'!N79+'31'!N79</f>
        <v>88</v>
      </c>
      <c r="O79" s="12">
        <f>+'29'!O79+'30'!O79+'31'!O79</f>
        <v>929417</v>
      </c>
      <c r="P79" s="12">
        <f>+'29'!P79+'30'!P79+'31'!P79</f>
        <v>3520</v>
      </c>
      <c r="Q79" s="532"/>
      <c r="R79" s="270">
        <v>88</v>
      </c>
      <c r="S79" s="12">
        <v>929417</v>
      </c>
      <c r="T79" s="12">
        <v>0</v>
      </c>
      <c r="U79" s="271"/>
      <c r="V79" s="533">
        <f t="shared" si="9"/>
        <v>0</v>
      </c>
      <c r="W79" s="533">
        <f t="shared" si="10"/>
        <v>0</v>
      </c>
      <c r="X79" s="257"/>
      <c r="Y79" s="261">
        <f t="shared" si="11"/>
        <v>0</v>
      </c>
      <c r="Z79" s="12">
        <f t="shared" si="12"/>
        <v>0</v>
      </c>
      <c r="AB79" s="13">
        <f t="shared" si="8"/>
        <v>929417</v>
      </c>
      <c r="AF79" s="13">
        <f t="shared" si="13"/>
        <v>929417</v>
      </c>
      <c r="AM79" s="12">
        <f t="shared" si="14"/>
        <v>0</v>
      </c>
      <c r="AN79" s="13">
        <f t="shared" si="15"/>
        <v>929417</v>
      </c>
    </row>
    <row r="80" spans="1:40" x14ac:dyDescent="0.25">
      <c r="A80">
        <v>75</v>
      </c>
      <c r="B80" t="s">
        <v>107</v>
      </c>
      <c r="C80" t="s">
        <v>108</v>
      </c>
      <c r="D80" t="s">
        <v>16</v>
      </c>
      <c r="F80" s="514">
        <f>+'29'!F80+'30'!F80+'31'!F80</f>
        <v>0</v>
      </c>
      <c r="G80" s="12">
        <f>+'29'!G80+'30'!G80+'31'!G80</f>
        <v>0</v>
      </c>
      <c r="H80" s="12">
        <f>+'29'!H80+'30'!H80+'31'!H80</f>
        <v>0</v>
      </c>
      <c r="I80" s="271"/>
      <c r="J80" s="514">
        <f>+'29'!J80+'30'!J80+'31'!J80</f>
        <v>0</v>
      </c>
      <c r="K80" s="12">
        <f>+'29'!K80+'30'!K80+'31'!K80</f>
        <v>0</v>
      </c>
      <c r="L80" s="12">
        <f>+'29'!L80+'30'!L80+'31'!L80</f>
        <v>0</v>
      </c>
      <c r="M80" s="271"/>
      <c r="N80" s="514">
        <f>+'29'!N80+'30'!N80+'31'!N80</f>
        <v>0</v>
      </c>
      <c r="O80" s="12">
        <f>+'29'!O80+'30'!O80+'31'!O80</f>
        <v>0</v>
      </c>
      <c r="P80" s="12">
        <f>+'29'!P80+'30'!P80+'31'!P80</f>
        <v>0</v>
      </c>
      <c r="Q80" s="532"/>
      <c r="R80" s="270">
        <v>0</v>
      </c>
      <c r="S80" s="12">
        <v>0</v>
      </c>
      <c r="T80" s="12">
        <v>0</v>
      </c>
      <c r="U80" s="271"/>
      <c r="V80" s="533">
        <f t="shared" si="9"/>
        <v>0</v>
      </c>
      <c r="W80" s="533">
        <f t="shared" si="10"/>
        <v>0</v>
      </c>
      <c r="X80" s="257"/>
      <c r="Y80" s="261">
        <f t="shared" si="11"/>
        <v>0</v>
      </c>
      <c r="Z80" s="12">
        <f t="shared" si="12"/>
        <v>0</v>
      </c>
      <c r="AB80" s="13">
        <f t="shared" si="8"/>
        <v>0</v>
      </c>
      <c r="AF80" s="13">
        <f t="shared" si="13"/>
        <v>0</v>
      </c>
      <c r="AM80" s="12">
        <f t="shared" si="14"/>
        <v>0</v>
      </c>
      <c r="AN80" s="13">
        <f t="shared" si="15"/>
        <v>0</v>
      </c>
    </row>
    <row r="81" spans="1:40" x14ac:dyDescent="0.25">
      <c r="A81">
        <v>76</v>
      </c>
      <c r="B81" t="s">
        <v>109</v>
      </c>
      <c r="C81" t="s">
        <v>25</v>
      </c>
      <c r="D81" t="s">
        <v>16</v>
      </c>
      <c r="F81" s="514">
        <f>+'29'!F81+'30'!F81+'31'!F81</f>
        <v>12</v>
      </c>
      <c r="G81" s="12">
        <f>+'29'!G81+'30'!G81+'31'!G81</f>
        <v>15953</v>
      </c>
      <c r="H81" s="12">
        <f>+'29'!H81+'30'!H81+'31'!H81</f>
        <v>120</v>
      </c>
      <c r="I81" s="271"/>
      <c r="J81" s="514">
        <f>+'29'!J81+'30'!J81+'31'!J81</f>
        <v>0</v>
      </c>
      <c r="K81" s="12">
        <f>+'29'!K81+'30'!K81+'31'!K81</f>
        <v>0</v>
      </c>
      <c r="L81" s="12">
        <f>+'29'!L81+'30'!L81+'31'!L81</f>
        <v>0</v>
      </c>
      <c r="M81" s="271"/>
      <c r="N81" s="514">
        <f>+'29'!N81+'30'!N81+'31'!N81</f>
        <v>12</v>
      </c>
      <c r="O81" s="12">
        <f>+'29'!O81+'30'!O81+'31'!O81</f>
        <v>15953</v>
      </c>
      <c r="P81" s="12">
        <f>+'29'!P81+'30'!P81+'31'!P81</f>
        <v>120</v>
      </c>
      <c r="Q81" s="532"/>
      <c r="R81" s="270">
        <v>12</v>
      </c>
      <c r="S81" s="12">
        <v>15953</v>
      </c>
      <c r="T81" s="12">
        <v>0</v>
      </c>
      <c r="U81" s="271"/>
      <c r="V81" s="533">
        <f t="shared" si="9"/>
        <v>0</v>
      </c>
      <c r="W81" s="533">
        <f t="shared" si="10"/>
        <v>0</v>
      </c>
      <c r="X81" s="257"/>
      <c r="Y81" s="261">
        <f t="shared" si="11"/>
        <v>0</v>
      </c>
      <c r="Z81" s="12">
        <f t="shared" si="12"/>
        <v>0</v>
      </c>
      <c r="AB81" s="13">
        <f t="shared" si="8"/>
        <v>15953</v>
      </c>
      <c r="AF81" s="13">
        <f t="shared" si="13"/>
        <v>15953</v>
      </c>
      <c r="AM81" s="12">
        <f t="shared" si="14"/>
        <v>0</v>
      </c>
      <c r="AN81" s="13">
        <f t="shared" si="15"/>
        <v>15953</v>
      </c>
    </row>
    <row r="82" spans="1:40" x14ac:dyDescent="0.25">
      <c r="A82">
        <v>77</v>
      </c>
      <c r="B82" t="s">
        <v>110</v>
      </c>
      <c r="C82" t="s">
        <v>25</v>
      </c>
      <c r="D82" t="s">
        <v>45</v>
      </c>
      <c r="F82" s="514">
        <f>+'29'!F82+'30'!F82+'31'!F82</f>
        <v>0</v>
      </c>
      <c r="G82" s="12">
        <f>+'29'!G82+'30'!G82+'31'!G82</f>
        <v>0</v>
      </c>
      <c r="H82" s="12">
        <f>+'29'!H82+'30'!H82+'31'!H82</f>
        <v>0</v>
      </c>
      <c r="I82" s="271"/>
      <c r="J82" s="514">
        <f>+'29'!J82+'30'!J82+'31'!J82</f>
        <v>0</v>
      </c>
      <c r="K82" s="12">
        <f>+'29'!K82+'30'!K82+'31'!K82</f>
        <v>0</v>
      </c>
      <c r="L82" s="12">
        <f>+'29'!L82+'30'!L82+'31'!L82</f>
        <v>0</v>
      </c>
      <c r="M82" s="271"/>
      <c r="N82" s="514">
        <f>+'29'!N82+'30'!N82+'31'!N82</f>
        <v>0</v>
      </c>
      <c r="O82" s="12">
        <f>+'29'!O82+'30'!O82+'31'!O82</f>
        <v>0</v>
      </c>
      <c r="P82" s="12">
        <f>+'29'!P82+'30'!P82+'31'!P82</f>
        <v>0</v>
      </c>
      <c r="Q82" s="532"/>
      <c r="R82" s="270">
        <v>0</v>
      </c>
      <c r="S82" s="12">
        <v>0</v>
      </c>
      <c r="T82" s="12">
        <v>0</v>
      </c>
      <c r="U82" s="271"/>
      <c r="V82" s="533">
        <f t="shared" si="9"/>
        <v>0</v>
      </c>
      <c r="W82" s="533">
        <f t="shared" si="10"/>
        <v>0</v>
      </c>
      <c r="X82" s="257"/>
      <c r="Y82" s="261">
        <f t="shared" si="11"/>
        <v>0</v>
      </c>
      <c r="Z82" s="12">
        <f t="shared" si="12"/>
        <v>0</v>
      </c>
      <c r="AB82" s="13">
        <f t="shared" si="8"/>
        <v>0</v>
      </c>
      <c r="AF82" s="13">
        <f t="shared" si="13"/>
        <v>0</v>
      </c>
      <c r="AM82" s="12">
        <f t="shared" si="14"/>
        <v>0</v>
      </c>
      <c r="AN82" s="13">
        <f t="shared" si="15"/>
        <v>0</v>
      </c>
    </row>
    <row r="83" spans="1:40" x14ac:dyDescent="0.25">
      <c r="A83">
        <v>78</v>
      </c>
      <c r="B83" t="s">
        <v>111</v>
      </c>
      <c r="C83" t="s">
        <v>98</v>
      </c>
      <c r="D83" t="s">
        <v>43</v>
      </c>
      <c r="F83" s="514">
        <f>+'29'!F83+'30'!F83+'31'!F83</f>
        <v>0</v>
      </c>
      <c r="G83" s="12">
        <f>+'29'!G83+'30'!G83+'31'!G83</f>
        <v>0</v>
      </c>
      <c r="H83" s="12">
        <f>+'29'!H83+'30'!H83+'31'!H83</f>
        <v>0</v>
      </c>
      <c r="I83" s="271"/>
      <c r="J83" s="514">
        <f>+'29'!J83+'30'!J83+'31'!J83</f>
        <v>0</v>
      </c>
      <c r="K83" s="12">
        <f>+'29'!K83+'30'!K83+'31'!K83</f>
        <v>0</v>
      </c>
      <c r="L83" s="12">
        <f>+'29'!L83+'30'!L83+'31'!L83</f>
        <v>0</v>
      </c>
      <c r="M83" s="271"/>
      <c r="N83" s="514">
        <f>+'29'!N83+'30'!N83+'31'!N83</f>
        <v>0</v>
      </c>
      <c r="O83" s="12">
        <f>+'29'!O83+'30'!O83+'31'!O83</f>
        <v>0</v>
      </c>
      <c r="P83" s="12">
        <f>+'29'!P83+'30'!P83+'31'!P83</f>
        <v>0</v>
      </c>
      <c r="Q83" s="532"/>
      <c r="R83" s="270">
        <v>0</v>
      </c>
      <c r="S83" s="12">
        <v>0</v>
      </c>
      <c r="T83" s="12">
        <v>0</v>
      </c>
      <c r="U83" s="271"/>
      <c r="V83" s="533">
        <f t="shared" si="9"/>
        <v>0</v>
      </c>
      <c r="W83" s="533">
        <f t="shared" si="10"/>
        <v>0</v>
      </c>
      <c r="X83" s="257"/>
      <c r="Y83" s="261">
        <f t="shared" si="11"/>
        <v>0</v>
      </c>
      <c r="Z83" s="12">
        <f t="shared" si="12"/>
        <v>0</v>
      </c>
      <c r="AB83" s="13">
        <f t="shared" si="8"/>
        <v>0</v>
      </c>
      <c r="AF83" s="13">
        <f t="shared" si="13"/>
        <v>0</v>
      </c>
      <c r="AM83" s="12">
        <f t="shared" si="14"/>
        <v>0</v>
      </c>
      <c r="AN83" s="13">
        <f t="shared" si="15"/>
        <v>0</v>
      </c>
    </row>
    <row r="84" spans="1:40" x14ac:dyDescent="0.25">
      <c r="A84">
        <v>79</v>
      </c>
      <c r="B84" t="s">
        <v>113</v>
      </c>
      <c r="C84" t="s">
        <v>98</v>
      </c>
      <c r="D84" t="s">
        <v>43</v>
      </c>
      <c r="F84" s="514">
        <f>+'29'!F84+'30'!F84+'31'!F84</f>
        <v>35</v>
      </c>
      <c r="G84" s="12">
        <f>+'29'!G84+'30'!G84+'31'!G84</f>
        <v>27004.52</v>
      </c>
      <c r="H84" s="12">
        <f>+'29'!H84+'30'!H84+'31'!H84</f>
        <v>350</v>
      </c>
      <c r="I84" s="271"/>
      <c r="J84" s="514">
        <f>+'29'!J84+'30'!J84+'31'!J84</f>
        <v>0</v>
      </c>
      <c r="K84" s="12">
        <f>+'29'!K84+'30'!K84+'31'!K84</f>
        <v>0</v>
      </c>
      <c r="L84" s="12">
        <f>+'29'!L84+'30'!L84+'31'!L84</f>
        <v>0</v>
      </c>
      <c r="M84" s="271"/>
      <c r="N84" s="514">
        <f>+'29'!N84+'30'!N84+'31'!N84</f>
        <v>35</v>
      </c>
      <c r="O84" s="12">
        <f>+'29'!O84+'30'!O84+'31'!O84</f>
        <v>27004.52</v>
      </c>
      <c r="P84" s="12">
        <f>+'29'!P84+'30'!P84+'31'!P84</f>
        <v>350</v>
      </c>
      <c r="Q84" s="532"/>
      <c r="R84" s="270">
        <v>35</v>
      </c>
      <c r="S84" s="12">
        <v>27004.52</v>
      </c>
      <c r="T84" s="12">
        <v>0</v>
      </c>
      <c r="U84" s="271"/>
      <c r="V84" s="533">
        <f t="shared" si="9"/>
        <v>0</v>
      </c>
      <c r="W84" s="533">
        <f t="shared" si="10"/>
        <v>0</v>
      </c>
      <c r="X84" s="257"/>
      <c r="Y84" s="261">
        <f t="shared" si="11"/>
        <v>0</v>
      </c>
      <c r="Z84" s="12">
        <f t="shared" si="12"/>
        <v>0</v>
      </c>
      <c r="AB84" s="13">
        <f t="shared" si="8"/>
        <v>27004.52</v>
      </c>
      <c r="AF84" s="13">
        <f t="shared" si="13"/>
        <v>27004.52</v>
      </c>
      <c r="AM84" s="12">
        <f t="shared" si="14"/>
        <v>0</v>
      </c>
      <c r="AN84" s="13">
        <f t="shared" si="15"/>
        <v>27004.52</v>
      </c>
    </row>
    <row r="85" spans="1:40" x14ac:dyDescent="0.25">
      <c r="A85">
        <v>80</v>
      </c>
      <c r="B85" t="s">
        <v>114</v>
      </c>
      <c r="C85" t="s">
        <v>18</v>
      </c>
      <c r="D85" t="s">
        <v>45</v>
      </c>
      <c r="F85" s="514">
        <f>+'29'!F85+'30'!F85+'31'!F85</f>
        <v>98</v>
      </c>
      <c r="G85" s="12">
        <f>+'29'!G85+'30'!G85+'31'!G85</f>
        <v>98136.35</v>
      </c>
      <c r="H85" s="12">
        <f>+'29'!H85+'30'!H85+'31'!H85</f>
        <v>686</v>
      </c>
      <c r="I85" s="271"/>
      <c r="J85" s="514">
        <f>+'29'!J85+'30'!J85+'31'!J85</f>
        <v>0</v>
      </c>
      <c r="K85" s="12">
        <f>+'29'!K85+'30'!K85+'31'!K85</f>
        <v>0</v>
      </c>
      <c r="L85" s="12">
        <f>+'29'!L85+'30'!L85+'31'!L85</f>
        <v>0</v>
      </c>
      <c r="M85" s="271"/>
      <c r="N85" s="514">
        <f>+'29'!N85+'30'!N85+'31'!N85</f>
        <v>98</v>
      </c>
      <c r="O85" s="12">
        <f>+'29'!O85+'30'!O85+'31'!O85</f>
        <v>98136.35</v>
      </c>
      <c r="P85" s="12">
        <f>+'29'!P85+'30'!P85+'31'!P85</f>
        <v>686</v>
      </c>
      <c r="Q85" s="532"/>
      <c r="R85" s="270">
        <v>98</v>
      </c>
      <c r="S85" s="12">
        <v>98136.35</v>
      </c>
      <c r="T85" s="12">
        <v>0</v>
      </c>
      <c r="U85" s="271"/>
      <c r="V85" s="533">
        <f t="shared" si="9"/>
        <v>0</v>
      </c>
      <c r="W85" s="533">
        <f t="shared" si="10"/>
        <v>0</v>
      </c>
      <c r="X85" s="257"/>
      <c r="Y85" s="261">
        <f t="shared" si="11"/>
        <v>0</v>
      </c>
      <c r="Z85" s="12">
        <f t="shared" si="12"/>
        <v>0</v>
      </c>
      <c r="AB85" s="13">
        <f t="shared" si="8"/>
        <v>98136.35</v>
      </c>
      <c r="AF85" s="13">
        <f t="shared" si="13"/>
        <v>98136.35</v>
      </c>
      <c r="AM85" s="12">
        <f t="shared" si="14"/>
        <v>0</v>
      </c>
      <c r="AN85" s="13">
        <f t="shared" si="15"/>
        <v>98136.35</v>
      </c>
    </row>
    <row r="86" spans="1:40" x14ac:dyDescent="0.25">
      <c r="A86">
        <v>81</v>
      </c>
      <c r="B86" t="s">
        <v>2992</v>
      </c>
      <c r="C86" t="s">
        <v>135</v>
      </c>
      <c r="D86" t="s">
        <v>16</v>
      </c>
      <c r="F86" s="514">
        <f>+'29'!F86+'30'!F86+'31'!F86</f>
        <v>0</v>
      </c>
      <c r="G86" s="12">
        <f>+'29'!G86+'30'!G86+'31'!G86</f>
        <v>0</v>
      </c>
      <c r="H86" s="12">
        <f>+'29'!H86+'30'!H86+'31'!H86</f>
        <v>0</v>
      </c>
      <c r="I86" s="271"/>
      <c r="J86" s="514">
        <f>+'29'!J86+'30'!J86+'31'!J86</f>
        <v>0</v>
      </c>
      <c r="K86" s="12">
        <f>+'29'!K86+'30'!K86+'31'!K86</f>
        <v>0</v>
      </c>
      <c r="L86" s="12">
        <f>+'29'!L86+'30'!L86+'31'!L86</f>
        <v>0</v>
      </c>
      <c r="M86" s="271"/>
      <c r="N86" s="514">
        <f>+'29'!N86+'30'!N86+'31'!N86</f>
        <v>0</v>
      </c>
      <c r="O86" s="12">
        <f>+'29'!O86+'30'!O86+'31'!O86</f>
        <v>0</v>
      </c>
      <c r="P86" s="12">
        <f>+'29'!P86+'30'!P86+'31'!P86</f>
        <v>0</v>
      </c>
      <c r="Q86" s="532"/>
      <c r="R86" s="270">
        <v>0</v>
      </c>
      <c r="S86" s="12">
        <v>0</v>
      </c>
      <c r="T86" s="12">
        <v>0</v>
      </c>
      <c r="U86" s="271"/>
      <c r="V86" s="533">
        <f t="shared" si="9"/>
        <v>0</v>
      </c>
      <c r="W86" s="533">
        <f t="shared" si="10"/>
        <v>0</v>
      </c>
      <c r="X86" s="257"/>
      <c r="Y86" s="261">
        <f t="shared" si="11"/>
        <v>0</v>
      </c>
      <c r="Z86" s="12">
        <f t="shared" si="12"/>
        <v>0</v>
      </c>
      <c r="AB86" s="13">
        <f t="shared" si="8"/>
        <v>0</v>
      </c>
      <c r="AF86" s="13">
        <f t="shared" si="13"/>
        <v>0</v>
      </c>
      <c r="AM86" s="12">
        <f t="shared" si="14"/>
        <v>0</v>
      </c>
      <c r="AN86" s="13">
        <f t="shared" si="15"/>
        <v>0</v>
      </c>
    </row>
    <row r="87" spans="1:40" x14ac:dyDescent="0.25">
      <c r="A87">
        <v>82</v>
      </c>
      <c r="B87" t="s">
        <v>115</v>
      </c>
      <c r="C87" t="s">
        <v>41</v>
      </c>
      <c r="D87" t="s">
        <v>16</v>
      </c>
      <c r="F87" s="514">
        <f>+'29'!F87+'30'!F87+'31'!F87</f>
        <v>0</v>
      </c>
      <c r="G87" s="12">
        <f>+'29'!G87+'30'!G87+'31'!G87</f>
        <v>0</v>
      </c>
      <c r="H87" s="12">
        <f>+'29'!H87+'30'!H87+'31'!H87</f>
        <v>0</v>
      </c>
      <c r="I87" s="271"/>
      <c r="J87" s="514">
        <f>+'29'!J87+'30'!J87+'31'!J87</f>
        <v>0</v>
      </c>
      <c r="K87" s="12">
        <f>+'29'!K87+'30'!K87+'31'!K87</f>
        <v>0</v>
      </c>
      <c r="L87" s="12">
        <f>+'29'!L87+'30'!L87+'31'!L87</f>
        <v>0</v>
      </c>
      <c r="M87" s="271"/>
      <c r="N87" s="514">
        <f>+'29'!N87+'30'!N87+'31'!N87</f>
        <v>0</v>
      </c>
      <c r="O87" s="12">
        <f>+'29'!O87+'30'!O87+'31'!O87</f>
        <v>0</v>
      </c>
      <c r="P87" s="12">
        <f>+'29'!P87+'30'!P87+'31'!P87</f>
        <v>0</v>
      </c>
      <c r="Q87" s="532"/>
      <c r="R87" s="270">
        <v>0</v>
      </c>
      <c r="S87" s="12">
        <v>0</v>
      </c>
      <c r="T87" s="12">
        <v>0</v>
      </c>
      <c r="U87" s="271"/>
      <c r="V87" s="533">
        <f t="shared" si="9"/>
        <v>0</v>
      </c>
      <c r="W87" s="533">
        <f t="shared" si="10"/>
        <v>0</v>
      </c>
      <c r="X87" s="257"/>
      <c r="Y87" s="261">
        <f t="shared" si="11"/>
        <v>0</v>
      </c>
      <c r="Z87" s="12">
        <f t="shared" si="12"/>
        <v>0</v>
      </c>
      <c r="AB87" s="13">
        <f t="shared" si="8"/>
        <v>0</v>
      </c>
      <c r="AF87" s="13">
        <f t="shared" si="13"/>
        <v>0</v>
      </c>
      <c r="AM87" s="12">
        <f t="shared" si="14"/>
        <v>0</v>
      </c>
      <c r="AN87" s="13">
        <f t="shared" si="15"/>
        <v>0</v>
      </c>
    </row>
    <row r="88" spans="1:40" x14ac:dyDescent="0.25">
      <c r="A88">
        <v>83</v>
      </c>
      <c r="B88" t="s">
        <v>116</v>
      </c>
      <c r="C88" t="s">
        <v>39</v>
      </c>
      <c r="D88" t="s">
        <v>16</v>
      </c>
      <c r="F88" s="514">
        <f>+'29'!F88+'30'!F88+'31'!F88</f>
        <v>6</v>
      </c>
      <c r="G88" s="12">
        <f>+'29'!G88+'30'!G88+'31'!G88</f>
        <v>2528</v>
      </c>
      <c r="H88" s="12">
        <f>+'29'!H88+'30'!H88+'31'!H88</f>
        <v>48</v>
      </c>
      <c r="I88" s="271"/>
      <c r="J88" s="514">
        <f>+'29'!J88+'30'!J88+'31'!J88</f>
        <v>0</v>
      </c>
      <c r="K88" s="12">
        <f>+'29'!K88+'30'!K88+'31'!K88</f>
        <v>0</v>
      </c>
      <c r="L88" s="12">
        <f>+'29'!L88+'30'!L88+'31'!L88</f>
        <v>0</v>
      </c>
      <c r="M88" s="271"/>
      <c r="N88" s="514">
        <f>+'29'!N88+'30'!N88+'31'!N88</f>
        <v>6</v>
      </c>
      <c r="O88" s="12">
        <f>+'29'!O88+'30'!O88+'31'!O88</f>
        <v>2528</v>
      </c>
      <c r="P88" s="12">
        <f>+'29'!P88+'30'!P88+'31'!P88</f>
        <v>48</v>
      </c>
      <c r="Q88" s="532"/>
      <c r="R88" s="270">
        <v>6</v>
      </c>
      <c r="S88" s="12">
        <v>2528</v>
      </c>
      <c r="T88" s="12">
        <v>0</v>
      </c>
      <c r="U88" s="271"/>
      <c r="V88" s="533">
        <f t="shared" si="9"/>
        <v>0</v>
      </c>
      <c r="W88" s="533">
        <f t="shared" si="10"/>
        <v>0</v>
      </c>
      <c r="X88" s="257"/>
      <c r="Y88" s="261">
        <f t="shared" si="11"/>
        <v>0</v>
      </c>
      <c r="Z88" s="12">
        <f t="shared" si="12"/>
        <v>0</v>
      </c>
      <c r="AB88" s="13">
        <f t="shared" si="8"/>
        <v>2528</v>
      </c>
      <c r="AF88" s="13">
        <f t="shared" si="13"/>
        <v>2528</v>
      </c>
      <c r="AM88" s="12">
        <f t="shared" si="14"/>
        <v>0</v>
      </c>
      <c r="AN88" s="13">
        <f t="shared" si="15"/>
        <v>2528</v>
      </c>
    </row>
    <row r="89" spans="1:40" x14ac:dyDescent="0.25">
      <c r="A89">
        <v>84</v>
      </c>
      <c r="B89" t="s">
        <v>117</v>
      </c>
      <c r="C89" t="s">
        <v>25</v>
      </c>
      <c r="D89" t="s">
        <v>20</v>
      </c>
      <c r="F89" s="514">
        <f>+'29'!F89+'30'!F89+'31'!F89</f>
        <v>249</v>
      </c>
      <c r="G89" s="12">
        <f>+'29'!G89+'30'!G89+'31'!G89</f>
        <v>7475787.7400000002</v>
      </c>
      <c r="H89" s="12">
        <f>+'29'!H89+'30'!H89+'31'!H89</f>
        <v>7470</v>
      </c>
      <c r="I89" s="271"/>
      <c r="J89" s="514">
        <f>+'29'!J89+'30'!J89+'31'!J89</f>
        <v>0</v>
      </c>
      <c r="K89" s="12">
        <f>+'29'!K89+'30'!K89+'31'!K89</f>
        <v>0</v>
      </c>
      <c r="L89" s="12">
        <f>+'29'!L89+'30'!L89+'31'!L89</f>
        <v>0</v>
      </c>
      <c r="M89" s="271"/>
      <c r="N89" s="514">
        <f>+'29'!N89+'30'!N89+'31'!N89</f>
        <v>249</v>
      </c>
      <c r="O89" s="12">
        <f>+'29'!O89+'30'!O89+'31'!O89</f>
        <v>7475787.7400000002</v>
      </c>
      <c r="P89" s="12">
        <f>+'29'!P89+'30'!P89+'31'!P89</f>
        <v>7470</v>
      </c>
      <c r="Q89" s="532"/>
      <c r="R89" s="270">
        <v>249</v>
      </c>
      <c r="S89" s="12">
        <v>7468451.1299999999</v>
      </c>
      <c r="T89" s="12">
        <v>7336.61</v>
      </c>
      <c r="U89" s="271"/>
      <c r="V89" s="533">
        <f t="shared" si="9"/>
        <v>0</v>
      </c>
      <c r="W89" s="533">
        <f t="shared" si="10"/>
        <v>7336.6100000003353</v>
      </c>
      <c r="X89" s="257"/>
      <c r="Y89" s="261">
        <f t="shared" si="11"/>
        <v>0</v>
      </c>
      <c r="Z89" s="12">
        <f t="shared" si="12"/>
        <v>7336.6100000003353</v>
      </c>
      <c r="AB89" s="13">
        <f t="shared" si="8"/>
        <v>7475787.7400000002</v>
      </c>
      <c r="AD89" s="16"/>
      <c r="AF89" s="13">
        <f t="shared" si="13"/>
        <v>7475787.7400000002</v>
      </c>
      <c r="AM89" s="12">
        <f t="shared" si="14"/>
        <v>0</v>
      </c>
      <c r="AN89" s="13">
        <f t="shared" si="15"/>
        <v>7475787.7400000002</v>
      </c>
    </row>
    <row r="90" spans="1:40" x14ac:dyDescent="0.25">
      <c r="A90">
        <v>85</v>
      </c>
      <c r="B90" t="s">
        <v>118</v>
      </c>
      <c r="C90" t="s">
        <v>25</v>
      </c>
      <c r="D90" t="s">
        <v>20</v>
      </c>
      <c r="F90" s="514">
        <f>+'29'!F90+'30'!F90+'31'!F90</f>
        <v>47</v>
      </c>
      <c r="G90" s="12">
        <f>+'29'!G90+'30'!G90+'31'!G90</f>
        <v>384380</v>
      </c>
      <c r="H90" s="12">
        <f>+'29'!H90+'30'!H90+'31'!H90</f>
        <v>470</v>
      </c>
      <c r="I90" s="271"/>
      <c r="J90" s="514">
        <f>+'29'!J90+'30'!J90+'31'!J90</f>
        <v>0</v>
      </c>
      <c r="K90" s="12">
        <f>+'29'!K90+'30'!K90+'31'!K90</f>
        <v>0</v>
      </c>
      <c r="L90" s="12">
        <f>+'29'!L90+'30'!L90+'31'!L90</f>
        <v>0</v>
      </c>
      <c r="M90" s="271"/>
      <c r="N90" s="514">
        <f>+'29'!N90+'30'!N90+'31'!N90</f>
        <v>47</v>
      </c>
      <c r="O90" s="12">
        <f>+'29'!O90+'30'!O90+'31'!O90</f>
        <v>384380</v>
      </c>
      <c r="P90" s="12">
        <f>+'29'!P90+'30'!P90+'31'!P90</f>
        <v>470</v>
      </c>
      <c r="Q90" s="532"/>
      <c r="R90" s="270">
        <v>47</v>
      </c>
      <c r="S90" s="12">
        <v>383910</v>
      </c>
      <c r="T90" s="12">
        <v>470</v>
      </c>
      <c r="U90" s="271"/>
      <c r="V90" s="533">
        <f t="shared" si="9"/>
        <v>0</v>
      </c>
      <c r="W90" s="533">
        <f t="shared" si="10"/>
        <v>470</v>
      </c>
      <c r="X90" s="257"/>
      <c r="Y90" s="261">
        <f t="shared" si="11"/>
        <v>0</v>
      </c>
      <c r="Z90" s="12">
        <f t="shared" si="12"/>
        <v>470</v>
      </c>
      <c r="AB90" s="13">
        <f t="shared" si="8"/>
        <v>384380</v>
      </c>
      <c r="AF90" s="13">
        <f t="shared" si="13"/>
        <v>384380</v>
      </c>
      <c r="AM90" s="12">
        <f t="shared" si="14"/>
        <v>0</v>
      </c>
      <c r="AN90" s="13">
        <f t="shared" si="15"/>
        <v>384380</v>
      </c>
    </row>
    <row r="91" spans="1:40" x14ac:dyDescent="0.25">
      <c r="A91">
        <v>86</v>
      </c>
      <c r="B91" t="s">
        <v>119</v>
      </c>
      <c r="C91" t="s">
        <v>25</v>
      </c>
      <c r="D91" t="s">
        <v>20</v>
      </c>
      <c r="F91" s="514">
        <f>+'29'!F91+'30'!F91+'31'!F91</f>
        <v>0</v>
      </c>
      <c r="G91" s="12">
        <f>+'29'!G91+'30'!G91+'31'!G91</f>
        <v>0</v>
      </c>
      <c r="H91" s="12">
        <f>+'29'!H91+'30'!H91+'31'!H91</f>
        <v>0</v>
      </c>
      <c r="I91" s="271"/>
      <c r="J91" s="514">
        <f>+'29'!J91+'30'!J91+'31'!J91</f>
        <v>0</v>
      </c>
      <c r="K91" s="12">
        <f>+'29'!K91+'30'!K91+'31'!K91</f>
        <v>0</v>
      </c>
      <c r="L91" s="12">
        <f>+'29'!L91+'30'!L91+'31'!L91</f>
        <v>0</v>
      </c>
      <c r="M91" s="271"/>
      <c r="N91" s="514">
        <f>+'29'!N91+'30'!N91+'31'!N91</f>
        <v>0</v>
      </c>
      <c r="O91" s="12">
        <f>+'29'!O91+'30'!O91+'31'!O91</f>
        <v>0</v>
      </c>
      <c r="P91" s="12">
        <f>+'29'!P91+'30'!P91+'31'!P91</f>
        <v>0</v>
      </c>
      <c r="Q91" s="532"/>
      <c r="R91" s="270">
        <v>0</v>
      </c>
      <c r="S91" s="12">
        <v>0</v>
      </c>
      <c r="T91" s="12">
        <v>0</v>
      </c>
      <c r="U91" s="271"/>
      <c r="V91" s="533">
        <f t="shared" si="9"/>
        <v>0</v>
      </c>
      <c r="W91" s="533">
        <f t="shared" si="10"/>
        <v>0</v>
      </c>
      <c r="X91" s="257"/>
      <c r="Y91" s="261">
        <f t="shared" si="11"/>
        <v>0</v>
      </c>
      <c r="Z91" s="12">
        <f t="shared" si="12"/>
        <v>0</v>
      </c>
      <c r="AB91" s="13">
        <f t="shared" si="8"/>
        <v>0</v>
      </c>
      <c r="AF91" s="13">
        <f t="shared" si="13"/>
        <v>0</v>
      </c>
      <c r="AM91" s="12">
        <f t="shared" si="14"/>
        <v>0</v>
      </c>
      <c r="AN91" s="13">
        <f t="shared" si="15"/>
        <v>0</v>
      </c>
    </row>
    <row r="92" spans="1:40" x14ac:dyDescent="0.25">
      <c r="A92">
        <v>87</v>
      </c>
      <c r="B92" t="s">
        <v>120</v>
      </c>
      <c r="C92" t="s">
        <v>39</v>
      </c>
      <c r="D92" t="s">
        <v>16</v>
      </c>
      <c r="F92" s="514">
        <f>+'29'!F92+'30'!F92+'31'!F92</f>
        <v>38</v>
      </c>
      <c r="G92" s="12">
        <f>+'29'!G92+'30'!G92+'31'!G92</f>
        <v>31700.780000000002</v>
      </c>
      <c r="H92" s="12">
        <f>+'29'!H92+'30'!H92+'31'!H92</f>
        <v>380</v>
      </c>
      <c r="I92" s="271"/>
      <c r="J92" s="514">
        <f>+'29'!J92+'30'!J92+'31'!J92</f>
        <v>0</v>
      </c>
      <c r="K92" s="12">
        <f>+'29'!K92+'30'!K92+'31'!K92</f>
        <v>0</v>
      </c>
      <c r="L92" s="12">
        <f>+'29'!L92+'30'!L92+'31'!L92</f>
        <v>0</v>
      </c>
      <c r="M92" s="271"/>
      <c r="N92" s="514">
        <f>+'29'!N92+'30'!N92+'31'!N92</f>
        <v>38</v>
      </c>
      <c r="O92" s="12">
        <f>+'29'!O92+'30'!O92+'31'!O92</f>
        <v>31700.780000000002</v>
      </c>
      <c r="P92" s="12">
        <f>+'29'!P92+'30'!P92+'31'!P92</f>
        <v>380</v>
      </c>
      <c r="Q92" s="532"/>
      <c r="R92" s="270">
        <v>38</v>
      </c>
      <c r="S92" s="12">
        <v>31700.78</v>
      </c>
      <c r="T92" s="12">
        <v>0</v>
      </c>
      <c r="U92" s="271"/>
      <c r="V92" s="533">
        <f t="shared" si="9"/>
        <v>0</v>
      </c>
      <c r="W92" s="533">
        <f t="shared" si="10"/>
        <v>0</v>
      </c>
      <c r="X92" s="257"/>
      <c r="Y92" s="261">
        <f t="shared" si="11"/>
        <v>0</v>
      </c>
      <c r="Z92" s="12">
        <f t="shared" si="12"/>
        <v>0</v>
      </c>
      <c r="AB92" s="13">
        <f t="shared" si="8"/>
        <v>31700.780000000002</v>
      </c>
      <c r="AD92" s="16"/>
      <c r="AF92" s="13">
        <f t="shared" si="13"/>
        <v>31700.780000000002</v>
      </c>
      <c r="AG92" s="16"/>
      <c r="AM92" s="12">
        <f t="shared" si="14"/>
        <v>0</v>
      </c>
      <c r="AN92" s="13">
        <f t="shared" si="15"/>
        <v>31700.780000000002</v>
      </c>
    </row>
    <row r="93" spans="1:40" x14ac:dyDescent="0.25">
      <c r="A93">
        <v>88</v>
      </c>
      <c r="B93" t="s">
        <v>121</v>
      </c>
      <c r="C93" t="s">
        <v>18</v>
      </c>
      <c r="D93" t="s">
        <v>16</v>
      </c>
      <c r="F93" s="514">
        <f>+'29'!F93+'30'!F93+'31'!F93</f>
        <v>108</v>
      </c>
      <c r="G93" s="12">
        <f>+'29'!G93+'30'!G93+'31'!G93</f>
        <v>134174.91999999998</v>
      </c>
      <c r="H93" s="12">
        <f>+'29'!H93+'30'!H93+'31'!H93</f>
        <v>1080</v>
      </c>
      <c r="I93" s="271"/>
      <c r="J93" s="514">
        <f>+'29'!J93+'30'!J93+'31'!J93</f>
        <v>0</v>
      </c>
      <c r="K93" s="12">
        <f>+'29'!K93+'30'!K93+'31'!K93</f>
        <v>0</v>
      </c>
      <c r="L93" s="12">
        <f>+'29'!L93+'30'!L93+'31'!L93</f>
        <v>0</v>
      </c>
      <c r="M93" s="271"/>
      <c r="N93" s="514">
        <f>+'29'!N93+'30'!N93+'31'!N93</f>
        <v>108</v>
      </c>
      <c r="O93" s="12">
        <f>+'29'!O93+'30'!O93+'31'!O93</f>
        <v>134174.91999999998</v>
      </c>
      <c r="P93" s="12">
        <f>+'29'!P93+'30'!P93+'31'!P93</f>
        <v>1080</v>
      </c>
      <c r="Q93" s="532"/>
      <c r="R93" s="270">
        <v>108</v>
      </c>
      <c r="S93" s="12">
        <v>134174.92000000001</v>
      </c>
      <c r="T93" s="12">
        <v>0</v>
      </c>
      <c r="U93" s="271"/>
      <c r="V93" s="533">
        <f t="shared" si="9"/>
        <v>0</v>
      </c>
      <c r="W93" s="533">
        <f t="shared" si="10"/>
        <v>0</v>
      </c>
      <c r="X93" s="257"/>
      <c r="Y93" s="261">
        <f t="shared" si="11"/>
        <v>0</v>
      </c>
      <c r="Z93" s="12">
        <f t="shared" si="12"/>
        <v>0</v>
      </c>
      <c r="AB93" s="13">
        <f t="shared" si="8"/>
        <v>134174.91999999998</v>
      </c>
      <c r="AD93" s="16"/>
      <c r="AF93" s="13">
        <f t="shared" si="13"/>
        <v>134174.91999999998</v>
      </c>
      <c r="AG93" s="16"/>
      <c r="AM93" s="12">
        <f t="shared" si="14"/>
        <v>0</v>
      </c>
      <c r="AN93" s="13">
        <f t="shared" si="15"/>
        <v>134174.91999999998</v>
      </c>
    </row>
    <row r="94" spans="1:40" x14ac:dyDescent="0.25">
      <c r="A94">
        <v>89</v>
      </c>
      <c r="B94" t="s">
        <v>122</v>
      </c>
      <c r="C94" t="s">
        <v>39</v>
      </c>
      <c r="D94" t="s">
        <v>16</v>
      </c>
      <c r="F94" s="514">
        <f>+'29'!F94+'30'!F94+'31'!F94</f>
        <v>156</v>
      </c>
      <c r="G94" s="12">
        <f>+'29'!G94+'30'!G94+'31'!G94</f>
        <v>226615.81</v>
      </c>
      <c r="H94" s="12">
        <f>+'29'!H94+'30'!H94+'31'!H94</f>
        <v>1248</v>
      </c>
      <c r="I94" s="271"/>
      <c r="J94" s="514">
        <f>+'29'!J94+'30'!J94+'31'!J94</f>
        <v>0</v>
      </c>
      <c r="K94" s="12">
        <f>+'29'!K94+'30'!K94+'31'!K94</f>
        <v>0</v>
      </c>
      <c r="L94" s="12">
        <f>+'29'!L94+'30'!L94+'31'!L94</f>
        <v>0</v>
      </c>
      <c r="M94" s="271"/>
      <c r="N94" s="514">
        <f>+'29'!N94+'30'!N94+'31'!N94</f>
        <v>156</v>
      </c>
      <c r="O94" s="12">
        <f>+'29'!O94+'30'!O94+'31'!O94</f>
        <v>226615.81</v>
      </c>
      <c r="P94" s="12">
        <f>+'29'!P94+'30'!P94+'31'!P94</f>
        <v>1248</v>
      </c>
      <c r="Q94" s="532"/>
      <c r="R94" s="270">
        <v>156</v>
      </c>
      <c r="S94" s="12">
        <v>226615.81</v>
      </c>
      <c r="T94" s="12">
        <v>0</v>
      </c>
      <c r="U94" s="271"/>
      <c r="V94" s="533">
        <f t="shared" si="9"/>
        <v>0</v>
      </c>
      <c r="W94" s="533">
        <f t="shared" si="10"/>
        <v>0</v>
      </c>
      <c r="X94" s="257"/>
      <c r="Y94" s="261">
        <f t="shared" si="11"/>
        <v>0</v>
      </c>
      <c r="Z94" s="12">
        <f t="shared" si="12"/>
        <v>0</v>
      </c>
      <c r="AB94" s="13">
        <f t="shared" si="8"/>
        <v>226615.81</v>
      </c>
      <c r="AF94" s="13">
        <f t="shared" si="13"/>
        <v>226615.81</v>
      </c>
      <c r="AM94" s="12">
        <f t="shared" si="14"/>
        <v>0</v>
      </c>
      <c r="AN94" s="13">
        <f t="shared" si="15"/>
        <v>226615.81</v>
      </c>
    </row>
    <row r="95" spans="1:40" x14ac:dyDescent="0.25">
      <c r="A95">
        <v>90</v>
      </c>
      <c r="B95" t="s">
        <v>123</v>
      </c>
      <c r="C95" t="s">
        <v>18</v>
      </c>
      <c r="D95" t="s">
        <v>16</v>
      </c>
      <c r="F95" s="514">
        <f>+'29'!F95+'30'!F95+'31'!F95</f>
        <v>55</v>
      </c>
      <c r="G95" s="12">
        <f>+'29'!G95+'30'!G95+'31'!G95</f>
        <v>442162</v>
      </c>
      <c r="H95" s="12">
        <f>+'29'!H95+'30'!H95+'31'!H95</f>
        <v>550</v>
      </c>
      <c r="I95" s="271"/>
      <c r="J95" s="514">
        <f>+'29'!J95+'30'!J95+'31'!J95</f>
        <v>0</v>
      </c>
      <c r="K95" s="12">
        <f>+'29'!K95+'30'!K95+'31'!K95</f>
        <v>0</v>
      </c>
      <c r="L95" s="12">
        <f>+'29'!L95+'30'!L95+'31'!L95</f>
        <v>0</v>
      </c>
      <c r="M95" s="271"/>
      <c r="N95" s="514">
        <f>+'29'!N95+'30'!N95+'31'!N95</f>
        <v>55</v>
      </c>
      <c r="O95" s="12">
        <f>+'29'!O95+'30'!O95+'31'!O95</f>
        <v>442162</v>
      </c>
      <c r="P95" s="12">
        <f>+'29'!P95+'30'!P95+'31'!P95</f>
        <v>550</v>
      </c>
      <c r="Q95" s="532"/>
      <c r="R95" s="270">
        <v>55</v>
      </c>
      <c r="S95" s="12">
        <v>442162</v>
      </c>
      <c r="T95" s="12">
        <v>0</v>
      </c>
      <c r="U95" s="271"/>
      <c r="V95" s="533">
        <f t="shared" si="9"/>
        <v>0</v>
      </c>
      <c r="W95" s="533">
        <f t="shared" si="10"/>
        <v>0</v>
      </c>
      <c r="X95" s="257"/>
      <c r="Y95" s="261">
        <f t="shared" si="11"/>
        <v>0</v>
      </c>
      <c r="Z95" s="12">
        <f t="shared" si="12"/>
        <v>0</v>
      </c>
      <c r="AB95" s="13">
        <f t="shared" si="8"/>
        <v>442162</v>
      </c>
      <c r="AF95" s="13">
        <f t="shared" si="13"/>
        <v>442162</v>
      </c>
      <c r="AM95" s="12">
        <f t="shared" si="14"/>
        <v>0</v>
      </c>
      <c r="AN95" s="13">
        <f t="shared" si="15"/>
        <v>442162</v>
      </c>
    </row>
    <row r="96" spans="1:40" x14ac:dyDescent="0.25">
      <c r="A96">
        <v>91</v>
      </c>
      <c r="B96" t="s">
        <v>124</v>
      </c>
      <c r="C96" t="s">
        <v>18</v>
      </c>
      <c r="D96" t="s">
        <v>20</v>
      </c>
      <c r="F96" s="514">
        <f>+'29'!F96+'30'!F96+'31'!F96</f>
        <v>5</v>
      </c>
      <c r="G96" s="12">
        <f>+'29'!G96+'30'!G96+'31'!G96</f>
        <v>5476</v>
      </c>
      <c r="H96" s="12">
        <f>+'29'!H96+'30'!H96+'31'!H96</f>
        <v>50</v>
      </c>
      <c r="I96" s="271"/>
      <c r="J96" s="514">
        <f>+'29'!J96+'30'!J96+'31'!J96</f>
        <v>0</v>
      </c>
      <c r="K96" s="12">
        <f>+'29'!K96+'30'!K96+'31'!K96</f>
        <v>0</v>
      </c>
      <c r="L96" s="12">
        <f>+'29'!L96+'30'!L96+'31'!L96</f>
        <v>0</v>
      </c>
      <c r="M96" s="271"/>
      <c r="N96" s="514">
        <f>+'29'!N96+'30'!N96+'31'!N96</f>
        <v>5</v>
      </c>
      <c r="O96" s="12">
        <f>+'29'!O96+'30'!O96+'31'!O96</f>
        <v>5476</v>
      </c>
      <c r="P96" s="12">
        <f>+'29'!P96+'30'!P96+'31'!P96</f>
        <v>50</v>
      </c>
      <c r="Q96" s="532"/>
      <c r="R96" s="270">
        <v>5</v>
      </c>
      <c r="S96" s="12">
        <v>5426</v>
      </c>
      <c r="T96" s="12">
        <v>50</v>
      </c>
      <c r="U96" s="271"/>
      <c r="V96" s="533">
        <f t="shared" si="9"/>
        <v>0</v>
      </c>
      <c r="W96" s="533">
        <f t="shared" si="10"/>
        <v>50</v>
      </c>
      <c r="X96" s="257"/>
      <c r="Y96" s="261">
        <f t="shared" si="11"/>
        <v>0</v>
      </c>
      <c r="Z96" s="12">
        <f t="shared" si="12"/>
        <v>50</v>
      </c>
      <c r="AB96" s="13">
        <f t="shared" si="8"/>
        <v>5476</v>
      </c>
      <c r="AF96" s="13">
        <f t="shared" si="13"/>
        <v>5476</v>
      </c>
      <c r="AM96" s="12">
        <f t="shared" si="14"/>
        <v>0</v>
      </c>
      <c r="AN96" s="13">
        <f t="shared" si="15"/>
        <v>5476</v>
      </c>
    </row>
    <row r="97" spans="1:40" x14ac:dyDescent="0.25">
      <c r="A97">
        <v>92</v>
      </c>
      <c r="B97" t="s">
        <v>125</v>
      </c>
      <c r="C97" t="s">
        <v>18</v>
      </c>
      <c r="D97" t="s">
        <v>20</v>
      </c>
      <c r="F97" s="514">
        <f>+'29'!F97+'30'!F97+'31'!F97</f>
        <v>2</v>
      </c>
      <c r="G97" s="12">
        <f>+'29'!G97+'30'!G97+'31'!G97</f>
        <v>2490</v>
      </c>
      <c r="H97" s="12">
        <f>+'29'!H97+'30'!H97+'31'!H97</f>
        <v>20</v>
      </c>
      <c r="I97" s="271"/>
      <c r="J97" s="514">
        <f>+'29'!J97+'30'!J97+'31'!J97</f>
        <v>0</v>
      </c>
      <c r="K97" s="12">
        <f>+'29'!K97+'30'!K97+'31'!K97</f>
        <v>0</v>
      </c>
      <c r="L97" s="12">
        <f>+'29'!L97+'30'!L97+'31'!L97</f>
        <v>0</v>
      </c>
      <c r="M97" s="271"/>
      <c r="N97" s="514">
        <f>+'29'!N97+'30'!N97+'31'!N97</f>
        <v>2</v>
      </c>
      <c r="O97" s="12">
        <f>+'29'!O97+'30'!O97+'31'!O97</f>
        <v>2490</v>
      </c>
      <c r="P97" s="12">
        <f>+'29'!P97+'30'!P97+'31'!P97</f>
        <v>20</v>
      </c>
      <c r="Q97" s="532"/>
      <c r="R97" s="270">
        <v>2</v>
      </c>
      <c r="S97" s="12">
        <v>2470</v>
      </c>
      <c r="T97" s="12">
        <v>20</v>
      </c>
      <c r="U97" s="271"/>
      <c r="V97" s="533">
        <f t="shared" si="9"/>
        <v>0</v>
      </c>
      <c r="W97" s="533">
        <f t="shared" si="10"/>
        <v>20</v>
      </c>
      <c r="X97" s="257"/>
      <c r="Y97" s="261">
        <f t="shared" si="11"/>
        <v>0</v>
      </c>
      <c r="Z97" s="12">
        <f t="shared" si="12"/>
        <v>20</v>
      </c>
      <c r="AB97" s="13">
        <f t="shared" si="8"/>
        <v>2490</v>
      </c>
      <c r="AF97" s="13">
        <f t="shared" si="13"/>
        <v>2490</v>
      </c>
      <c r="AM97" s="12">
        <f t="shared" si="14"/>
        <v>0</v>
      </c>
      <c r="AN97" s="13">
        <f t="shared" si="15"/>
        <v>2490</v>
      </c>
    </row>
    <row r="98" spans="1:40" x14ac:dyDescent="0.25">
      <c r="A98">
        <v>93</v>
      </c>
      <c r="B98" t="s">
        <v>126</v>
      </c>
      <c r="C98" t="s">
        <v>39</v>
      </c>
      <c r="D98" t="s">
        <v>16</v>
      </c>
      <c r="F98" s="514">
        <f>+'29'!F98+'30'!F98+'31'!F98</f>
        <v>136</v>
      </c>
      <c r="G98" s="12">
        <f>+'29'!G98+'30'!G98+'31'!G98</f>
        <v>452779.57</v>
      </c>
      <c r="H98" s="12">
        <f>+'29'!H98+'30'!H98+'31'!H98</f>
        <v>2680</v>
      </c>
      <c r="I98" s="271"/>
      <c r="J98" s="514">
        <f>+'29'!J98+'30'!J98+'31'!J98</f>
        <v>0</v>
      </c>
      <c r="K98" s="12">
        <f>+'29'!K98+'30'!K98+'31'!K98</f>
        <v>0</v>
      </c>
      <c r="L98" s="12">
        <f>+'29'!L98+'30'!L98+'31'!L98</f>
        <v>0</v>
      </c>
      <c r="M98" s="271"/>
      <c r="N98" s="514">
        <f>+'29'!N98+'30'!N98+'31'!N98</f>
        <v>136</v>
      </c>
      <c r="O98" s="12">
        <f>+'29'!O98+'30'!O98+'31'!O98</f>
        <v>452779.57</v>
      </c>
      <c r="P98" s="12">
        <f>+'29'!P98+'30'!P98+'31'!P98</f>
        <v>2680</v>
      </c>
      <c r="Q98" s="532"/>
      <c r="R98" s="270">
        <v>136</v>
      </c>
      <c r="S98" s="12">
        <v>452779.57</v>
      </c>
      <c r="T98" s="12">
        <v>0</v>
      </c>
      <c r="U98" s="271"/>
      <c r="V98" s="533">
        <f t="shared" si="9"/>
        <v>0</v>
      </c>
      <c r="W98" s="533">
        <f t="shared" si="10"/>
        <v>0</v>
      </c>
      <c r="X98" s="257"/>
      <c r="Y98" s="261">
        <f t="shared" si="11"/>
        <v>0</v>
      </c>
      <c r="Z98" s="12">
        <f t="shared" si="12"/>
        <v>0</v>
      </c>
      <c r="AB98" s="13">
        <f t="shared" si="8"/>
        <v>452779.57</v>
      </c>
      <c r="AF98" s="13">
        <f t="shared" si="13"/>
        <v>452779.57</v>
      </c>
      <c r="AM98" s="12">
        <f t="shared" si="14"/>
        <v>0</v>
      </c>
      <c r="AN98" s="13">
        <f t="shared" si="15"/>
        <v>452779.57</v>
      </c>
    </row>
    <row r="99" spans="1:40" x14ac:dyDescent="0.25">
      <c r="A99">
        <v>94</v>
      </c>
      <c r="B99" t="s">
        <v>127</v>
      </c>
      <c r="C99" t="s">
        <v>15</v>
      </c>
      <c r="D99" t="s">
        <v>16</v>
      </c>
      <c r="F99" s="514">
        <f>+'29'!F99+'30'!F99+'31'!F99</f>
        <v>1</v>
      </c>
      <c r="G99" s="12">
        <f>+'29'!G99+'30'!G99+'31'!G99</f>
        <v>1500</v>
      </c>
      <c r="H99" s="12">
        <f>+'29'!H99+'30'!H99+'31'!H99</f>
        <v>15</v>
      </c>
      <c r="I99" s="271"/>
      <c r="J99" s="514">
        <f>+'29'!J99+'30'!J99+'31'!J99</f>
        <v>0</v>
      </c>
      <c r="K99" s="12">
        <f>+'29'!K99+'30'!K99+'31'!K99</f>
        <v>0</v>
      </c>
      <c r="L99" s="12">
        <f>+'29'!L99+'30'!L99+'31'!L99</f>
        <v>0</v>
      </c>
      <c r="M99" s="271"/>
      <c r="N99" s="514">
        <f>+'29'!N99+'30'!N99+'31'!N99</f>
        <v>1</v>
      </c>
      <c r="O99" s="12">
        <f>+'29'!O99+'30'!O99+'31'!O99</f>
        <v>1500</v>
      </c>
      <c r="P99" s="12">
        <f>+'29'!P99+'30'!P99+'31'!P99</f>
        <v>15</v>
      </c>
      <c r="Q99" s="532"/>
      <c r="R99" s="270">
        <v>1</v>
      </c>
      <c r="S99" s="12">
        <v>1500</v>
      </c>
      <c r="T99" s="12">
        <v>0</v>
      </c>
      <c r="U99" s="271"/>
      <c r="V99" s="533">
        <f t="shared" si="9"/>
        <v>0</v>
      </c>
      <c r="W99" s="533">
        <f t="shared" si="10"/>
        <v>0</v>
      </c>
      <c r="X99" s="257"/>
      <c r="Y99" s="261">
        <f t="shared" si="11"/>
        <v>0</v>
      </c>
      <c r="Z99" s="12">
        <f t="shared" si="12"/>
        <v>0</v>
      </c>
      <c r="AB99" s="13">
        <f t="shared" si="8"/>
        <v>1500</v>
      </c>
      <c r="AF99" s="13">
        <f t="shared" si="13"/>
        <v>1500</v>
      </c>
      <c r="AM99" s="12">
        <f t="shared" si="14"/>
        <v>0</v>
      </c>
      <c r="AN99" s="13">
        <f t="shared" si="15"/>
        <v>1500</v>
      </c>
    </row>
    <row r="100" spans="1:40" x14ac:dyDescent="0.25">
      <c r="A100">
        <v>95</v>
      </c>
      <c r="B100" t="s">
        <v>128</v>
      </c>
      <c r="C100" t="s">
        <v>25</v>
      </c>
      <c r="D100" t="s">
        <v>45</v>
      </c>
      <c r="F100" s="514">
        <f>+'29'!F100+'30'!F100+'31'!F100</f>
        <v>0</v>
      </c>
      <c r="G100" s="12">
        <f>+'29'!G100+'30'!G100+'31'!G100</f>
        <v>0</v>
      </c>
      <c r="H100" s="12">
        <f>+'29'!H100+'30'!H100+'31'!H100</f>
        <v>0</v>
      </c>
      <c r="I100" s="271"/>
      <c r="J100" s="514">
        <f>+'29'!J100+'30'!J100+'31'!J100</f>
        <v>0</v>
      </c>
      <c r="K100" s="12">
        <f>+'29'!K100+'30'!K100+'31'!K100</f>
        <v>0</v>
      </c>
      <c r="L100" s="12">
        <f>+'29'!L100+'30'!L100+'31'!L100</f>
        <v>0</v>
      </c>
      <c r="M100" s="271"/>
      <c r="N100" s="514">
        <f>+'29'!N100+'30'!N100+'31'!N100</f>
        <v>0</v>
      </c>
      <c r="O100" s="12">
        <f>+'29'!O100+'30'!O100+'31'!O100</f>
        <v>0</v>
      </c>
      <c r="P100" s="12">
        <f>+'29'!P100+'30'!P100+'31'!P100</f>
        <v>0</v>
      </c>
      <c r="Q100" s="532"/>
      <c r="R100" s="270">
        <v>0</v>
      </c>
      <c r="S100" s="12">
        <v>0</v>
      </c>
      <c r="T100" s="12">
        <v>0</v>
      </c>
      <c r="U100" s="271"/>
      <c r="V100" s="533">
        <f t="shared" si="9"/>
        <v>0</v>
      </c>
      <c r="W100" s="533">
        <f t="shared" si="10"/>
        <v>0</v>
      </c>
      <c r="X100" s="257"/>
      <c r="Y100" s="261">
        <f t="shared" si="11"/>
        <v>0</v>
      </c>
      <c r="Z100" s="12">
        <f t="shared" si="12"/>
        <v>0</v>
      </c>
      <c r="AB100" s="13">
        <f t="shared" si="8"/>
        <v>0</v>
      </c>
      <c r="AF100" s="13">
        <f t="shared" si="13"/>
        <v>0</v>
      </c>
      <c r="AG100" s="16">
        <v>98.214285714285708</v>
      </c>
      <c r="AM100" s="12">
        <f t="shared" si="14"/>
        <v>98.214285714285708</v>
      </c>
      <c r="AN100" s="13">
        <f t="shared" si="15"/>
        <v>-98.214285714285708</v>
      </c>
    </row>
    <row r="101" spans="1:40" x14ac:dyDescent="0.25">
      <c r="A101">
        <v>96</v>
      </c>
      <c r="B101" t="s">
        <v>2419</v>
      </c>
      <c r="C101" t="s">
        <v>135</v>
      </c>
      <c r="D101" t="s">
        <v>16</v>
      </c>
      <c r="F101" s="514">
        <f>+'29'!F101+'30'!F101+'31'!F101</f>
        <v>25</v>
      </c>
      <c r="G101" s="12">
        <f>+'29'!G101+'30'!G101+'31'!G101</f>
        <v>25703.53</v>
      </c>
      <c r="H101" s="12">
        <f>+'29'!H101+'30'!H101+'31'!H101</f>
        <v>250</v>
      </c>
      <c r="I101" s="271"/>
      <c r="J101" s="514">
        <f>+'29'!J101+'30'!J101+'31'!J101</f>
        <v>0</v>
      </c>
      <c r="K101" s="12">
        <f>+'29'!K101+'30'!K101+'31'!K101</f>
        <v>0</v>
      </c>
      <c r="L101" s="12">
        <f>+'29'!L101+'30'!L101+'31'!L101</f>
        <v>0</v>
      </c>
      <c r="M101" s="271"/>
      <c r="N101" s="514">
        <f>+'29'!N101+'30'!N101+'31'!N101</f>
        <v>25</v>
      </c>
      <c r="O101" s="12">
        <f>+'29'!O101+'30'!O101+'31'!O101</f>
        <v>25703.53</v>
      </c>
      <c r="P101" s="12">
        <f>+'29'!P101+'30'!P101+'31'!P101</f>
        <v>250</v>
      </c>
      <c r="Q101" s="532"/>
      <c r="R101" s="270">
        <v>25</v>
      </c>
      <c r="S101" s="12">
        <v>25703.53</v>
      </c>
      <c r="T101" s="12">
        <v>0</v>
      </c>
      <c r="U101" s="271"/>
      <c r="V101" s="533">
        <f t="shared" si="9"/>
        <v>0</v>
      </c>
      <c r="W101" s="533">
        <f t="shared" si="10"/>
        <v>0</v>
      </c>
      <c r="X101" s="257"/>
      <c r="Y101" s="261">
        <f t="shared" si="11"/>
        <v>0</v>
      </c>
      <c r="Z101" s="12">
        <f t="shared" si="12"/>
        <v>0</v>
      </c>
      <c r="AB101" s="13">
        <f t="shared" si="8"/>
        <v>25703.53</v>
      </c>
      <c r="AF101" s="13">
        <f t="shared" si="13"/>
        <v>25703.53</v>
      </c>
      <c r="AM101" s="12">
        <f t="shared" si="14"/>
        <v>0</v>
      </c>
      <c r="AN101" s="13">
        <f t="shared" si="15"/>
        <v>25703.53</v>
      </c>
    </row>
    <row r="102" spans="1:40" x14ac:dyDescent="0.25">
      <c r="A102">
        <v>97</v>
      </c>
      <c r="B102" t="s">
        <v>129</v>
      </c>
      <c r="C102" t="s">
        <v>25</v>
      </c>
      <c r="D102" t="s">
        <v>16</v>
      </c>
      <c r="F102" s="514">
        <f>+'29'!F102+'30'!F102+'31'!F102</f>
        <v>47</v>
      </c>
      <c r="G102" s="12">
        <f>+'29'!G102+'30'!G102+'31'!G102</f>
        <v>547306.53</v>
      </c>
      <c r="H102" s="12">
        <f>+'29'!H102+'30'!H102+'31'!H102</f>
        <v>1175</v>
      </c>
      <c r="I102" s="271"/>
      <c r="J102" s="514">
        <f>+'29'!J102+'30'!J102+'31'!J102</f>
        <v>0</v>
      </c>
      <c r="K102" s="12">
        <f>+'29'!K102+'30'!K102+'31'!K102</f>
        <v>0</v>
      </c>
      <c r="L102" s="12">
        <f>+'29'!L102+'30'!L102+'31'!L102</f>
        <v>0</v>
      </c>
      <c r="M102" s="271"/>
      <c r="N102" s="514">
        <f>+'29'!N102+'30'!N102+'31'!N102</f>
        <v>47</v>
      </c>
      <c r="O102" s="12">
        <f>+'29'!O102+'30'!O102+'31'!O102</f>
        <v>547306.53</v>
      </c>
      <c r="P102" s="12">
        <f>+'29'!P102+'30'!P102+'31'!P102</f>
        <v>1175</v>
      </c>
      <c r="Q102" s="532"/>
      <c r="R102" s="270">
        <v>47</v>
      </c>
      <c r="S102" s="12">
        <v>547306.53</v>
      </c>
      <c r="T102" s="12">
        <v>0</v>
      </c>
      <c r="U102" s="271"/>
      <c r="V102" s="533">
        <f t="shared" si="9"/>
        <v>0</v>
      </c>
      <c r="W102" s="533">
        <f t="shared" si="10"/>
        <v>0</v>
      </c>
      <c r="X102" s="257"/>
      <c r="Y102" s="261">
        <f t="shared" si="11"/>
        <v>0</v>
      </c>
      <c r="Z102" s="12">
        <f t="shared" si="12"/>
        <v>0</v>
      </c>
      <c r="AB102" s="13">
        <f t="shared" si="8"/>
        <v>547306.53</v>
      </c>
      <c r="AF102" s="13">
        <f t="shared" si="13"/>
        <v>547306.53</v>
      </c>
      <c r="AM102" s="12">
        <f t="shared" si="14"/>
        <v>0</v>
      </c>
      <c r="AN102" s="13">
        <f t="shared" si="15"/>
        <v>547306.53</v>
      </c>
    </row>
    <row r="103" spans="1:40" x14ac:dyDescent="0.25">
      <c r="A103">
        <v>98</v>
      </c>
      <c r="B103" t="s">
        <v>130</v>
      </c>
      <c r="C103" t="s">
        <v>27</v>
      </c>
      <c r="D103" t="s">
        <v>16</v>
      </c>
      <c r="F103" s="514">
        <f>+'29'!F103+'30'!F103+'31'!F103</f>
        <v>3</v>
      </c>
      <c r="G103" s="12">
        <f>+'29'!G103+'30'!G103+'31'!G103</f>
        <v>21700</v>
      </c>
      <c r="H103" s="12">
        <f>+'29'!H103+'30'!H103+'31'!H103</f>
        <v>75</v>
      </c>
      <c r="I103" s="271"/>
      <c r="J103" s="514">
        <f>+'29'!J103+'30'!J103+'31'!J103</f>
        <v>0</v>
      </c>
      <c r="K103" s="12">
        <f>+'29'!K103+'30'!K103+'31'!K103</f>
        <v>0</v>
      </c>
      <c r="L103" s="12">
        <f>+'29'!L103+'30'!L103+'31'!L103</f>
        <v>0</v>
      </c>
      <c r="M103" s="271"/>
      <c r="N103" s="514">
        <f>+'29'!N103+'30'!N103+'31'!N103</f>
        <v>3</v>
      </c>
      <c r="O103" s="12">
        <f>+'29'!O103+'30'!O103+'31'!O103</f>
        <v>21700</v>
      </c>
      <c r="P103" s="12">
        <f>+'29'!P103+'30'!P103+'31'!P103</f>
        <v>75</v>
      </c>
      <c r="Q103" s="532"/>
      <c r="R103" s="270">
        <v>3</v>
      </c>
      <c r="S103" s="12">
        <v>21700</v>
      </c>
      <c r="T103" s="12">
        <v>0</v>
      </c>
      <c r="U103" s="271"/>
      <c r="V103" s="533">
        <f t="shared" si="9"/>
        <v>0</v>
      </c>
      <c r="W103" s="533">
        <f t="shared" si="10"/>
        <v>0</v>
      </c>
      <c r="X103" s="257"/>
      <c r="Y103" s="261">
        <f t="shared" si="11"/>
        <v>0</v>
      </c>
      <c r="Z103" s="12">
        <f t="shared" si="12"/>
        <v>0</v>
      </c>
      <c r="AB103" s="13">
        <f t="shared" si="8"/>
        <v>21700</v>
      </c>
      <c r="AD103" s="16"/>
      <c r="AF103" s="13">
        <f t="shared" si="13"/>
        <v>21700</v>
      </c>
      <c r="AG103" s="16"/>
      <c r="AM103" s="12">
        <f t="shared" si="14"/>
        <v>0</v>
      </c>
      <c r="AN103" s="13">
        <f t="shared" si="15"/>
        <v>21700</v>
      </c>
    </row>
    <row r="104" spans="1:40" x14ac:dyDescent="0.25">
      <c r="A104">
        <v>99</v>
      </c>
      <c r="B104" t="s">
        <v>131</v>
      </c>
      <c r="C104" t="s">
        <v>98</v>
      </c>
      <c r="D104" t="s">
        <v>20</v>
      </c>
      <c r="F104" s="514">
        <f>+'29'!F104+'30'!F104+'31'!F104</f>
        <v>203</v>
      </c>
      <c r="G104" s="12">
        <f>+'29'!G104+'30'!G104+'31'!G104</f>
        <v>2158500.4500000002</v>
      </c>
      <c r="H104" s="12">
        <f>+'29'!H104+'30'!H104+'31'!H104</f>
        <v>6090</v>
      </c>
      <c r="I104" s="271"/>
      <c r="J104" s="514">
        <f>+'29'!J104+'30'!J104+'31'!J104</f>
        <v>0</v>
      </c>
      <c r="K104" s="12">
        <f>+'29'!K104+'30'!K104+'31'!K104</f>
        <v>0</v>
      </c>
      <c r="L104" s="12">
        <f>+'29'!L104+'30'!L104+'31'!L104</f>
        <v>0</v>
      </c>
      <c r="M104" s="271"/>
      <c r="N104" s="514">
        <f>+'29'!N104+'30'!N104+'31'!N104</f>
        <v>203</v>
      </c>
      <c r="O104" s="12">
        <f>+'29'!O104+'30'!O104+'31'!O104</f>
        <v>2158500.4500000002</v>
      </c>
      <c r="P104" s="12">
        <f>+'29'!P104+'30'!P104+'31'!P104</f>
        <v>6090</v>
      </c>
      <c r="Q104" s="532"/>
      <c r="R104" s="270">
        <v>203</v>
      </c>
      <c r="S104" s="12">
        <v>2152410.4500000002</v>
      </c>
      <c r="T104" s="12">
        <v>6090</v>
      </c>
      <c r="U104" s="271"/>
      <c r="V104" s="533">
        <f t="shared" si="9"/>
        <v>0</v>
      </c>
      <c r="W104" s="533">
        <f t="shared" si="10"/>
        <v>6090</v>
      </c>
      <c r="X104" s="257"/>
      <c r="Y104" s="261">
        <f t="shared" si="11"/>
        <v>0</v>
      </c>
      <c r="Z104" s="12">
        <f t="shared" si="12"/>
        <v>6090</v>
      </c>
      <c r="AB104" s="13">
        <f t="shared" si="8"/>
        <v>2158500.4500000002</v>
      </c>
      <c r="AD104" s="16"/>
      <c r="AF104" s="13">
        <f t="shared" si="13"/>
        <v>2158500.4500000002</v>
      </c>
      <c r="AG104" s="16"/>
      <c r="AM104" s="12">
        <f t="shared" si="14"/>
        <v>0</v>
      </c>
      <c r="AN104" s="13">
        <f t="shared" si="15"/>
        <v>2158500.4500000002</v>
      </c>
    </row>
    <row r="105" spans="1:40" x14ac:dyDescent="0.25">
      <c r="A105">
        <v>100</v>
      </c>
      <c r="B105" t="s">
        <v>132</v>
      </c>
      <c r="C105" t="s">
        <v>25</v>
      </c>
      <c r="D105" t="s">
        <v>16</v>
      </c>
      <c r="F105" s="514">
        <f>+'29'!F105+'30'!F105+'31'!F105</f>
        <v>0</v>
      </c>
      <c r="G105" s="12">
        <f>+'29'!G105+'30'!G105+'31'!G105</f>
        <v>0</v>
      </c>
      <c r="H105" s="12">
        <f>+'29'!H105+'30'!H105+'31'!H105</f>
        <v>0</v>
      </c>
      <c r="I105" s="271"/>
      <c r="J105" s="514">
        <f>+'29'!J105+'30'!J105+'31'!J105</f>
        <v>0</v>
      </c>
      <c r="K105" s="12">
        <f>+'29'!K105+'30'!K105+'31'!K105</f>
        <v>0</v>
      </c>
      <c r="L105" s="12">
        <f>+'29'!L105+'30'!L105+'31'!L105</f>
        <v>0</v>
      </c>
      <c r="M105" s="271"/>
      <c r="N105" s="514">
        <f>+'29'!N105+'30'!N105+'31'!N105</f>
        <v>0</v>
      </c>
      <c r="O105" s="12">
        <f>+'29'!O105+'30'!O105+'31'!O105</f>
        <v>0</v>
      </c>
      <c r="P105" s="12">
        <f>+'29'!P105+'30'!P105+'31'!P105</f>
        <v>0</v>
      </c>
      <c r="Q105" s="532"/>
      <c r="R105" s="270">
        <v>0</v>
      </c>
      <c r="S105" s="12">
        <v>0</v>
      </c>
      <c r="T105" s="12">
        <v>0</v>
      </c>
      <c r="U105" s="271"/>
      <c r="V105" s="533">
        <f t="shared" si="9"/>
        <v>0</v>
      </c>
      <c r="W105" s="533">
        <f t="shared" si="10"/>
        <v>0</v>
      </c>
      <c r="X105" s="257"/>
      <c r="Y105" s="261">
        <f t="shared" si="11"/>
        <v>0</v>
      </c>
      <c r="Z105" s="12">
        <f t="shared" si="12"/>
        <v>0</v>
      </c>
      <c r="AB105" s="13">
        <f t="shared" si="8"/>
        <v>0</v>
      </c>
      <c r="AF105" s="13">
        <f t="shared" si="13"/>
        <v>0</v>
      </c>
      <c r="AM105" s="12">
        <f t="shared" si="14"/>
        <v>0</v>
      </c>
      <c r="AN105" s="13">
        <f t="shared" si="15"/>
        <v>0</v>
      </c>
    </row>
    <row r="106" spans="1:40" x14ac:dyDescent="0.25">
      <c r="A106">
        <v>101</v>
      </c>
      <c r="B106" t="s">
        <v>2141</v>
      </c>
      <c r="C106" t="s">
        <v>18</v>
      </c>
      <c r="D106" t="s">
        <v>16</v>
      </c>
      <c r="F106" s="514">
        <f>+'29'!F106+'30'!F106+'31'!F106</f>
        <v>0</v>
      </c>
      <c r="G106" s="12">
        <f>+'29'!G106+'30'!G106+'31'!G106</f>
        <v>0</v>
      </c>
      <c r="H106" s="12">
        <f>+'29'!H106+'30'!H106+'31'!H106</f>
        <v>0</v>
      </c>
      <c r="I106" s="271"/>
      <c r="J106" s="514">
        <f>+'29'!J106+'30'!J106+'31'!J106</f>
        <v>0</v>
      </c>
      <c r="K106" s="12">
        <f>+'29'!K106+'30'!K106+'31'!K106</f>
        <v>0</v>
      </c>
      <c r="L106" s="12">
        <f>+'29'!L106+'30'!L106+'31'!L106</f>
        <v>0</v>
      </c>
      <c r="M106" s="271"/>
      <c r="N106" s="514">
        <f>+'29'!N106+'30'!N106+'31'!N106</f>
        <v>0</v>
      </c>
      <c r="O106" s="12">
        <f>+'29'!O106+'30'!O106+'31'!O106</f>
        <v>0</v>
      </c>
      <c r="P106" s="12">
        <f>+'29'!P106+'30'!P106+'31'!P106</f>
        <v>0</v>
      </c>
      <c r="Q106" s="532"/>
      <c r="R106" s="270">
        <v>0</v>
      </c>
      <c r="S106" s="12">
        <v>0</v>
      </c>
      <c r="T106" s="12">
        <v>0</v>
      </c>
      <c r="U106" s="271"/>
      <c r="V106" s="533">
        <f t="shared" si="9"/>
        <v>0</v>
      </c>
      <c r="W106" s="533">
        <f t="shared" si="10"/>
        <v>0</v>
      </c>
      <c r="X106" s="257"/>
      <c r="Y106" s="261">
        <f t="shared" si="11"/>
        <v>0</v>
      </c>
      <c r="Z106" s="12">
        <f t="shared" si="12"/>
        <v>0</v>
      </c>
      <c r="AB106" s="13">
        <f t="shared" si="8"/>
        <v>0</v>
      </c>
      <c r="AF106" s="13">
        <f t="shared" si="13"/>
        <v>0</v>
      </c>
      <c r="AM106" s="12">
        <f t="shared" si="14"/>
        <v>0</v>
      </c>
      <c r="AN106" s="13">
        <f t="shared" si="15"/>
        <v>0</v>
      </c>
    </row>
    <row r="107" spans="1:40" x14ac:dyDescent="0.25">
      <c r="A107">
        <v>102</v>
      </c>
      <c r="B107" t="s">
        <v>133</v>
      </c>
      <c r="C107" t="s">
        <v>51</v>
      </c>
      <c r="D107" t="s">
        <v>16</v>
      </c>
      <c r="F107" s="514">
        <f>+'29'!F107+'30'!F107+'31'!F107</f>
        <v>9</v>
      </c>
      <c r="G107" s="12">
        <f>+'29'!G107+'30'!G107+'31'!G107</f>
        <v>272101.33999999997</v>
      </c>
      <c r="H107" s="12">
        <f>+'29'!H107+'30'!H107+'31'!H107</f>
        <v>335</v>
      </c>
      <c r="I107" s="271"/>
      <c r="J107" s="514">
        <f>+'29'!J107+'30'!J107+'31'!J107</f>
        <v>0</v>
      </c>
      <c r="K107" s="12">
        <f>+'29'!K107+'30'!K107+'31'!K107</f>
        <v>0</v>
      </c>
      <c r="L107" s="12">
        <f>+'29'!L107+'30'!L107+'31'!L107</f>
        <v>0</v>
      </c>
      <c r="M107" s="271"/>
      <c r="N107" s="514">
        <f>+'29'!N107+'30'!N107+'31'!N107</f>
        <v>9</v>
      </c>
      <c r="O107" s="12">
        <f>+'29'!O107+'30'!O107+'31'!O107</f>
        <v>272101.33999999997</v>
      </c>
      <c r="P107" s="12">
        <f>+'29'!P107+'30'!P107+'31'!P107</f>
        <v>335</v>
      </c>
      <c r="Q107" s="532"/>
      <c r="R107" s="270">
        <v>9</v>
      </c>
      <c r="S107" s="12">
        <v>272101.34000000003</v>
      </c>
      <c r="T107" s="12">
        <v>0</v>
      </c>
      <c r="U107" s="271"/>
      <c r="V107" s="533">
        <f t="shared" si="9"/>
        <v>0</v>
      </c>
      <c r="W107" s="533">
        <f t="shared" si="10"/>
        <v>0</v>
      </c>
      <c r="X107" s="257"/>
      <c r="Y107" s="261">
        <f t="shared" si="11"/>
        <v>0</v>
      </c>
      <c r="Z107" s="12">
        <f t="shared" si="12"/>
        <v>0</v>
      </c>
      <c r="AB107" s="13">
        <f t="shared" si="8"/>
        <v>272101.33999999997</v>
      </c>
      <c r="AF107" s="13">
        <f t="shared" si="13"/>
        <v>272101.33999999997</v>
      </c>
      <c r="AG107" s="16"/>
      <c r="AM107" s="12">
        <f t="shared" si="14"/>
        <v>0</v>
      </c>
      <c r="AN107" s="13">
        <f t="shared" si="15"/>
        <v>272101.33999999997</v>
      </c>
    </row>
    <row r="108" spans="1:40" x14ac:dyDescent="0.25">
      <c r="A108">
        <v>103</v>
      </c>
      <c r="B108" t="s">
        <v>134</v>
      </c>
      <c r="C108" t="s">
        <v>135</v>
      </c>
      <c r="D108" t="s">
        <v>16</v>
      </c>
      <c r="F108" s="514">
        <f>+'29'!F108+'30'!F108+'31'!F108</f>
        <v>6</v>
      </c>
      <c r="G108" s="12">
        <f>+'29'!G108+'30'!G108+'31'!G108</f>
        <v>149880.73000000001</v>
      </c>
      <c r="H108" s="12">
        <f>+'29'!H108+'30'!H108+'31'!H108</f>
        <v>210</v>
      </c>
      <c r="I108" s="271"/>
      <c r="J108" s="514">
        <f>+'29'!J108+'30'!J108+'31'!J108</f>
        <v>0</v>
      </c>
      <c r="K108" s="12">
        <f>+'29'!K108+'30'!K108+'31'!K108</f>
        <v>0</v>
      </c>
      <c r="L108" s="12">
        <f>+'29'!L108+'30'!L108+'31'!L108</f>
        <v>0</v>
      </c>
      <c r="M108" s="271"/>
      <c r="N108" s="514">
        <f>+'29'!N108+'30'!N108+'31'!N108</f>
        <v>6</v>
      </c>
      <c r="O108" s="12">
        <f>+'29'!O108+'30'!O108+'31'!O108</f>
        <v>149880.73000000001</v>
      </c>
      <c r="P108" s="12">
        <f>+'29'!P108+'30'!P108+'31'!P108</f>
        <v>210</v>
      </c>
      <c r="Q108" s="532"/>
      <c r="R108" s="270">
        <v>6</v>
      </c>
      <c r="S108" s="12">
        <v>149880.73000000001</v>
      </c>
      <c r="T108" s="12">
        <v>0</v>
      </c>
      <c r="U108" s="271"/>
      <c r="V108" s="533">
        <f t="shared" si="9"/>
        <v>0</v>
      </c>
      <c r="W108" s="533">
        <f t="shared" si="10"/>
        <v>0</v>
      </c>
      <c r="X108" s="257"/>
      <c r="Y108" s="261">
        <f t="shared" si="11"/>
        <v>0</v>
      </c>
      <c r="Z108" s="12">
        <f t="shared" si="12"/>
        <v>0</v>
      </c>
      <c r="AB108" s="13">
        <f t="shared" si="8"/>
        <v>149880.73000000001</v>
      </c>
      <c r="AF108" s="13">
        <f t="shared" si="13"/>
        <v>149880.73000000001</v>
      </c>
      <c r="AM108" s="12">
        <f t="shared" si="14"/>
        <v>0</v>
      </c>
      <c r="AN108" s="13">
        <f t="shared" si="15"/>
        <v>149880.73000000001</v>
      </c>
    </row>
    <row r="109" spans="1:40" x14ac:dyDescent="0.25">
      <c r="A109">
        <v>104</v>
      </c>
      <c r="B109" t="s">
        <v>137</v>
      </c>
      <c r="C109" t="s">
        <v>15</v>
      </c>
      <c r="D109" t="s">
        <v>16</v>
      </c>
      <c r="F109" s="514">
        <f>+'29'!F109+'30'!F109+'31'!F109</f>
        <v>6</v>
      </c>
      <c r="G109" s="12">
        <f>+'29'!G109+'30'!G109+'31'!G109</f>
        <v>101515</v>
      </c>
      <c r="H109" s="12">
        <f>+'29'!H109+'30'!H109+'31'!H109</f>
        <v>150</v>
      </c>
      <c r="I109" s="271"/>
      <c r="J109" s="514">
        <f>+'29'!J109+'30'!J109+'31'!J109</f>
        <v>0</v>
      </c>
      <c r="K109" s="12">
        <f>+'29'!K109+'30'!K109+'31'!K109</f>
        <v>0</v>
      </c>
      <c r="L109" s="12">
        <f>+'29'!L109+'30'!L109+'31'!L109</f>
        <v>0</v>
      </c>
      <c r="M109" s="271"/>
      <c r="N109" s="514">
        <f>+'29'!N109+'30'!N109+'31'!N109</f>
        <v>6</v>
      </c>
      <c r="O109" s="12">
        <f>+'29'!O109+'30'!O109+'31'!O109</f>
        <v>101515</v>
      </c>
      <c r="P109" s="12">
        <f>+'29'!P109+'30'!P109+'31'!P109</f>
        <v>150</v>
      </c>
      <c r="Q109" s="532"/>
      <c r="R109" s="270">
        <v>6</v>
      </c>
      <c r="S109" s="12">
        <v>101515</v>
      </c>
      <c r="T109" s="12">
        <v>0</v>
      </c>
      <c r="U109" s="271"/>
      <c r="V109" s="533">
        <f t="shared" si="9"/>
        <v>0</v>
      </c>
      <c r="W109" s="533">
        <f t="shared" si="10"/>
        <v>0</v>
      </c>
      <c r="X109" s="257"/>
      <c r="Y109" s="261">
        <f t="shared" si="11"/>
        <v>0</v>
      </c>
      <c r="Z109" s="12">
        <f t="shared" si="12"/>
        <v>0</v>
      </c>
      <c r="AB109" s="13">
        <f t="shared" si="8"/>
        <v>101515</v>
      </c>
      <c r="AF109" s="13">
        <f t="shared" si="13"/>
        <v>101515</v>
      </c>
      <c r="AM109" s="12">
        <f t="shared" si="14"/>
        <v>0</v>
      </c>
      <c r="AN109" s="13">
        <f t="shared" si="15"/>
        <v>101515</v>
      </c>
    </row>
    <row r="110" spans="1:40" x14ac:dyDescent="0.25">
      <c r="A110">
        <v>105</v>
      </c>
      <c r="B110" t="s">
        <v>138</v>
      </c>
      <c r="C110" t="s">
        <v>15</v>
      </c>
      <c r="D110" t="s">
        <v>16</v>
      </c>
      <c r="F110" s="514">
        <f>+'29'!F110+'30'!F110+'31'!F110</f>
        <v>0</v>
      </c>
      <c r="G110" s="12">
        <f>+'29'!G110+'30'!G110+'31'!G110</f>
        <v>0</v>
      </c>
      <c r="H110" s="12">
        <f>+'29'!H110+'30'!H110+'31'!H110</f>
        <v>0</v>
      </c>
      <c r="I110" s="271"/>
      <c r="J110" s="514">
        <f>+'29'!J110+'30'!J110+'31'!J110</f>
        <v>0</v>
      </c>
      <c r="K110" s="12">
        <f>+'29'!K110+'30'!K110+'31'!K110</f>
        <v>0</v>
      </c>
      <c r="L110" s="12">
        <f>+'29'!L110+'30'!L110+'31'!L110</f>
        <v>0</v>
      </c>
      <c r="M110" s="271"/>
      <c r="N110" s="514">
        <f>+'29'!N110+'30'!N110+'31'!N110</f>
        <v>0</v>
      </c>
      <c r="O110" s="12">
        <f>+'29'!O110+'30'!O110+'31'!O110</f>
        <v>0</v>
      </c>
      <c r="P110" s="12">
        <f>+'29'!P110+'30'!P110+'31'!P110</f>
        <v>0</v>
      </c>
      <c r="Q110" s="532"/>
      <c r="R110" s="270">
        <v>0</v>
      </c>
      <c r="S110" s="12">
        <v>0</v>
      </c>
      <c r="T110" s="12">
        <v>0</v>
      </c>
      <c r="U110" s="271"/>
      <c r="V110" s="533">
        <f t="shared" si="9"/>
        <v>0</v>
      </c>
      <c r="W110" s="533">
        <f t="shared" si="10"/>
        <v>0</v>
      </c>
      <c r="X110" s="257"/>
      <c r="Y110" s="261">
        <f t="shared" si="11"/>
        <v>0</v>
      </c>
      <c r="Z110" s="12">
        <f t="shared" si="12"/>
        <v>0</v>
      </c>
      <c r="AB110" s="13">
        <f t="shared" si="8"/>
        <v>0</v>
      </c>
      <c r="AF110" s="13">
        <f t="shared" si="13"/>
        <v>0</v>
      </c>
      <c r="AM110" s="12">
        <f t="shared" si="14"/>
        <v>0</v>
      </c>
      <c r="AN110" s="13">
        <f t="shared" si="15"/>
        <v>0</v>
      </c>
    </row>
    <row r="111" spans="1:40" x14ac:dyDescent="0.25">
      <c r="A111">
        <v>106</v>
      </c>
      <c r="B111" t="s">
        <v>139</v>
      </c>
      <c r="C111" t="s">
        <v>15</v>
      </c>
      <c r="D111" t="s">
        <v>16</v>
      </c>
      <c r="F111" s="514">
        <f>+'29'!F111+'30'!F111+'31'!F111</f>
        <v>22</v>
      </c>
      <c r="G111" s="12">
        <f>+'29'!G111+'30'!G111+'31'!G111</f>
        <v>322710</v>
      </c>
      <c r="H111" s="12">
        <f>+'29'!H111+'30'!H111+'31'!H111</f>
        <v>550</v>
      </c>
      <c r="I111" s="271"/>
      <c r="J111" s="514">
        <f>+'29'!J111+'30'!J111+'31'!J111</f>
        <v>0</v>
      </c>
      <c r="K111" s="12">
        <f>+'29'!K111+'30'!K111+'31'!K111</f>
        <v>0</v>
      </c>
      <c r="L111" s="12">
        <f>+'29'!L111+'30'!L111+'31'!L111</f>
        <v>0</v>
      </c>
      <c r="M111" s="271"/>
      <c r="N111" s="514">
        <f>+'29'!N111+'30'!N111+'31'!N111</f>
        <v>22</v>
      </c>
      <c r="O111" s="12">
        <f>+'29'!O111+'30'!O111+'31'!O111</f>
        <v>322710</v>
      </c>
      <c r="P111" s="12">
        <f>+'29'!P111+'30'!P111+'31'!P111</f>
        <v>550</v>
      </c>
      <c r="Q111" s="532"/>
      <c r="R111" s="270">
        <v>22</v>
      </c>
      <c r="S111" s="12">
        <v>322710</v>
      </c>
      <c r="T111" s="12">
        <v>0</v>
      </c>
      <c r="U111" s="271"/>
      <c r="V111" s="533">
        <f t="shared" si="9"/>
        <v>0</v>
      </c>
      <c r="W111" s="533">
        <f t="shared" si="10"/>
        <v>0</v>
      </c>
      <c r="X111" s="257"/>
      <c r="Y111" s="261">
        <f t="shared" si="11"/>
        <v>0</v>
      </c>
      <c r="Z111" s="12">
        <f t="shared" si="12"/>
        <v>0</v>
      </c>
      <c r="AB111" s="13">
        <f t="shared" si="8"/>
        <v>322710</v>
      </c>
      <c r="AF111" s="13">
        <f t="shared" si="13"/>
        <v>322710</v>
      </c>
      <c r="AM111" s="12">
        <f t="shared" si="14"/>
        <v>0</v>
      </c>
      <c r="AN111" s="13">
        <f t="shared" si="15"/>
        <v>322710</v>
      </c>
    </row>
    <row r="112" spans="1:40" x14ac:dyDescent="0.25">
      <c r="A112">
        <v>107</v>
      </c>
      <c r="B112" t="s">
        <v>140</v>
      </c>
      <c r="C112" t="s">
        <v>141</v>
      </c>
      <c r="D112" t="s">
        <v>16</v>
      </c>
      <c r="F112" s="514">
        <f>+'29'!F112+'30'!F112+'31'!F112</f>
        <v>0</v>
      </c>
      <c r="G112" s="12">
        <f>+'29'!G112+'30'!G112+'31'!G112</f>
        <v>0</v>
      </c>
      <c r="H112" s="12">
        <f>+'29'!H112+'30'!H112+'31'!H112</f>
        <v>0</v>
      </c>
      <c r="I112" s="271"/>
      <c r="J112" s="514">
        <f>+'29'!J112+'30'!J112+'31'!J112</f>
        <v>0</v>
      </c>
      <c r="K112" s="12">
        <f>+'29'!K112+'30'!K112+'31'!K112</f>
        <v>0</v>
      </c>
      <c r="L112" s="12">
        <f>+'29'!L112+'30'!L112+'31'!L112</f>
        <v>0</v>
      </c>
      <c r="M112" s="271"/>
      <c r="N112" s="514">
        <f>+'29'!N112+'30'!N112+'31'!N112</f>
        <v>0</v>
      </c>
      <c r="O112" s="12">
        <f>+'29'!O112+'30'!O112+'31'!O112</f>
        <v>0</v>
      </c>
      <c r="P112" s="12">
        <f>+'29'!P112+'30'!P112+'31'!P112</f>
        <v>0</v>
      </c>
      <c r="Q112" s="532"/>
      <c r="R112" s="270">
        <v>0</v>
      </c>
      <c r="S112" s="12">
        <v>0</v>
      </c>
      <c r="T112" s="12">
        <v>0</v>
      </c>
      <c r="U112" s="271"/>
      <c r="V112" s="533">
        <f t="shared" si="9"/>
        <v>0</v>
      </c>
      <c r="W112" s="533">
        <f t="shared" si="10"/>
        <v>0</v>
      </c>
      <c r="X112" s="257"/>
      <c r="Y112" s="261">
        <f t="shared" si="11"/>
        <v>0</v>
      </c>
      <c r="Z112" s="12">
        <f t="shared" si="12"/>
        <v>0</v>
      </c>
      <c r="AB112" s="13">
        <f t="shared" si="8"/>
        <v>0</v>
      </c>
      <c r="AF112" s="13">
        <f t="shared" si="13"/>
        <v>0</v>
      </c>
      <c r="AM112" s="12">
        <f t="shared" si="14"/>
        <v>0</v>
      </c>
      <c r="AN112" s="13">
        <f t="shared" si="15"/>
        <v>0</v>
      </c>
    </row>
    <row r="113" spans="1:40" x14ac:dyDescent="0.25">
      <c r="A113">
        <v>108</v>
      </c>
      <c r="B113" t="s">
        <v>142</v>
      </c>
      <c r="D113" t="s">
        <v>16</v>
      </c>
      <c r="F113" s="514">
        <f>+'29'!F113+'30'!F113+'31'!F113</f>
        <v>0</v>
      </c>
      <c r="G113" s="12">
        <f>+'29'!G113+'30'!G113+'31'!G113</f>
        <v>0</v>
      </c>
      <c r="H113" s="12">
        <f>+'29'!H113+'30'!H113+'31'!H113</f>
        <v>0</v>
      </c>
      <c r="I113" s="271"/>
      <c r="J113" s="514">
        <f>+'29'!J113+'30'!J113+'31'!J113</f>
        <v>0</v>
      </c>
      <c r="K113" s="12">
        <f>+'29'!K113+'30'!K113+'31'!K113</f>
        <v>0</v>
      </c>
      <c r="L113" s="12">
        <f>+'29'!L113+'30'!L113+'31'!L113</f>
        <v>0</v>
      </c>
      <c r="M113" s="271"/>
      <c r="N113" s="514">
        <f>+'29'!N113+'30'!N113+'31'!N113</f>
        <v>0</v>
      </c>
      <c r="O113" s="12">
        <f>+'29'!O113+'30'!O113+'31'!O113</f>
        <v>0</v>
      </c>
      <c r="P113" s="12">
        <f>+'29'!P113+'30'!P113+'31'!P113</f>
        <v>0</v>
      </c>
      <c r="Q113" s="532"/>
      <c r="R113" s="270">
        <v>0</v>
      </c>
      <c r="S113" s="12">
        <v>0</v>
      </c>
      <c r="T113" s="12">
        <v>0</v>
      </c>
      <c r="U113" s="271"/>
      <c r="V113" s="533">
        <f t="shared" si="9"/>
        <v>0</v>
      </c>
      <c r="W113" s="533">
        <f t="shared" si="10"/>
        <v>0</v>
      </c>
      <c r="X113" s="257"/>
      <c r="Y113" s="261">
        <f t="shared" si="11"/>
        <v>0</v>
      </c>
      <c r="Z113" s="12">
        <f t="shared" si="12"/>
        <v>0</v>
      </c>
      <c r="AB113" s="13">
        <f t="shared" si="8"/>
        <v>0</v>
      </c>
      <c r="AF113" s="13">
        <f t="shared" si="13"/>
        <v>0</v>
      </c>
      <c r="AM113" s="12">
        <f t="shared" si="14"/>
        <v>0</v>
      </c>
      <c r="AN113" s="13">
        <f t="shared" si="15"/>
        <v>0</v>
      </c>
    </row>
    <row r="114" spans="1:40" x14ac:dyDescent="0.25">
      <c r="A114">
        <v>109</v>
      </c>
      <c r="B114" t="s">
        <v>143</v>
      </c>
      <c r="C114" t="s">
        <v>25</v>
      </c>
      <c r="D114" t="s">
        <v>16</v>
      </c>
      <c r="F114" s="514">
        <f>+'29'!F114+'30'!F114+'31'!F114</f>
        <v>10</v>
      </c>
      <c r="G114" s="12">
        <f>+'29'!G114+'30'!G114+'31'!G114</f>
        <v>6106</v>
      </c>
      <c r="H114" s="12">
        <f>+'29'!H114+'30'!H114+'31'!H114</f>
        <v>100</v>
      </c>
      <c r="I114" s="271"/>
      <c r="J114" s="514">
        <f>+'29'!J114+'30'!J114+'31'!J114</f>
        <v>0</v>
      </c>
      <c r="K114" s="12">
        <f>+'29'!K114+'30'!K114+'31'!K114</f>
        <v>0</v>
      </c>
      <c r="L114" s="12">
        <f>+'29'!L114+'30'!L114+'31'!L114</f>
        <v>0</v>
      </c>
      <c r="M114" s="271"/>
      <c r="N114" s="514">
        <f>+'29'!N114+'30'!N114+'31'!N114</f>
        <v>10</v>
      </c>
      <c r="O114" s="12">
        <f>+'29'!O114+'30'!O114+'31'!O114</f>
        <v>6106</v>
      </c>
      <c r="P114" s="12">
        <f>+'29'!P114+'30'!P114+'31'!P114</f>
        <v>100</v>
      </c>
      <c r="Q114" s="532"/>
      <c r="R114" s="270">
        <v>10</v>
      </c>
      <c r="S114" s="12">
        <v>6106</v>
      </c>
      <c r="T114" s="12">
        <v>0</v>
      </c>
      <c r="U114" s="271"/>
      <c r="V114" s="533">
        <f t="shared" si="9"/>
        <v>0</v>
      </c>
      <c r="W114" s="533">
        <f t="shared" si="10"/>
        <v>0</v>
      </c>
      <c r="X114" s="257"/>
      <c r="Y114" s="261">
        <f t="shared" si="11"/>
        <v>0</v>
      </c>
      <c r="Z114" s="12">
        <f t="shared" si="12"/>
        <v>0</v>
      </c>
      <c r="AB114" s="13">
        <f t="shared" si="8"/>
        <v>6106</v>
      </c>
      <c r="AF114" s="13">
        <f t="shared" si="13"/>
        <v>6106</v>
      </c>
      <c r="AM114" s="12">
        <f t="shared" si="14"/>
        <v>0</v>
      </c>
      <c r="AN114" s="13">
        <f t="shared" si="15"/>
        <v>6106</v>
      </c>
    </row>
    <row r="115" spans="1:40" x14ac:dyDescent="0.25">
      <c r="A115">
        <v>110</v>
      </c>
      <c r="B115" t="s">
        <v>2420</v>
      </c>
      <c r="C115" t="s">
        <v>92</v>
      </c>
      <c r="D115" t="s">
        <v>20</v>
      </c>
      <c r="F115" s="514">
        <f>+'29'!F115+'30'!F115+'31'!F115</f>
        <v>0</v>
      </c>
      <c r="G115" s="12">
        <f>+'29'!G115+'30'!G115+'31'!G115</f>
        <v>0</v>
      </c>
      <c r="H115" s="12">
        <f>+'29'!H115+'30'!H115+'31'!H115</f>
        <v>0</v>
      </c>
      <c r="I115" s="271"/>
      <c r="J115" s="514">
        <f>+'29'!J115+'30'!J115+'31'!J115</f>
        <v>0</v>
      </c>
      <c r="K115" s="12">
        <f>+'29'!K115+'30'!K115+'31'!K115</f>
        <v>0</v>
      </c>
      <c r="L115" s="12">
        <f>+'29'!L115+'30'!L115+'31'!L115</f>
        <v>0</v>
      </c>
      <c r="M115" s="271"/>
      <c r="N115" s="514">
        <f>+'29'!N115+'30'!N115+'31'!N115</f>
        <v>0</v>
      </c>
      <c r="O115" s="12">
        <f>+'29'!O115+'30'!O115+'31'!O115</f>
        <v>0</v>
      </c>
      <c r="P115" s="12">
        <f>+'29'!P115+'30'!P115+'31'!P115</f>
        <v>0</v>
      </c>
      <c r="Q115" s="532"/>
      <c r="R115" s="270">
        <v>0</v>
      </c>
      <c r="S115" s="12">
        <v>0</v>
      </c>
      <c r="T115" s="12">
        <v>0</v>
      </c>
      <c r="U115" s="271"/>
      <c r="V115" s="533">
        <f t="shared" si="9"/>
        <v>0</v>
      </c>
      <c r="W115" s="533">
        <f t="shared" si="10"/>
        <v>0</v>
      </c>
      <c r="X115" s="257"/>
      <c r="Y115" s="261">
        <f t="shared" si="11"/>
        <v>0</v>
      </c>
      <c r="Z115" s="12">
        <f t="shared" si="12"/>
        <v>0</v>
      </c>
      <c r="AB115" s="13">
        <f t="shared" si="8"/>
        <v>0</v>
      </c>
      <c r="AF115" s="13">
        <f t="shared" si="13"/>
        <v>0</v>
      </c>
      <c r="AM115" s="12">
        <f t="shared" si="14"/>
        <v>0</v>
      </c>
      <c r="AN115" s="13">
        <f t="shared" si="15"/>
        <v>0</v>
      </c>
    </row>
    <row r="116" spans="1:40" x14ac:dyDescent="0.25">
      <c r="A116">
        <v>111</v>
      </c>
      <c r="B116" t="s">
        <v>2993</v>
      </c>
      <c r="C116" t="s">
        <v>24</v>
      </c>
      <c r="D116" t="s">
        <v>20</v>
      </c>
      <c r="F116" s="514">
        <f>+'29'!F116+'30'!F116+'31'!F116</f>
        <v>189</v>
      </c>
      <c r="G116" s="12">
        <f>+'29'!G116+'30'!G116+'31'!G116</f>
        <v>4752450</v>
      </c>
      <c r="H116" s="12">
        <f>+'29'!H116+'30'!H116+'31'!H116</f>
        <v>7175</v>
      </c>
      <c r="I116" s="271"/>
      <c r="J116" s="514">
        <f>+'29'!J116+'30'!J116+'31'!J116</f>
        <v>0</v>
      </c>
      <c r="K116" s="12">
        <f>+'29'!K116+'30'!K116+'31'!K116</f>
        <v>0</v>
      </c>
      <c r="L116" s="12">
        <f>+'29'!L116+'30'!L116+'31'!L116</f>
        <v>0</v>
      </c>
      <c r="M116" s="271"/>
      <c r="N116" s="514">
        <f>+'29'!N116+'30'!N116+'31'!N116</f>
        <v>189</v>
      </c>
      <c r="O116" s="12">
        <f>+'29'!O116+'30'!O116+'31'!O116</f>
        <v>4752450</v>
      </c>
      <c r="P116" s="12">
        <f>+'29'!P116+'30'!P116+'31'!P116</f>
        <v>7175</v>
      </c>
      <c r="Q116" s="532"/>
      <c r="R116" s="270">
        <v>189</v>
      </c>
      <c r="S116" s="12">
        <v>4745275</v>
      </c>
      <c r="T116" s="12">
        <v>7175</v>
      </c>
      <c r="U116" s="271"/>
      <c r="V116" s="533">
        <f t="shared" si="9"/>
        <v>0</v>
      </c>
      <c r="W116" s="533">
        <f t="shared" si="10"/>
        <v>7175</v>
      </c>
      <c r="X116" s="257"/>
      <c r="Y116" s="261">
        <f t="shared" si="11"/>
        <v>0</v>
      </c>
      <c r="Z116" s="12">
        <f t="shared" si="12"/>
        <v>7175</v>
      </c>
      <c r="AB116" s="13">
        <f t="shared" si="8"/>
        <v>4752450</v>
      </c>
      <c r="AF116" s="13">
        <f t="shared" si="13"/>
        <v>4752450</v>
      </c>
      <c r="AM116" s="12">
        <f t="shared" si="14"/>
        <v>0</v>
      </c>
      <c r="AN116" s="13">
        <f t="shared" si="15"/>
        <v>4752450</v>
      </c>
    </row>
    <row r="117" spans="1:40" x14ac:dyDescent="0.25">
      <c r="A117">
        <v>112</v>
      </c>
      <c r="B117" t="s">
        <v>144</v>
      </c>
      <c r="C117" t="s">
        <v>15</v>
      </c>
      <c r="D117" t="s">
        <v>20</v>
      </c>
      <c r="F117" s="514">
        <f>+'29'!F117+'30'!F117+'31'!F117</f>
        <v>0</v>
      </c>
      <c r="G117" s="12">
        <f>+'29'!G117+'30'!G117+'31'!G117</f>
        <v>0</v>
      </c>
      <c r="H117" s="12">
        <f>+'29'!H117+'30'!H117+'31'!H117</f>
        <v>0</v>
      </c>
      <c r="I117" s="271"/>
      <c r="J117" s="514">
        <f>+'29'!J117+'30'!J117+'31'!J117</f>
        <v>0</v>
      </c>
      <c r="K117" s="12">
        <f>+'29'!K117+'30'!K117+'31'!K117</f>
        <v>0</v>
      </c>
      <c r="L117" s="12">
        <f>+'29'!L117+'30'!L117+'31'!L117</f>
        <v>0</v>
      </c>
      <c r="M117" s="271"/>
      <c r="N117" s="514">
        <f>+'29'!N117+'30'!N117+'31'!N117</f>
        <v>0</v>
      </c>
      <c r="O117" s="12">
        <f>+'29'!O117+'30'!O117+'31'!O117</f>
        <v>0</v>
      </c>
      <c r="P117" s="12">
        <f>+'29'!P117+'30'!P117+'31'!P117</f>
        <v>0</v>
      </c>
      <c r="Q117" s="532"/>
      <c r="R117" s="270">
        <v>0</v>
      </c>
      <c r="S117" s="12">
        <v>0</v>
      </c>
      <c r="T117" s="12">
        <v>0</v>
      </c>
      <c r="U117" s="271"/>
      <c r="V117" s="533">
        <f t="shared" si="9"/>
        <v>0</v>
      </c>
      <c r="W117" s="533">
        <f t="shared" si="10"/>
        <v>0</v>
      </c>
      <c r="X117" s="257"/>
      <c r="Y117" s="261">
        <f t="shared" si="11"/>
        <v>0</v>
      </c>
      <c r="Z117" s="12">
        <f t="shared" si="12"/>
        <v>0</v>
      </c>
      <c r="AB117" s="13">
        <f t="shared" si="8"/>
        <v>0</v>
      </c>
      <c r="AF117" s="13">
        <f t="shared" si="13"/>
        <v>0</v>
      </c>
      <c r="AM117" s="12">
        <f t="shared" si="14"/>
        <v>0</v>
      </c>
      <c r="AN117" s="13">
        <f t="shared" si="15"/>
        <v>0</v>
      </c>
    </row>
    <row r="118" spans="1:40" x14ac:dyDescent="0.25">
      <c r="A118">
        <v>113</v>
      </c>
      <c r="B118" t="s">
        <v>145</v>
      </c>
      <c r="C118" t="s">
        <v>24</v>
      </c>
      <c r="D118" t="s">
        <v>87</v>
      </c>
      <c r="F118" s="514">
        <f>+'29'!F118+'30'!F118+'31'!F118</f>
        <v>907</v>
      </c>
      <c r="G118" s="12">
        <f>+'29'!G118+'30'!G118+'31'!G118</f>
        <v>18916380.280000001</v>
      </c>
      <c r="H118" s="12">
        <f>+'29'!H118+'30'!H118+'31'!H118</f>
        <v>37400</v>
      </c>
      <c r="I118" s="271"/>
      <c r="J118" s="514">
        <f>+'29'!J118+'30'!J118+'31'!J118</f>
        <v>0</v>
      </c>
      <c r="K118" s="12">
        <f>+'29'!K118+'30'!K118+'31'!K118</f>
        <v>0</v>
      </c>
      <c r="L118" s="12">
        <f>+'29'!L118+'30'!L118+'31'!L118</f>
        <v>0</v>
      </c>
      <c r="M118" s="271"/>
      <c r="N118" s="514">
        <f>+'29'!N118+'30'!N118+'31'!N118</f>
        <v>907</v>
      </c>
      <c r="O118" s="12">
        <f>+'29'!O118+'30'!O118+'31'!O118</f>
        <v>18916380.280000001</v>
      </c>
      <c r="P118" s="12">
        <f>+'29'!P118+'30'!P118+'31'!P118</f>
        <v>37400</v>
      </c>
      <c r="Q118" s="532"/>
      <c r="R118" s="270">
        <v>907</v>
      </c>
      <c r="S118" s="12">
        <v>18878980.280000001</v>
      </c>
      <c r="T118" s="12">
        <v>37400</v>
      </c>
      <c r="U118" s="271"/>
      <c r="V118" s="533">
        <f t="shared" si="9"/>
        <v>0</v>
      </c>
      <c r="W118" s="533">
        <f t="shared" si="10"/>
        <v>37400</v>
      </c>
      <c r="X118" s="257"/>
      <c r="Y118" s="261">
        <f t="shared" si="11"/>
        <v>0</v>
      </c>
      <c r="Z118" s="12">
        <f t="shared" si="12"/>
        <v>37400</v>
      </c>
      <c r="AB118" s="13">
        <f t="shared" si="8"/>
        <v>18916380.280000001</v>
      </c>
      <c r="AF118" s="13">
        <f t="shared" si="13"/>
        <v>18916380.280000001</v>
      </c>
      <c r="AG118" s="16"/>
      <c r="AM118" s="12">
        <f>SUM(AG118:AL118)</f>
        <v>0</v>
      </c>
      <c r="AN118" s="13">
        <f t="shared" si="15"/>
        <v>18916380.280000001</v>
      </c>
    </row>
    <row r="119" spans="1:40" x14ac:dyDescent="0.25">
      <c r="A119">
        <v>114</v>
      </c>
      <c r="B119" t="s">
        <v>146</v>
      </c>
      <c r="C119" t="s">
        <v>15</v>
      </c>
      <c r="D119" t="s">
        <v>45</v>
      </c>
      <c r="F119" s="514">
        <f>+'29'!F119+'30'!F119+'31'!F119</f>
        <v>6807</v>
      </c>
      <c r="G119" s="12">
        <f>+'29'!G119+'30'!G119+'31'!G119</f>
        <v>13590548.680000007</v>
      </c>
      <c r="H119" s="12">
        <f>+'29'!H119+'30'!H119+'31'!H119</f>
        <v>38267.5</v>
      </c>
      <c r="I119" s="271"/>
      <c r="J119" s="514">
        <f>+'29'!J119+'30'!J119+'31'!J119</f>
        <v>0</v>
      </c>
      <c r="K119" s="12">
        <f>+'29'!K119+'30'!K119+'31'!K119</f>
        <v>0</v>
      </c>
      <c r="L119" s="12">
        <f>+'29'!L119+'30'!L119+'31'!L119</f>
        <v>0</v>
      </c>
      <c r="M119" s="271"/>
      <c r="N119" s="514">
        <f>+'29'!N119+'30'!N119+'31'!N119</f>
        <v>6807</v>
      </c>
      <c r="O119" s="12">
        <f>+'29'!O119+'30'!O119+'31'!O119</f>
        <v>13590548.680000007</v>
      </c>
      <c r="P119" s="12">
        <f>+'29'!P119+'30'!P119+'31'!P119</f>
        <v>38267.5</v>
      </c>
      <c r="Q119" s="532"/>
      <c r="R119" s="270">
        <v>6807</v>
      </c>
      <c r="S119" s="12">
        <v>13590548.680000007</v>
      </c>
      <c r="T119" s="12">
        <v>0</v>
      </c>
      <c r="U119" s="271"/>
      <c r="V119" s="533">
        <f t="shared" si="9"/>
        <v>0</v>
      </c>
      <c r="W119" s="533">
        <f t="shared" si="10"/>
        <v>0</v>
      </c>
      <c r="X119" s="257"/>
      <c r="Y119" s="261">
        <f t="shared" si="11"/>
        <v>0</v>
      </c>
      <c r="Z119" s="12">
        <f t="shared" si="12"/>
        <v>0</v>
      </c>
      <c r="AB119" s="13">
        <f t="shared" si="8"/>
        <v>13590548.680000007</v>
      </c>
      <c r="AF119" s="13">
        <f t="shared" si="13"/>
        <v>13590548.680000007</v>
      </c>
      <c r="AG119" s="16">
        <v>2262863.5915178573</v>
      </c>
      <c r="AJ119" s="13">
        <v>2000</v>
      </c>
      <c r="AM119" s="12">
        <f t="shared" si="14"/>
        <v>2264863.5915178573</v>
      </c>
      <c r="AN119" s="13">
        <f t="shared" si="15"/>
        <v>11325685.088482149</v>
      </c>
    </row>
    <row r="120" spans="1:40" x14ac:dyDescent="0.25">
      <c r="A120">
        <v>115</v>
      </c>
      <c r="B120" t="s">
        <v>147</v>
      </c>
      <c r="C120" t="s">
        <v>148</v>
      </c>
      <c r="D120" t="s">
        <v>45</v>
      </c>
      <c r="F120" s="514">
        <f>+'29'!F120+'30'!F120+'31'!F120</f>
        <v>2134</v>
      </c>
      <c r="G120" s="12">
        <f>+'29'!G120+'30'!G120+'31'!G120</f>
        <v>11155739.020000001</v>
      </c>
      <c r="H120" s="12">
        <f>+'29'!H120+'30'!H120+'31'!H120</f>
        <v>106700</v>
      </c>
      <c r="I120" s="271"/>
      <c r="J120" s="514">
        <f>+'29'!J120+'30'!J120+'31'!J120</f>
        <v>0</v>
      </c>
      <c r="K120" s="12">
        <f>+'29'!K120+'30'!K120+'31'!K120</f>
        <v>0</v>
      </c>
      <c r="L120" s="12">
        <f>+'29'!L120+'30'!L120+'31'!L120</f>
        <v>0</v>
      </c>
      <c r="M120" s="271"/>
      <c r="N120" s="514">
        <f>+'29'!N120+'30'!N120+'31'!N120</f>
        <v>2134</v>
      </c>
      <c r="O120" s="12">
        <f>+'29'!O120+'30'!O120+'31'!O120</f>
        <v>11155739.020000001</v>
      </c>
      <c r="P120" s="12">
        <f>+'29'!P120+'30'!P120+'31'!P120</f>
        <v>106700</v>
      </c>
      <c r="Q120" s="532"/>
      <c r="R120" s="270">
        <v>2134</v>
      </c>
      <c r="S120" s="12">
        <v>11155739.02</v>
      </c>
      <c r="T120" s="12">
        <v>0</v>
      </c>
      <c r="U120" s="271"/>
      <c r="V120" s="533">
        <f t="shared" si="9"/>
        <v>0</v>
      </c>
      <c r="W120" s="533">
        <f t="shared" si="10"/>
        <v>0</v>
      </c>
      <c r="X120" s="257"/>
      <c r="Y120" s="261">
        <f t="shared" si="11"/>
        <v>0</v>
      </c>
      <c r="Z120" s="12">
        <f t="shared" si="12"/>
        <v>0</v>
      </c>
      <c r="AB120" s="13">
        <f t="shared" si="8"/>
        <v>11155739.020000001</v>
      </c>
      <c r="AF120" s="13">
        <f t="shared" si="13"/>
        <v>11155739.020000001</v>
      </c>
      <c r="AG120" s="16">
        <v>2645843.75</v>
      </c>
      <c r="AI120" s="33">
        <v>12500</v>
      </c>
      <c r="AM120" s="12">
        <f t="shared" si="14"/>
        <v>2658343.75</v>
      </c>
      <c r="AN120" s="13">
        <f t="shared" si="15"/>
        <v>8497395.2700000014</v>
      </c>
    </row>
    <row r="121" spans="1:40" x14ac:dyDescent="0.25">
      <c r="A121">
        <v>116</v>
      </c>
      <c r="B121" t="s">
        <v>149</v>
      </c>
      <c r="C121" t="s">
        <v>18</v>
      </c>
      <c r="D121" t="s">
        <v>16</v>
      </c>
      <c r="F121" s="514">
        <f>+'29'!F121+'30'!F121+'31'!F121</f>
        <v>6</v>
      </c>
      <c r="G121" s="12">
        <f>+'29'!G121+'30'!G121+'31'!G121</f>
        <v>7597</v>
      </c>
      <c r="H121" s="12">
        <f>+'29'!H121+'30'!H121+'31'!H121</f>
        <v>110</v>
      </c>
      <c r="I121" s="271"/>
      <c r="J121" s="514">
        <f>+'29'!J121+'30'!J121+'31'!J121</f>
        <v>0</v>
      </c>
      <c r="K121" s="12">
        <f>+'29'!K121+'30'!K121+'31'!K121</f>
        <v>0</v>
      </c>
      <c r="L121" s="12">
        <f>+'29'!L121+'30'!L121+'31'!L121</f>
        <v>0</v>
      </c>
      <c r="M121" s="271"/>
      <c r="N121" s="514">
        <f>+'29'!N121+'30'!N121+'31'!N121</f>
        <v>6</v>
      </c>
      <c r="O121" s="12">
        <f>+'29'!O121+'30'!O121+'31'!O121</f>
        <v>7597</v>
      </c>
      <c r="P121" s="12">
        <f>+'29'!P121+'30'!P121+'31'!P121</f>
        <v>110</v>
      </c>
      <c r="Q121" s="532"/>
      <c r="R121" s="270">
        <v>6</v>
      </c>
      <c r="S121" s="12">
        <v>7597</v>
      </c>
      <c r="T121" s="12">
        <v>0</v>
      </c>
      <c r="U121" s="271"/>
      <c r="V121" s="533">
        <f t="shared" si="9"/>
        <v>0</v>
      </c>
      <c r="W121" s="533">
        <f t="shared" si="10"/>
        <v>0</v>
      </c>
      <c r="X121" s="257"/>
      <c r="Y121" s="261">
        <f t="shared" si="11"/>
        <v>0</v>
      </c>
      <c r="Z121" s="12">
        <f t="shared" si="12"/>
        <v>0</v>
      </c>
      <c r="AB121" s="13">
        <f t="shared" si="8"/>
        <v>7597</v>
      </c>
      <c r="AF121" s="13">
        <f t="shared" si="13"/>
        <v>7597</v>
      </c>
      <c r="AM121" s="12">
        <f t="shared" si="14"/>
        <v>0</v>
      </c>
      <c r="AN121" s="13">
        <f t="shared" si="15"/>
        <v>7597</v>
      </c>
    </row>
    <row r="122" spans="1:40" x14ac:dyDescent="0.25">
      <c r="A122">
        <v>117</v>
      </c>
      <c r="B122" t="s">
        <v>150</v>
      </c>
      <c r="D122" t="s">
        <v>16</v>
      </c>
      <c r="F122" s="514">
        <f>+'29'!F122+'30'!F122+'31'!F122</f>
        <v>0</v>
      </c>
      <c r="G122" s="12">
        <f>+'29'!G122+'30'!G122+'31'!G122</f>
        <v>0</v>
      </c>
      <c r="H122" s="12">
        <f>+'29'!H122+'30'!H122+'31'!H122</f>
        <v>0</v>
      </c>
      <c r="I122" s="271"/>
      <c r="J122" s="514">
        <f>+'29'!J122+'30'!J122+'31'!J122</f>
        <v>0</v>
      </c>
      <c r="K122" s="12">
        <f>+'29'!K122+'30'!K122+'31'!K122</f>
        <v>0</v>
      </c>
      <c r="L122" s="12">
        <f>+'29'!L122+'30'!L122+'31'!L122</f>
        <v>0</v>
      </c>
      <c r="M122" s="271"/>
      <c r="N122" s="514">
        <f>+'29'!N122+'30'!N122+'31'!N122</f>
        <v>0</v>
      </c>
      <c r="O122" s="12">
        <f>+'29'!O122+'30'!O122+'31'!O122</f>
        <v>0</v>
      </c>
      <c r="P122" s="12">
        <f>+'29'!P122+'30'!P122+'31'!P122</f>
        <v>0</v>
      </c>
      <c r="Q122" s="532"/>
      <c r="R122" s="270">
        <v>0</v>
      </c>
      <c r="S122" s="12">
        <v>0</v>
      </c>
      <c r="T122" s="12">
        <v>0</v>
      </c>
      <c r="U122" s="271"/>
      <c r="V122" s="533">
        <f t="shared" si="9"/>
        <v>0</v>
      </c>
      <c r="W122" s="533">
        <f t="shared" si="10"/>
        <v>0</v>
      </c>
      <c r="X122" s="257"/>
      <c r="Y122" s="261">
        <f t="shared" si="11"/>
        <v>0</v>
      </c>
      <c r="Z122" s="12">
        <f t="shared" si="12"/>
        <v>0</v>
      </c>
      <c r="AB122" s="13">
        <f t="shared" si="8"/>
        <v>0</v>
      </c>
      <c r="AF122" s="13">
        <f t="shared" si="13"/>
        <v>0</v>
      </c>
      <c r="AG122" s="16"/>
      <c r="AJ122" s="13"/>
      <c r="AL122" s="33"/>
      <c r="AM122" s="12">
        <f t="shared" si="14"/>
        <v>0</v>
      </c>
      <c r="AN122" s="13">
        <f t="shared" si="15"/>
        <v>0</v>
      </c>
    </row>
    <row r="123" spans="1:40" x14ac:dyDescent="0.25">
      <c r="A123">
        <v>118</v>
      </c>
      <c r="B123" t="s">
        <v>151</v>
      </c>
      <c r="C123" t="s">
        <v>25</v>
      </c>
      <c r="D123" t="s">
        <v>16</v>
      </c>
      <c r="F123" s="514">
        <f>+'29'!F123+'30'!F123+'31'!F123</f>
        <v>42</v>
      </c>
      <c r="G123" s="12">
        <f>+'29'!G123+'30'!G123+'31'!G123</f>
        <v>719350.77</v>
      </c>
      <c r="H123" s="12">
        <f>+'29'!H123+'30'!H123+'31'!H123</f>
        <v>1260</v>
      </c>
      <c r="I123" s="271"/>
      <c r="J123" s="514">
        <f>+'29'!J123+'30'!J123+'31'!J123</f>
        <v>0</v>
      </c>
      <c r="K123" s="12">
        <f>+'29'!K123+'30'!K123+'31'!K123</f>
        <v>0</v>
      </c>
      <c r="L123" s="12">
        <f>+'29'!L123+'30'!L123+'31'!L123</f>
        <v>0</v>
      </c>
      <c r="M123" s="271"/>
      <c r="N123" s="514">
        <f>+'29'!N123+'30'!N123+'31'!N123</f>
        <v>42</v>
      </c>
      <c r="O123" s="12">
        <f>+'29'!O123+'30'!O123+'31'!O123</f>
        <v>719350.77</v>
      </c>
      <c r="P123" s="12">
        <f>+'29'!P123+'30'!P123+'31'!P123</f>
        <v>1260</v>
      </c>
      <c r="Q123" s="532"/>
      <c r="R123" s="270">
        <v>42</v>
      </c>
      <c r="S123" s="12">
        <v>719350.77</v>
      </c>
      <c r="T123" s="12">
        <v>0</v>
      </c>
      <c r="U123" s="271"/>
      <c r="V123" s="533">
        <f t="shared" si="9"/>
        <v>0</v>
      </c>
      <c r="W123" s="533">
        <f t="shared" si="10"/>
        <v>0</v>
      </c>
      <c r="X123" s="257"/>
      <c r="Y123" s="261">
        <f t="shared" si="11"/>
        <v>0</v>
      </c>
      <c r="Z123" s="12">
        <f t="shared" si="12"/>
        <v>0</v>
      </c>
      <c r="AB123" s="13">
        <f t="shared" si="8"/>
        <v>719350.77</v>
      </c>
      <c r="AD123" s="16"/>
      <c r="AF123" s="13">
        <f t="shared" si="13"/>
        <v>719350.77</v>
      </c>
      <c r="AG123" s="16"/>
      <c r="AI123" s="33"/>
      <c r="AM123" s="12">
        <f t="shared" si="14"/>
        <v>0</v>
      </c>
      <c r="AN123" s="13">
        <f t="shared" si="15"/>
        <v>719350.77</v>
      </c>
    </row>
    <row r="124" spans="1:40" x14ac:dyDescent="0.25">
      <c r="A124">
        <v>119</v>
      </c>
      <c r="B124" t="s">
        <v>152</v>
      </c>
      <c r="C124" t="s">
        <v>18</v>
      </c>
      <c r="D124" t="s">
        <v>16</v>
      </c>
      <c r="F124" s="514">
        <f>+'29'!F124+'30'!F124+'31'!F124</f>
        <v>0</v>
      </c>
      <c r="G124" s="12">
        <f>+'29'!G124+'30'!G124+'31'!G124</f>
        <v>0</v>
      </c>
      <c r="H124" s="12">
        <f>+'29'!H124+'30'!H124+'31'!H124</f>
        <v>0</v>
      </c>
      <c r="I124" s="271"/>
      <c r="J124" s="514">
        <f>+'29'!J124+'30'!J124+'31'!J124</f>
        <v>0</v>
      </c>
      <c r="K124" s="12">
        <f>+'29'!K124+'30'!K124+'31'!K124</f>
        <v>0</v>
      </c>
      <c r="L124" s="12">
        <f>+'29'!L124+'30'!L124+'31'!L124</f>
        <v>0</v>
      </c>
      <c r="M124" s="271"/>
      <c r="N124" s="514">
        <f>+'29'!N124+'30'!N124+'31'!N124</f>
        <v>0</v>
      </c>
      <c r="O124" s="12">
        <f>+'29'!O124+'30'!O124+'31'!O124</f>
        <v>0</v>
      </c>
      <c r="P124" s="12">
        <f>+'29'!P124+'30'!P124+'31'!P124</f>
        <v>0</v>
      </c>
      <c r="Q124" s="532"/>
      <c r="R124" s="270">
        <v>0</v>
      </c>
      <c r="S124" s="12">
        <v>0</v>
      </c>
      <c r="T124" s="12">
        <v>0</v>
      </c>
      <c r="U124" s="271"/>
      <c r="V124" s="533">
        <f t="shared" si="9"/>
        <v>0</v>
      </c>
      <c r="W124" s="533">
        <f t="shared" si="10"/>
        <v>0</v>
      </c>
      <c r="X124" s="257"/>
      <c r="Y124" s="261">
        <f t="shared" si="11"/>
        <v>0</v>
      </c>
      <c r="Z124" s="12">
        <f t="shared" si="12"/>
        <v>0</v>
      </c>
      <c r="AB124" s="13">
        <f t="shared" si="8"/>
        <v>0</v>
      </c>
      <c r="AF124" s="13">
        <f t="shared" si="13"/>
        <v>0</v>
      </c>
      <c r="AM124" s="12">
        <f t="shared" si="14"/>
        <v>0</v>
      </c>
      <c r="AN124" s="13">
        <f t="shared" si="15"/>
        <v>0</v>
      </c>
    </row>
    <row r="125" spans="1:40" x14ac:dyDescent="0.25">
      <c r="A125">
        <v>120</v>
      </c>
      <c r="B125" t="s">
        <v>153</v>
      </c>
      <c r="C125" t="s">
        <v>154</v>
      </c>
      <c r="D125" t="s">
        <v>16</v>
      </c>
      <c r="F125" s="514">
        <f>+'29'!F125+'30'!F125+'31'!F125</f>
        <v>0</v>
      </c>
      <c r="G125" s="12">
        <f>+'29'!G125+'30'!G125+'31'!G125</f>
        <v>0</v>
      </c>
      <c r="H125" s="12">
        <f>+'29'!H125+'30'!H125+'31'!H125</f>
        <v>0</v>
      </c>
      <c r="I125" s="271"/>
      <c r="J125" s="514">
        <f>+'29'!J125+'30'!J125+'31'!J125</f>
        <v>0</v>
      </c>
      <c r="K125" s="12">
        <f>+'29'!K125+'30'!K125+'31'!K125</f>
        <v>0</v>
      </c>
      <c r="L125" s="12">
        <f>+'29'!L125+'30'!L125+'31'!L125</f>
        <v>0</v>
      </c>
      <c r="M125" s="271"/>
      <c r="N125" s="514">
        <f>+'29'!N125+'30'!N125+'31'!N125</f>
        <v>0</v>
      </c>
      <c r="O125" s="12">
        <f>+'29'!O125+'30'!O125+'31'!O125</f>
        <v>0</v>
      </c>
      <c r="P125" s="12">
        <f>+'29'!P125+'30'!P125+'31'!P125</f>
        <v>0</v>
      </c>
      <c r="Q125" s="532"/>
      <c r="R125" s="270">
        <v>0</v>
      </c>
      <c r="S125" s="12">
        <v>0</v>
      </c>
      <c r="T125" s="12">
        <v>0</v>
      </c>
      <c r="U125" s="271"/>
      <c r="V125" s="533">
        <f t="shared" si="9"/>
        <v>0</v>
      </c>
      <c r="W125" s="533">
        <f t="shared" si="10"/>
        <v>0</v>
      </c>
      <c r="X125" s="257"/>
      <c r="Y125" s="261">
        <f t="shared" si="11"/>
        <v>0</v>
      </c>
      <c r="Z125" s="12">
        <f t="shared" si="12"/>
        <v>0</v>
      </c>
      <c r="AB125" s="13">
        <f t="shared" si="8"/>
        <v>0</v>
      </c>
      <c r="AF125" s="13">
        <f t="shared" si="13"/>
        <v>0</v>
      </c>
      <c r="AG125" s="16"/>
      <c r="AJ125" s="13"/>
      <c r="AL125" s="33"/>
      <c r="AM125" s="12">
        <f t="shared" si="14"/>
        <v>0</v>
      </c>
      <c r="AN125" s="13">
        <f t="shared" si="15"/>
        <v>0</v>
      </c>
    </row>
    <row r="126" spans="1:40" x14ac:dyDescent="0.25">
      <c r="A126">
        <v>121</v>
      </c>
      <c r="B126" t="s">
        <v>155</v>
      </c>
      <c r="C126" t="s">
        <v>25</v>
      </c>
      <c r="D126" t="s">
        <v>16</v>
      </c>
      <c r="F126" s="514">
        <f>+'29'!F126+'30'!F126+'31'!F126</f>
        <v>0</v>
      </c>
      <c r="G126" s="12">
        <f>+'29'!G126+'30'!G126+'31'!G126</f>
        <v>0</v>
      </c>
      <c r="H126" s="12">
        <f>+'29'!H126+'30'!H126+'31'!H126</f>
        <v>0</v>
      </c>
      <c r="I126" s="271"/>
      <c r="J126" s="514">
        <f>+'29'!J126+'30'!J126+'31'!J126</f>
        <v>0</v>
      </c>
      <c r="K126" s="12">
        <f>+'29'!K126+'30'!K126+'31'!K126</f>
        <v>0</v>
      </c>
      <c r="L126" s="12">
        <f>+'29'!L126+'30'!L126+'31'!L126</f>
        <v>0</v>
      </c>
      <c r="M126" s="271"/>
      <c r="N126" s="514">
        <f>+'29'!N126+'30'!N126+'31'!N126</f>
        <v>0</v>
      </c>
      <c r="O126" s="12">
        <f>+'29'!O126+'30'!O126+'31'!O126</f>
        <v>0</v>
      </c>
      <c r="P126" s="12">
        <f>+'29'!P126+'30'!P126+'31'!P126</f>
        <v>0</v>
      </c>
      <c r="Q126" s="532"/>
      <c r="R126" s="270">
        <v>0</v>
      </c>
      <c r="S126" s="12">
        <v>0</v>
      </c>
      <c r="T126" s="12">
        <v>0</v>
      </c>
      <c r="U126" s="271"/>
      <c r="V126" s="533">
        <f t="shared" si="9"/>
        <v>0</v>
      </c>
      <c r="W126" s="533">
        <f t="shared" si="10"/>
        <v>0</v>
      </c>
      <c r="X126" s="257"/>
      <c r="Y126" s="261">
        <f t="shared" si="11"/>
        <v>0</v>
      </c>
      <c r="Z126" s="12">
        <f t="shared" si="12"/>
        <v>0</v>
      </c>
      <c r="AB126" s="13">
        <f t="shared" si="8"/>
        <v>0</v>
      </c>
      <c r="AD126" s="16"/>
      <c r="AF126" s="13">
        <f t="shared" si="13"/>
        <v>0</v>
      </c>
      <c r="AG126" s="16"/>
      <c r="AI126" s="33"/>
      <c r="AM126" s="12">
        <f t="shared" si="14"/>
        <v>0</v>
      </c>
      <c r="AN126" s="13">
        <f t="shared" si="15"/>
        <v>0</v>
      </c>
    </row>
    <row r="127" spans="1:40" x14ac:dyDescent="0.25">
      <c r="A127">
        <v>122</v>
      </c>
      <c r="B127" t="s">
        <v>156</v>
      </c>
      <c r="C127" t="s">
        <v>18</v>
      </c>
      <c r="D127" t="s">
        <v>16</v>
      </c>
      <c r="F127" s="514">
        <f>+'29'!F127+'30'!F127+'31'!F127</f>
        <v>0</v>
      </c>
      <c r="G127" s="12">
        <f>+'29'!G127+'30'!G127+'31'!G127</f>
        <v>0</v>
      </c>
      <c r="H127" s="12">
        <f>+'29'!H127+'30'!H127+'31'!H127</f>
        <v>0</v>
      </c>
      <c r="I127" s="271"/>
      <c r="J127" s="514">
        <f>+'29'!J127+'30'!J127+'31'!J127</f>
        <v>0</v>
      </c>
      <c r="K127" s="12">
        <f>+'29'!K127+'30'!K127+'31'!K127</f>
        <v>0</v>
      </c>
      <c r="L127" s="12">
        <f>+'29'!L127+'30'!L127+'31'!L127</f>
        <v>0</v>
      </c>
      <c r="M127" s="271"/>
      <c r="N127" s="514">
        <f>+'29'!N127+'30'!N127+'31'!N127</f>
        <v>0</v>
      </c>
      <c r="O127" s="12">
        <f>+'29'!O127+'30'!O127+'31'!O127</f>
        <v>0</v>
      </c>
      <c r="P127" s="12">
        <f>+'29'!P127+'30'!P127+'31'!P127</f>
        <v>0</v>
      </c>
      <c r="Q127" s="532"/>
      <c r="R127" s="270">
        <v>0</v>
      </c>
      <c r="S127" s="12">
        <v>0</v>
      </c>
      <c r="T127" s="12">
        <v>0</v>
      </c>
      <c r="U127" s="271"/>
      <c r="V127" s="533">
        <f t="shared" si="9"/>
        <v>0</v>
      </c>
      <c r="W127" s="533">
        <f t="shared" si="10"/>
        <v>0</v>
      </c>
      <c r="X127" s="257"/>
      <c r="Y127" s="261">
        <f t="shared" si="11"/>
        <v>0</v>
      </c>
      <c r="Z127" s="12">
        <f t="shared" si="12"/>
        <v>0</v>
      </c>
      <c r="AB127" s="13">
        <f t="shared" si="8"/>
        <v>0</v>
      </c>
      <c r="AF127" s="13">
        <f t="shared" si="13"/>
        <v>0</v>
      </c>
      <c r="AM127" s="12">
        <f t="shared" si="14"/>
        <v>0</v>
      </c>
      <c r="AN127" s="13">
        <f t="shared" si="15"/>
        <v>0</v>
      </c>
    </row>
    <row r="128" spans="1:40" x14ac:dyDescent="0.25">
      <c r="A128">
        <v>123</v>
      </c>
      <c r="B128" t="s">
        <v>157</v>
      </c>
      <c r="C128" t="s">
        <v>158</v>
      </c>
      <c r="D128" t="s">
        <v>16</v>
      </c>
      <c r="F128" s="514">
        <f>+'29'!F128+'30'!F128+'31'!F128</f>
        <v>31</v>
      </c>
      <c r="G128" s="12">
        <f>+'29'!G128+'30'!G128+'31'!G128</f>
        <v>57124.52</v>
      </c>
      <c r="H128" s="12">
        <f>+'29'!H128+'30'!H128+'31'!H128</f>
        <v>1220</v>
      </c>
      <c r="I128" s="271"/>
      <c r="J128" s="514">
        <f>+'29'!J128+'30'!J128+'31'!J128</f>
        <v>0</v>
      </c>
      <c r="K128" s="12">
        <f>+'29'!K128+'30'!K128+'31'!K128</f>
        <v>0</v>
      </c>
      <c r="L128" s="12">
        <f>+'29'!L128+'30'!L128+'31'!L128</f>
        <v>0</v>
      </c>
      <c r="M128" s="271"/>
      <c r="N128" s="514">
        <f>+'29'!N128+'30'!N128+'31'!N128</f>
        <v>31</v>
      </c>
      <c r="O128" s="12">
        <f>+'29'!O128+'30'!O128+'31'!O128</f>
        <v>57124.52</v>
      </c>
      <c r="P128" s="12">
        <f>+'29'!P128+'30'!P128+'31'!P128</f>
        <v>1220</v>
      </c>
      <c r="Q128" s="532"/>
      <c r="R128" s="270">
        <v>31</v>
      </c>
      <c r="S128" s="12">
        <v>57124.52</v>
      </c>
      <c r="T128" s="12">
        <v>0</v>
      </c>
      <c r="U128" s="271"/>
      <c r="V128" s="533">
        <f t="shared" si="9"/>
        <v>0</v>
      </c>
      <c r="W128" s="533">
        <f t="shared" si="10"/>
        <v>0</v>
      </c>
      <c r="X128" s="257"/>
      <c r="Y128" s="261">
        <f t="shared" si="11"/>
        <v>0</v>
      </c>
      <c r="Z128" s="12">
        <f t="shared" si="12"/>
        <v>0</v>
      </c>
      <c r="AB128" s="13">
        <f t="shared" si="8"/>
        <v>57124.52</v>
      </c>
      <c r="AF128" s="13">
        <f t="shared" si="13"/>
        <v>57124.52</v>
      </c>
      <c r="AM128" s="12">
        <f t="shared" si="14"/>
        <v>0</v>
      </c>
      <c r="AN128" s="13">
        <f t="shared" si="15"/>
        <v>57124.52</v>
      </c>
    </row>
    <row r="129" spans="1:40" x14ac:dyDescent="0.25">
      <c r="A129">
        <v>124</v>
      </c>
      <c r="B129" t="s">
        <v>159</v>
      </c>
      <c r="C129" t="s">
        <v>18</v>
      </c>
      <c r="D129" t="s">
        <v>16</v>
      </c>
      <c r="F129" s="514">
        <f>+'29'!F129+'30'!F129+'31'!F129</f>
        <v>0</v>
      </c>
      <c r="G129" s="12">
        <f>+'29'!G129+'30'!G129+'31'!G129</f>
        <v>0</v>
      </c>
      <c r="H129" s="12">
        <f>+'29'!H129+'30'!H129+'31'!H129</f>
        <v>0</v>
      </c>
      <c r="I129" s="271"/>
      <c r="J129" s="514">
        <f>+'29'!J129+'30'!J129+'31'!J129</f>
        <v>0</v>
      </c>
      <c r="K129" s="12">
        <f>+'29'!K129+'30'!K129+'31'!K129</f>
        <v>0</v>
      </c>
      <c r="L129" s="12">
        <f>+'29'!L129+'30'!L129+'31'!L129</f>
        <v>0</v>
      </c>
      <c r="M129" s="271"/>
      <c r="N129" s="514">
        <f>+'29'!N129+'30'!N129+'31'!N129</f>
        <v>0</v>
      </c>
      <c r="O129" s="12">
        <f>+'29'!O129+'30'!O129+'31'!O129</f>
        <v>0</v>
      </c>
      <c r="P129" s="12">
        <f>+'29'!P129+'30'!P129+'31'!P129</f>
        <v>0</v>
      </c>
      <c r="Q129" s="532"/>
      <c r="R129" s="270">
        <v>0</v>
      </c>
      <c r="S129" s="12">
        <v>0</v>
      </c>
      <c r="T129" s="12">
        <v>0</v>
      </c>
      <c r="U129" s="271"/>
      <c r="V129" s="533">
        <f t="shared" si="9"/>
        <v>0</v>
      </c>
      <c r="W129" s="533">
        <f t="shared" si="10"/>
        <v>0</v>
      </c>
      <c r="X129" s="257"/>
      <c r="Y129" s="261">
        <f t="shared" si="11"/>
        <v>0</v>
      </c>
      <c r="Z129" s="12">
        <f t="shared" si="12"/>
        <v>0</v>
      </c>
      <c r="AB129" s="13">
        <f t="shared" si="8"/>
        <v>0</v>
      </c>
      <c r="AF129" s="13">
        <f t="shared" si="13"/>
        <v>0</v>
      </c>
      <c r="AM129" s="12">
        <f t="shared" si="14"/>
        <v>0</v>
      </c>
      <c r="AN129" s="13">
        <f t="shared" si="15"/>
        <v>0</v>
      </c>
    </row>
    <row r="130" spans="1:40" x14ac:dyDescent="0.25">
      <c r="A130">
        <v>125</v>
      </c>
      <c r="B130" t="s">
        <v>160</v>
      </c>
      <c r="C130" t="s">
        <v>18</v>
      </c>
      <c r="D130" t="s">
        <v>16</v>
      </c>
      <c r="F130" s="514">
        <f>+'29'!F130+'30'!F130+'31'!F130</f>
        <v>395</v>
      </c>
      <c r="G130" s="12">
        <f>+'29'!G130+'30'!G130+'31'!G130</f>
        <v>615531.31000000006</v>
      </c>
      <c r="H130" s="12">
        <f>+'29'!H130+'30'!H130+'31'!H130</f>
        <v>3160</v>
      </c>
      <c r="I130" s="271"/>
      <c r="J130" s="514">
        <f>+'29'!J130+'30'!J130+'31'!J130</f>
        <v>0</v>
      </c>
      <c r="K130" s="12">
        <f>+'29'!K130+'30'!K130+'31'!K130</f>
        <v>0</v>
      </c>
      <c r="L130" s="12">
        <f>+'29'!L130+'30'!L130+'31'!L130</f>
        <v>0</v>
      </c>
      <c r="M130" s="271"/>
      <c r="N130" s="514">
        <f>+'29'!N130+'30'!N130+'31'!N130</f>
        <v>395</v>
      </c>
      <c r="O130" s="12">
        <f>+'29'!O130+'30'!O130+'31'!O130</f>
        <v>615531.31000000006</v>
      </c>
      <c r="P130" s="12">
        <f>+'29'!P130+'30'!P130+'31'!P130</f>
        <v>3160</v>
      </c>
      <c r="Q130" s="532"/>
      <c r="R130" s="270">
        <v>395</v>
      </c>
      <c r="S130" s="12">
        <v>615531.31000000006</v>
      </c>
      <c r="T130" s="12">
        <v>0</v>
      </c>
      <c r="U130" s="271"/>
      <c r="V130" s="533">
        <f t="shared" si="9"/>
        <v>0</v>
      </c>
      <c r="W130" s="533">
        <f t="shared" si="10"/>
        <v>0</v>
      </c>
      <c r="X130" s="257"/>
      <c r="Y130" s="261">
        <f t="shared" si="11"/>
        <v>0</v>
      </c>
      <c r="Z130" s="12">
        <f t="shared" si="12"/>
        <v>0</v>
      </c>
      <c r="AB130" s="13">
        <f t="shared" si="8"/>
        <v>615531.31000000006</v>
      </c>
      <c r="AF130" s="13">
        <f t="shared" si="13"/>
        <v>615531.31000000006</v>
      </c>
      <c r="AM130" s="12">
        <f t="shared" si="14"/>
        <v>0</v>
      </c>
      <c r="AN130" s="13">
        <f t="shared" si="15"/>
        <v>615531.31000000006</v>
      </c>
    </row>
    <row r="131" spans="1:40" x14ac:dyDescent="0.25">
      <c r="A131">
        <v>126</v>
      </c>
      <c r="B131" t="s">
        <v>161</v>
      </c>
      <c r="C131" t="s">
        <v>15</v>
      </c>
      <c r="D131" t="s">
        <v>45</v>
      </c>
      <c r="F131" s="514">
        <f>+'29'!F131+'30'!F131+'31'!F131</f>
        <v>104</v>
      </c>
      <c r="G131" s="12">
        <f>+'29'!G131+'30'!G131+'31'!G131</f>
        <v>147242.29</v>
      </c>
      <c r="H131" s="12">
        <f>+'29'!H131+'30'!H131+'31'!H131</f>
        <v>936</v>
      </c>
      <c r="I131" s="271"/>
      <c r="J131" s="514">
        <f>+'29'!J131+'30'!J131+'31'!J131</f>
        <v>0</v>
      </c>
      <c r="K131" s="12">
        <f>+'29'!K131+'30'!K131+'31'!K131</f>
        <v>0</v>
      </c>
      <c r="L131" s="12">
        <f>+'29'!L131+'30'!L131+'31'!L131</f>
        <v>0</v>
      </c>
      <c r="M131" s="271"/>
      <c r="N131" s="514">
        <f>+'29'!N131+'30'!N131+'31'!N131</f>
        <v>104</v>
      </c>
      <c r="O131" s="12">
        <f>+'29'!O131+'30'!O131+'31'!O131</f>
        <v>147242.29</v>
      </c>
      <c r="P131" s="12">
        <f>+'29'!P131+'30'!P131+'31'!P131</f>
        <v>936</v>
      </c>
      <c r="Q131" s="532"/>
      <c r="R131" s="270">
        <v>104</v>
      </c>
      <c r="S131" s="12">
        <v>147242.29</v>
      </c>
      <c r="T131" s="12">
        <v>0</v>
      </c>
      <c r="U131" s="271"/>
      <c r="V131" s="533">
        <f t="shared" si="9"/>
        <v>0</v>
      </c>
      <c r="W131" s="533">
        <f t="shared" si="10"/>
        <v>0</v>
      </c>
      <c r="X131" s="257"/>
      <c r="Y131" s="261">
        <f t="shared" si="11"/>
        <v>0</v>
      </c>
      <c r="Z131" s="12">
        <f t="shared" si="12"/>
        <v>0</v>
      </c>
      <c r="AB131" s="13">
        <f t="shared" si="8"/>
        <v>147242.29</v>
      </c>
      <c r="AF131" s="13">
        <f t="shared" si="13"/>
        <v>147242.29</v>
      </c>
      <c r="AG131" s="16">
        <v>12016.517857142857</v>
      </c>
      <c r="AJ131" s="33">
        <v>4613.67</v>
      </c>
      <c r="AM131" s="12">
        <f t="shared" si="14"/>
        <v>16630.187857142857</v>
      </c>
      <c r="AN131" s="13">
        <f t="shared" si="15"/>
        <v>130612.10214285715</v>
      </c>
    </row>
    <row r="132" spans="1:40" x14ac:dyDescent="0.25">
      <c r="A132">
        <v>127</v>
      </c>
      <c r="B132" t="s">
        <v>2421</v>
      </c>
      <c r="C132" t="s">
        <v>18</v>
      </c>
      <c r="D132" t="s">
        <v>16</v>
      </c>
      <c r="F132" s="514">
        <f>+'29'!F132+'30'!F132+'31'!F132</f>
        <v>3</v>
      </c>
      <c r="G132" s="12">
        <f>+'29'!G132+'30'!G132+'31'!G132</f>
        <v>713009.66999999993</v>
      </c>
      <c r="H132" s="12">
        <f>+'29'!H132+'30'!H132+'31'!H132</f>
        <v>375</v>
      </c>
      <c r="I132" s="271"/>
      <c r="J132" s="514">
        <f>+'29'!J132+'30'!J132+'31'!J132</f>
        <v>0</v>
      </c>
      <c r="K132" s="12">
        <f>+'29'!K132+'30'!K132+'31'!K132</f>
        <v>0</v>
      </c>
      <c r="L132" s="12">
        <f>+'29'!L132+'30'!L132+'31'!L132</f>
        <v>0</v>
      </c>
      <c r="M132" s="271"/>
      <c r="N132" s="514">
        <f>+'29'!N132+'30'!N132+'31'!N132</f>
        <v>3</v>
      </c>
      <c r="O132" s="12">
        <f>+'29'!O132+'30'!O132+'31'!O132</f>
        <v>713009.66999999993</v>
      </c>
      <c r="P132" s="12">
        <f>+'29'!P132+'30'!P132+'31'!P132</f>
        <v>375</v>
      </c>
      <c r="Q132" s="532"/>
      <c r="R132" s="270">
        <v>3</v>
      </c>
      <c r="S132" s="12">
        <v>713009.67</v>
      </c>
      <c r="T132" s="12">
        <v>0</v>
      </c>
      <c r="U132" s="271"/>
      <c r="V132" s="533">
        <f t="shared" si="9"/>
        <v>0</v>
      </c>
      <c r="W132" s="533">
        <f t="shared" si="10"/>
        <v>0</v>
      </c>
      <c r="X132" s="257"/>
      <c r="Y132" s="261">
        <f t="shared" si="11"/>
        <v>0</v>
      </c>
      <c r="Z132" s="12">
        <f t="shared" si="12"/>
        <v>0</v>
      </c>
      <c r="AB132" s="13">
        <f t="shared" si="8"/>
        <v>713009.66999999993</v>
      </c>
      <c r="AF132" s="13">
        <f t="shared" si="13"/>
        <v>713009.66999999993</v>
      </c>
      <c r="AM132" s="12">
        <f t="shared" si="14"/>
        <v>0</v>
      </c>
      <c r="AN132" s="13">
        <f t="shared" si="15"/>
        <v>713009.66999999993</v>
      </c>
    </row>
    <row r="133" spans="1:40" x14ac:dyDescent="0.25">
      <c r="A133">
        <v>128</v>
      </c>
      <c r="B133" t="s">
        <v>162</v>
      </c>
      <c r="C133" t="s">
        <v>92</v>
      </c>
      <c r="D133" t="s">
        <v>16</v>
      </c>
      <c r="F133" s="514">
        <f>+'29'!F133+'30'!F133+'31'!F133</f>
        <v>1</v>
      </c>
      <c r="G133" s="12">
        <f>+'29'!G133+'30'!G133+'31'!G133</f>
        <v>37725</v>
      </c>
      <c r="H133" s="12">
        <f>+'29'!H133+'30'!H133+'31'!H133</f>
        <v>30</v>
      </c>
      <c r="I133" s="271"/>
      <c r="J133" s="514">
        <f>+'29'!J133+'30'!J133+'31'!J133</f>
        <v>0</v>
      </c>
      <c r="K133" s="12">
        <f>+'29'!K133+'30'!K133+'31'!K133</f>
        <v>0</v>
      </c>
      <c r="L133" s="12">
        <f>+'29'!L133+'30'!L133+'31'!L133</f>
        <v>0</v>
      </c>
      <c r="M133" s="271"/>
      <c r="N133" s="514">
        <f>+'29'!N133+'30'!N133+'31'!N133</f>
        <v>1</v>
      </c>
      <c r="O133" s="12">
        <f>+'29'!O133+'30'!O133+'31'!O133</f>
        <v>37725</v>
      </c>
      <c r="P133" s="12">
        <f>+'29'!P133+'30'!P133+'31'!P133</f>
        <v>30</v>
      </c>
      <c r="Q133" s="532"/>
      <c r="R133" s="270">
        <v>1</v>
      </c>
      <c r="S133" s="12">
        <v>37725</v>
      </c>
      <c r="T133" s="12">
        <v>0</v>
      </c>
      <c r="U133" s="271"/>
      <c r="V133" s="533">
        <f t="shared" si="9"/>
        <v>0</v>
      </c>
      <c r="W133" s="533">
        <f t="shared" si="10"/>
        <v>0</v>
      </c>
      <c r="X133" s="257"/>
      <c r="Y133" s="261">
        <f t="shared" si="11"/>
        <v>0</v>
      </c>
      <c r="Z133" s="12">
        <f t="shared" si="12"/>
        <v>0</v>
      </c>
      <c r="AB133" s="13">
        <f t="shared" si="8"/>
        <v>37725</v>
      </c>
      <c r="AF133" s="13">
        <f t="shared" si="13"/>
        <v>37725</v>
      </c>
      <c r="AM133" s="12">
        <f t="shared" si="14"/>
        <v>0</v>
      </c>
      <c r="AN133" s="13">
        <f t="shared" si="15"/>
        <v>37725</v>
      </c>
    </row>
    <row r="134" spans="1:40" x14ac:dyDescent="0.25">
      <c r="A134">
        <v>129</v>
      </c>
      <c r="B134" t="s">
        <v>163</v>
      </c>
      <c r="C134" t="s">
        <v>39</v>
      </c>
      <c r="D134" t="s">
        <v>16</v>
      </c>
      <c r="F134" s="514">
        <f>+'29'!F134+'30'!F134+'31'!F134</f>
        <v>0</v>
      </c>
      <c r="G134" s="12">
        <f>+'29'!G134+'30'!G134+'31'!G134</f>
        <v>0</v>
      </c>
      <c r="H134" s="12">
        <f>+'29'!H134+'30'!H134+'31'!H134</f>
        <v>0</v>
      </c>
      <c r="I134" s="271"/>
      <c r="J134" s="514">
        <f>+'29'!J134+'30'!J134+'31'!J134</f>
        <v>0</v>
      </c>
      <c r="K134" s="12">
        <f>+'29'!K134+'30'!K134+'31'!K134</f>
        <v>0</v>
      </c>
      <c r="L134" s="12">
        <f>+'29'!L134+'30'!L134+'31'!L134</f>
        <v>0</v>
      </c>
      <c r="M134" s="271"/>
      <c r="N134" s="514">
        <f>+'29'!N134+'30'!N134+'31'!N134</f>
        <v>0</v>
      </c>
      <c r="O134" s="12">
        <f>+'29'!O134+'30'!O134+'31'!O134</f>
        <v>0</v>
      </c>
      <c r="P134" s="12">
        <f>+'29'!P134+'30'!P134+'31'!P134</f>
        <v>0</v>
      </c>
      <c r="Q134" s="532"/>
      <c r="R134" s="270">
        <v>0</v>
      </c>
      <c r="S134" s="12">
        <v>0</v>
      </c>
      <c r="T134" s="12">
        <v>0</v>
      </c>
      <c r="U134" s="271"/>
      <c r="V134" s="533">
        <f t="shared" si="9"/>
        <v>0</v>
      </c>
      <c r="W134" s="533">
        <f t="shared" si="10"/>
        <v>0</v>
      </c>
      <c r="X134" s="257"/>
      <c r="Y134" s="261">
        <f t="shared" si="11"/>
        <v>0</v>
      </c>
      <c r="Z134" s="12">
        <f t="shared" si="12"/>
        <v>0</v>
      </c>
      <c r="AB134" s="13">
        <f t="shared" ref="AB134:AB197" si="16">O134</f>
        <v>0</v>
      </c>
      <c r="AF134" s="13">
        <f t="shared" si="13"/>
        <v>0</v>
      </c>
      <c r="AM134" s="12">
        <f t="shared" si="14"/>
        <v>0</v>
      </c>
      <c r="AN134" s="13">
        <f t="shared" si="15"/>
        <v>0</v>
      </c>
    </row>
    <row r="135" spans="1:40" x14ac:dyDescent="0.25">
      <c r="A135">
        <v>130</v>
      </c>
      <c r="B135" t="s">
        <v>164</v>
      </c>
      <c r="C135" t="s">
        <v>101</v>
      </c>
      <c r="D135" t="s">
        <v>87</v>
      </c>
      <c r="F135" s="514">
        <f>+'29'!F135+'30'!F135+'31'!F135</f>
        <v>253</v>
      </c>
      <c r="G135" s="12">
        <f>+'29'!G135+'30'!G135+'31'!G135</f>
        <v>5567572.0499999998</v>
      </c>
      <c r="H135" s="12">
        <f>+'29'!H135+'30'!H135+'31'!H135</f>
        <v>10720</v>
      </c>
      <c r="I135" s="271"/>
      <c r="J135" s="514">
        <f>+'29'!J135+'30'!J135+'31'!J135</f>
        <v>0</v>
      </c>
      <c r="K135" s="12">
        <f>+'29'!K135+'30'!K135+'31'!K135</f>
        <v>0</v>
      </c>
      <c r="L135" s="12">
        <f>+'29'!L135+'30'!L135+'31'!L135</f>
        <v>0</v>
      </c>
      <c r="M135" s="271"/>
      <c r="N135" s="514">
        <f>+'29'!N135+'30'!N135+'31'!N135</f>
        <v>253</v>
      </c>
      <c r="O135" s="12">
        <f>+'29'!O135+'30'!O135+'31'!O135</f>
        <v>5567572.0499999998</v>
      </c>
      <c r="P135" s="12">
        <f>+'29'!P135+'30'!P135+'31'!P135</f>
        <v>10720</v>
      </c>
      <c r="Q135" s="532"/>
      <c r="R135" s="270">
        <v>253</v>
      </c>
      <c r="S135" s="12">
        <v>5556852.0499999998</v>
      </c>
      <c r="T135" s="12">
        <v>10720</v>
      </c>
      <c r="U135" s="271"/>
      <c r="V135" s="533">
        <f t="shared" ref="V135:V198" si="17">N135-R135</f>
        <v>0</v>
      </c>
      <c r="W135" s="533">
        <f t="shared" ref="W135:W198" si="18">O135-S135</f>
        <v>10720</v>
      </c>
      <c r="X135" s="257"/>
      <c r="Y135" s="261">
        <f t="shared" ref="Y135:Y198" si="19">V135</f>
        <v>0</v>
      </c>
      <c r="Z135" s="12">
        <f t="shared" ref="Z135:Z198" si="20">W135</f>
        <v>10720</v>
      </c>
      <c r="AB135" s="13">
        <f t="shared" si="16"/>
        <v>5567572.0499999998</v>
      </c>
      <c r="AD135" s="16"/>
      <c r="AF135" s="13">
        <f t="shared" ref="AF135:AF198" si="21">AB135-AD135</f>
        <v>5567572.0499999998</v>
      </c>
      <c r="AG135" s="16"/>
      <c r="AJ135" s="33"/>
      <c r="AM135" s="12">
        <f t="shared" ref="AM135:AM198" si="22">SUM(AG135:AL135)</f>
        <v>0</v>
      </c>
      <c r="AN135" s="13">
        <f t="shared" ref="AN135:AN198" si="23">AF135-AM135</f>
        <v>5567572.0499999998</v>
      </c>
    </row>
    <row r="136" spans="1:40" x14ac:dyDescent="0.25">
      <c r="A136">
        <v>131</v>
      </c>
      <c r="B136" t="s">
        <v>165</v>
      </c>
      <c r="C136" t="s">
        <v>15</v>
      </c>
      <c r="D136" t="s">
        <v>45</v>
      </c>
      <c r="F136" s="514">
        <f>+'29'!F136+'30'!F136+'31'!F136</f>
        <v>650</v>
      </c>
      <c r="G136" s="12">
        <f>+'29'!G136+'30'!G136+'31'!G136</f>
        <v>1562051.86</v>
      </c>
      <c r="H136" s="12">
        <f>+'29'!H136+'30'!H136+'31'!H136</f>
        <v>5850</v>
      </c>
      <c r="I136" s="271"/>
      <c r="J136" s="514">
        <f>+'29'!J136+'30'!J136+'31'!J136</f>
        <v>0</v>
      </c>
      <c r="K136" s="12">
        <f>+'29'!K136+'30'!K136+'31'!K136</f>
        <v>0</v>
      </c>
      <c r="L136" s="12">
        <f>+'29'!L136+'30'!L136+'31'!L136</f>
        <v>0</v>
      </c>
      <c r="M136" s="271"/>
      <c r="N136" s="514">
        <f>+'29'!N136+'30'!N136+'31'!N136</f>
        <v>650</v>
      </c>
      <c r="O136" s="12">
        <f>+'29'!O136+'30'!O136+'31'!O136</f>
        <v>1562051.86</v>
      </c>
      <c r="P136" s="12">
        <f>+'29'!P136+'30'!P136+'31'!P136</f>
        <v>5850</v>
      </c>
      <c r="Q136" s="532"/>
      <c r="R136" s="270">
        <v>650</v>
      </c>
      <c r="S136" s="12">
        <v>1562051.86</v>
      </c>
      <c r="T136" s="12">
        <v>0</v>
      </c>
      <c r="U136" s="271"/>
      <c r="V136" s="533">
        <f t="shared" si="17"/>
        <v>0</v>
      </c>
      <c r="W136" s="533">
        <f t="shared" si="18"/>
        <v>0</v>
      </c>
      <c r="X136" s="257"/>
      <c r="Y136" s="261">
        <f t="shared" si="19"/>
        <v>0</v>
      </c>
      <c r="Z136" s="12">
        <f t="shared" si="20"/>
        <v>0</v>
      </c>
      <c r="AB136" s="13">
        <f t="shared" si="16"/>
        <v>1562051.86</v>
      </c>
      <c r="AF136" s="13">
        <f t="shared" si="21"/>
        <v>1562051.86</v>
      </c>
      <c r="AG136" s="16">
        <v>103974.55357142858</v>
      </c>
      <c r="AJ136" s="13">
        <v>4527</v>
      </c>
      <c r="AL136" s="33"/>
      <c r="AM136" s="12">
        <f t="shared" si="22"/>
        <v>108501.55357142858</v>
      </c>
      <c r="AN136" s="13">
        <f t="shared" si="23"/>
        <v>1453550.3064285715</v>
      </c>
    </row>
    <row r="137" spans="1:40" x14ac:dyDescent="0.25">
      <c r="A137">
        <v>132</v>
      </c>
      <c r="B137" t="s">
        <v>167</v>
      </c>
      <c r="C137" t="s">
        <v>135</v>
      </c>
      <c r="D137" t="s">
        <v>16</v>
      </c>
      <c r="F137" s="514">
        <f>+'29'!F137+'30'!F137+'31'!F137</f>
        <v>0</v>
      </c>
      <c r="G137" s="12">
        <f>+'29'!G137+'30'!G137+'31'!G137</f>
        <v>0</v>
      </c>
      <c r="H137" s="12">
        <f>+'29'!H137+'30'!H137+'31'!H137</f>
        <v>0</v>
      </c>
      <c r="I137" s="271"/>
      <c r="J137" s="514">
        <f>+'29'!J137+'30'!J137+'31'!J137</f>
        <v>0</v>
      </c>
      <c r="K137" s="12">
        <f>+'29'!K137+'30'!K137+'31'!K137</f>
        <v>0</v>
      </c>
      <c r="L137" s="12">
        <f>+'29'!L137+'30'!L137+'31'!L137</f>
        <v>0</v>
      </c>
      <c r="M137" s="271"/>
      <c r="N137" s="514">
        <f>+'29'!N137+'30'!N137+'31'!N137</f>
        <v>0</v>
      </c>
      <c r="O137" s="12">
        <f>+'29'!O137+'30'!O137+'31'!O137</f>
        <v>0</v>
      </c>
      <c r="P137" s="12">
        <f>+'29'!P137+'30'!P137+'31'!P137</f>
        <v>0</v>
      </c>
      <c r="Q137" s="532"/>
      <c r="R137" s="270">
        <v>0</v>
      </c>
      <c r="S137" s="12">
        <v>0</v>
      </c>
      <c r="T137" s="12">
        <v>0</v>
      </c>
      <c r="U137" s="271"/>
      <c r="V137" s="533">
        <f t="shared" si="17"/>
        <v>0</v>
      </c>
      <c r="W137" s="533">
        <f t="shared" si="18"/>
        <v>0</v>
      </c>
      <c r="X137" s="257"/>
      <c r="Y137" s="261">
        <f t="shared" si="19"/>
        <v>0</v>
      </c>
      <c r="Z137" s="12">
        <f t="shared" si="20"/>
        <v>0</v>
      </c>
      <c r="AB137" s="13">
        <f t="shared" si="16"/>
        <v>0</v>
      </c>
      <c r="AD137" s="16"/>
      <c r="AF137" s="13">
        <f t="shared" si="21"/>
        <v>0</v>
      </c>
      <c r="AG137" s="16"/>
      <c r="AI137" s="33"/>
      <c r="AM137" s="12">
        <f t="shared" si="22"/>
        <v>0</v>
      </c>
      <c r="AN137" s="13">
        <f t="shared" si="23"/>
        <v>0</v>
      </c>
    </row>
    <row r="138" spans="1:40" x14ac:dyDescent="0.25">
      <c r="A138">
        <v>133</v>
      </c>
      <c r="B138" t="s">
        <v>168</v>
      </c>
      <c r="C138" t="s">
        <v>18</v>
      </c>
      <c r="D138" t="s">
        <v>20</v>
      </c>
      <c r="F138" s="514">
        <f>+'29'!F138+'30'!F138+'31'!F138</f>
        <v>12</v>
      </c>
      <c r="G138" s="12">
        <f>+'29'!G138+'30'!G138+'31'!G138</f>
        <v>122226.5</v>
      </c>
      <c r="H138" s="12">
        <f>+'29'!H138+'30'!H138+'31'!H138</f>
        <v>350</v>
      </c>
      <c r="I138" s="271"/>
      <c r="J138" s="514">
        <f>+'29'!J138+'30'!J138+'31'!J138</f>
        <v>0</v>
      </c>
      <c r="K138" s="12">
        <f>+'29'!K138+'30'!K138+'31'!K138</f>
        <v>0</v>
      </c>
      <c r="L138" s="12">
        <f>+'29'!L138+'30'!L138+'31'!L138</f>
        <v>0</v>
      </c>
      <c r="M138" s="271"/>
      <c r="N138" s="514">
        <f>+'29'!N138+'30'!N138+'31'!N138</f>
        <v>12</v>
      </c>
      <c r="O138" s="12">
        <f>+'29'!O138+'30'!O138+'31'!O138</f>
        <v>122226.5</v>
      </c>
      <c r="P138" s="12">
        <f>+'29'!P138+'30'!P138+'31'!P138</f>
        <v>350</v>
      </c>
      <c r="Q138" s="532"/>
      <c r="R138" s="270">
        <v>12</v>
      </c>
      <c r="S138" s="12">
        <v>122226.5</v>
      </c>
      <c r="T138" s="12">
        <v>0</v>
      </c>
      <c r="U138" s="271"/>
      <c r="V138" s="533">
        <f t="shared" si="17"/>
        <v>0</v>
      </c>
      <c r="W138" s="533">
        <f t="shared" si="18"/>
        <v>0</v>
      </c>
      <c r="X138" s="257"/>
      <c r="Y138" s="261">
        <f t="shared" si="19"/>
        <v>0</v>
      </c>
      <c r="Z138" s="12">
        <f t="shared" si="20"/>
        <v>0</v>
      </c>
      <c r="AB138" s="13">
        <f t="shared" si="16"/>
        <v>122226.5</v>
      </c>
      <c r="AF138" s="13">
        <f t="shared" si="21"/>
        <v>122226.5</v>
      </c>
      <c r="AG138" s="16"/>
      <c r="AJ138" s="33"/>
      <c r="AM138" s="12">
        <f t="shared" si="22"/>
        <v>0</v>
      </c>
      <c r="AN138" s="13">
        <f t="shared" si="23"/>
        <v>122226.5</v>
      </c>
    </row>
    <row r="139" spans="1:40" x14ac:dyDescent="0.25">
      <c r="A139">
        <v>134</v>
      </c>
      <c r="B139" t="s">
        <v>169</v>
      </c>
      <c r="C139" t="s">
        <v>18</v>
      </c>
      <c r="D139" t="s">
        <v>16</v>
      </c>
      <c r="F139" s="514">
        <f>+'29'!F139+'30'!F139+'31'!F139</f>
        <v>19</v>
      </c>
      <c r="G139" s="12">
        <f>+'29'!G139+'30'!G139+'31'!G139</f>
        <v>167639.5</v>
      </c>
      <c r="H139" s="12">
        <f>+'29'!H139+'30'!H139+'31'!H139</f>
        <v>470</v>
      </c>
      <c r="I139" s="271"/>
      <c r="J139" s="514">
        <f>+'29'!J139+'30'!J139+'31'!J139</f>
        <v>0</v>
      </c>
      <c r="K139" s="12">
        <f>+'29'!K139+'30'!K139+'31'!K139</f>
        <v>0</v>
      </c>
      <c r="L139" s="12">
        <f>+'29'!L139+'30'!L139+'31'!L139</f>
        <v>0</v>
      </c>
      <c r="M139" s="271"/>
      <c r="N139" s="514">
        <f>+'29'!N139+'30'!N139+'31'!N139</f>
        <v>19</v>
      </c>
      <c r="O139" s="12">
        <f>+'29'!O139+'30'!O139+'31'!O139</f>
        <v>167639.5</v>
      </c>
      <c r="P139" s="12">
        <f>+'29'!P139+'30'!P139+'31'!P139</f>
        <v>470</v>
      </c>
      <c r="Q139" s="532"/>
      <c r="R139" s="270">
        <v>19</v>
      </c>
      <c r="S139" s="12">
        <v>167639.5</v>
      </c>
      <c r="T139" s="12">
        <v>0</v>
      </c>
      <c r="U139" s="271"/>
      <c r="V139" s="533">
        <f t="shared" si="17"/>
        <v>0</v>
      </c>
      <c r="W139" s="533">
        <f t="shared" si="18"/>
        <v>0</v>
      </c>
      <c r="X139" s="257"/>
      <c r="Y139" s="261">
        <f t="shared" si="19"/>
        <v>0</v>
      </c>
      <c r="Z139" s="12">
        <f t="shared" si="20"/>
        <v>0</v>
      </c>
      <c r="AB139" s="13">
        <f t="shared" si="16"/>
        <v>167639.5</v>
      </c>
      <c r="AF139" s="13">
        <f t="shared" si="21"/>
        <v>167639.5</v>
      </c>
      <c r="AM139" s="12">
        <f t="shared" si="22"/>
        <v>0</v>
      </c>
      <c r="AN139" s="13">
        <f t="shared" si="23"/>
        <v>167639.5</v>
      </c>
    </row>
    <row r="140" spans="1:40" x14ac:dyDescent="0.25">
      <c r="A140">
        <v>135</v>
      </c>
      <c r="B140" t="s">
        <v>170</v>
      </c>
      <c r="C140" t="s">
        <v>18</v>
      </c>
      <c r="D140" t="s">
        <v>16</v>
      </c>
      <c r="F140" s="514">
        <f>+'29'!F140+'30'!F140+'31'!F140</f>
        <v>226</v>
      </c>
      <c r="G140" s="12">
        <f>+'29'!G140+'30'!G140+'31'!G140</f>
        <v>7647743.4699999997</v>
      </c>
      <c r="H140" s="12">
        <f>+'29'!H140+'30'!H140+'31'!H140</f>
        <v>18350</v>
      </c>
      <c r="I140" s="271"/>
      <c r="J140" s="514">
        <f>+'29'!J140+'30'!J140+'31'!J140</f>
        <v>0</v>
      </c>
      <c r="K140" s="12">
        <f>+'29'!K140+'30'!K140+'31'!K140</f>
        <v>0</v>
      </c>
      <c r="L140" s="12">
        <f>+'29'!L140+'30'!L140+'31'!L140</f>
        <v>0</v>
      </c>
      <c r="M140" s="271"/>
      <c r="N140" s="514">
        <f>+'29'!N140+'30'!N140+'31'!N140</f>
        <v>226</v>
      </c>
      <c r="O140" s="12">
        <f>+'29'!O140+'30'!O140+'31'!O140</f>
        <v>7647743.4699999997</v>
      </c>
      <c r="P140" s="12">
        <f>+'29'!P140+'30'!P140+'31'!P140</f>
        <v>18350</v>
      </c>
      <c r="Q140" s="532"/>
      <c r="R140" s="270">
        <v>226</v>
      </c>
      <c r="S140" s="12">
        <v>7647743.4699999997</v>
      </c>
      <c r="T140" s="12">
        <v>0</v>
      </c>
      <c r="U140" s="271"/>
      <c r="V140" s="533">
        <f t="shared" si="17"/>
        <v>0</v>
      </c>
      <c r="W140" s="533">
        <f t="shared" si="18"/>
        <v>0</v>
      </c>
      <c r="X140" s="257"/>
      <c r="Y140" s="261">
        <f t="shared" si="19"/>
        <v>0</v>
      </c>
      <c r="Z140" s="12">
        <f t="shared" si="20"/>
        <v>0</v>
      </c>
      <c r="AB140" s="13">
        <f t="shared" si="16"/>
        <v>7647743.4699999997</v>
      </c>
      <c r="AF140" s="13">
        <f t="shared" si="21"/>
        <v>7647743.4699999997</v>
      </c>
      <c r="AM140" s="12">
        <f t="shared" si="22"/>
        <v>0</v>
      </c>
      <c r="AN140" s="13">
        <f t="shared" si="23"/>
        <v>7647743.4699999997</v>
      </c>
    </row>
    <row r="141" spans="1:40" x14ac:dyDescent="0.25">
      <c r="A141">
        <v>136</v>
      </c>
      <c r="B141" t="s">
        <v>171</v>
      </c>
      <c r="C141" t="s">
        <v>39</v>
      </c>
      <c r="D141" t="s">
        <v>16</v>
      </c>
      <c r="F141" s="514">
        <f>+'29'!F141+'30'!F141+'31'!F141</f>
        <v>292</v>
      </c>
      <c r="G141" s="12">
        <f>+'29'!G141+'30'!G141+'31'!G141</f>
        <v>165548.37999999998</v>
      </c>
      <c r="H141" s="12">
        <f>+'29'!H141+'30'!H141+'31'!H141</f>
        <v>2920</v>
      </c>
      <c r="I141" s="271"/>
      <c r="J141" s="514">
        <f>+'29'!J141+'30'!J141+'31'!J141</f>
        <v>0</v>
      </c>
      <c r="K141" s="12">
        <f>+'29'!K141+'30'!K141+'31'!K141</f>
        <v>0</v>
      </c>
      <c r="L141" s="12">
        <f>+'29'!L141+'30'!L141+'31'!L141</f>
        <v>0</v>
      </c>
      <c r="M141" s="271"/>
      <c r="N141" s="514">
        <f>+'29'!N141+'30'!N141+'31'!N141</f>
        <v>292</v>
      </c>
      <c r="O141" s="12">
        <f>+'29'!O141+'30'!O141+'31'!O141</f>
        <v>165548.37999999998</v>
      </c>
      <c r="P141" s="12">
        <f>+'29'!P141+'30'!P141+'31'!P141</f>
        <v>2920</v>
      </c>
      <c r="Q141" s="532"/>
      <c r="R141" s="270">
        <v>292</v>
      </c>
      <c r="S141" s="12">
        <v>165548.38</v>
      </c>
      <c r="T141" s="12">
        <v>0</v>
      </c>
      <c r="U141" s="271"/>
      <c r="V141" s="533">
        <f t="shared" si="17"/>
        <v>0</v>
      </c>
      <c r="W141" s="533">
        <f t="shared" si="18"/>
        <v>0</v>
      </c>
      <c r="X141" s="257"/>
      <c r="Y141" s="261">
        <f t="shared" si="19"/>
        <v>0</v>
      </c>
      <c r="Z141" s="12">
        <f t="shared" si="20"/>
        <v>0</v>
      </c>
      <c r="AB141" s="13">
        <f t="shared" si="16"/>
        <v>165548.37999999998</v>
      </c>
      <c r="AD141" s="16"/>
      <c r="AF141" s="13">
        <f t="shared" si="21"/>
        <v>165548.37999999998</v>
      </c>
      <c r="AG141" s="16"/>
      <c r="AJ141" s="13"/>
      <c r="AM141" s="12">
        <f t="shared" si="22"/>
        <v>0</v>
      </c>
      <c r="AN141" s="13">
        <f t="shared" si="23"/>
        <v>165548.37999999998</v>
      </c>
    </row>
    <row r="142" spans="1:40" x14ac:dyDescent="0.25">
      <c r="A142">
        <v>137</v>
      </c>
      <c r="B142" t="s">
        <v>2994</v>
      </c>
      <c r="C142" t="s">
        <v>189</v>
      </c>
      <c r="D142" t="s">
        <v>16</v>
      </c>
      <c r="F142" s="514">
        <f>+'29'!F142+'30'!F142+'31'!F142</f>
        <v>7</v>
      </c>
      <c r="G142" s="12">
        <f>+'29'!G142+'30'!G142+'31'!G142</f>
        <v>4322.3999999999996</v>
      </c>
      <c r="H142" s="12">
        <f>+'29'!H142+'30'!H142+'31'!H142</f>
        <v>70</v>
      </c>
      <c r="I142" s="271"/>
      <c r="J142" s="514">
        <f>+'29'!J142+'30'!J142+'31'!J142</f>
        <v>0</v>
      </c>
      <c r="K142" s="12">
        <f>+'29'!K142+'30'!K142+'31'!K142</f>
        <v>0</v>
      </c>
      <c r="L142" s="12">
        <f>+'29'!L142+'30'!L142+'31'!L142</f>
        <v>0</v>
      </c>
      <c r="M142" s="271"/>
      <c r="N142" s="514">
        <f>+'29'!N142+'30'!N142+'31'!N142</f>
        <v>7</v>
      </c>
      <c r="O142" s="12">
        <f>+'29'!O142+'30'!O142+'31'!O142</f>
        <v>4322.3999999999996</v>
      </c>
      <c r="P142" s="12">
        <f>+'29'!P142+'30'!P142+'31'!P142</f>
        <v>70</v>
      </c>
      <c r="Q142" s="532"/>
      <c r="R142" s="270">
        <v>7</v>
      </c>
      <c r="S142" s="12">
        <v>4322.3999999999996</v>
      </c>
      <c r="T142" s="12">
        <v>0</v>
      </c>
      <c r="U142" s="271"/>
      <c r="V142" s="533">
        <f t="shared" si="17"/>
        <v>0</v>
      </c>
      <c r="W142" s="533">
        <f t="shared" si="18"/>
        <v>0</v>
      </c>
      <c r="X142" s="257"/>
      <c r="Y142" s="261">
        <f t="shared" si="19"/>
        <v>0</v>
      </c>
      <c r="Z142" s="12">
        <f t="shared" si="20"/>
        <v>0</v>
      </c>
      <c r="AB142" s="13">
        <f t="shared" si="16"/>
        <v>4322.3999999999996</v>
      </c>
      <c r="AD142" s="16"/>
      <c r="AF142" s="13">
        <f t="shared" si="21"/>
        <v>4322.3999999999996</v>
      </c>
      <c r="AG142" s="16"/>
      <c r="AM142" s="12">
        <f t="shared" si="22"/>
        <v>0</v>
      </c>
      <c r="AN142" s="13">
        <f t="shared" si="23"/>
        <v>4322.3999999999996</v>
      </c>
    </row>
    <row r="143" spans="1:40" x14ac:dyDescent="0.25">
      <c r="A143">
        <v>138</v>
      </c>
      <c r="B143" t="s">
        <v>172</v>
      </c>
      <c r="D143" t="s">
        <v>16</v>
      </c>
      <c r="F143" s="514">
        <f>+'29'!F143+'30'!F143+'31'!F143</f>
        <v>7</v>
      </c>
      <c r="G143" s="12">
        <f>+'29'!G143+'30'!G143+'31'!G143</f>
        <v>37740</v>
      </c>
      <c r="H143" s="12">
        <f>+'29'!H143+'30'!H143+'31'!H143</f>
        <v>170</v>
      </c>
      <c r="I143" s="271"/>
      <c r="J143" s="514">
        <f>+'29'!J143+'30'!J143+'31'!J143</f>
        <v>0</v>
      </c>
      <c r="K143" s="12">
        <f>+'29'!K143+'30'!K143+'31'!K143</f>
        <v>0</v>
      </c>
      <c r="L143" s="12">
        <f>+'29'!L143+'30'!L143+'31'!L143</f>
        <v>0</v>
      </c>
      <c r="M143" s="271"/>
      <c r="N143" s="514">
        <f>+'29'!N143+'30'!N143+'31'!N143</f>
        <v>7</v>
      </c>
      <c r="O143" s="12">
        <f>+'29'!O143+'30'!O143+'31'!O143</f>
        <v>37740</v>
      </c>
      <c r="P143" s="12">
        <f>+'29'!P143+'30'!P143+'31'!P143</f>
        <v>170</v>
      </c>
      <c r="Q143" s="532"/>
      <c r="R143" s="270">
        <v>7</v>
      </c>
      <c r="S143" s="12">
        <v>37740</v>
      </c>
      <c r="T143" s="12">
        <v>0</v>
      </c>
      <c r="U143" s="271"/>
      <c r="V143" s="533">
        <f t="shared" si="17"/>
        <v>0</v>
      </c>
      <c r="W143" s="533">
        <f t="shared" si="18"/>
        <v>0</v>
      </c>
      <c r="X143" s="257"/>
      <c r="Y143" s="261">
        <f t="shared" si="19"/>
        <v>0</v>
      </c>
      <c r="Z143" s="12">
        <f t="shared" si="20"/>
        <v>0</v>
      </c>
      <c r="AB143" s="13">
        <f t="shared" si="16"/>
        <v>37740</v>
      </c>
      <c r="AF143" s="13">
        <f t="shared" si="21"/>
        <v>37740</v>
      </c>
      <c r="AM143" s="12">
        <f t="shared" si="22"/>
        <v>0</v>
      </c>
      <c r="AN143" s="13">
        <f t="shared" si="23"/>
        <v>37740</v>
      </c>
    </row>
    <row r="144" spans="1:40" x14ac:dyDescent="0.25">
      <c r="A144">
        <v>139</v>
      </c>
      <c r="B144" t="s">
        <v>2960</v>
      </c>
      <c r="C144" t="s">
        <v>136</v>
      </c>
      <c r="D144" t="s">
        <v>16</v>
      </c>
      <c r="F144" s="514">
        <f>+'29'!F144+'30'!F144+'31'!F144</f>
        <v>20</v>
      </c>
      <c r="G144" s="12">
        <f>+'29'!G144+'30'!G144+'31'!G144</f>
        <v>278568.21999999997</v>
      </c>
      <c r="H144" s="12">
        <f>+'29'!H144+'30'!H144+'31'!H144</f>
        <v>525</v>
      </c>
      <c r="I144" s="271"/>
      <c r="J144" s="514">
        <f>+'29'!J144+'30'!J144+'31'!J144</f>
        <v>0</v>
      </c>
      <c r="K144" s="12">
        <f>+'29'!K144+'30'!K144+'31'!K144</f>
        <v>0</v>
      </c>
      <c r="L144" s="12">
        <f>+'29'!L144+'30'!L144+'31'!L144</f>
        <v>0</v>
      </c>
      <c r="M144" s="271"/>
      <c r="N144" s="514">
        <f>+'29'!N144+'30'!N144+'31'!N144</f>
        <v>20</v>
      </c>
      <c r="O144" s="12">
        <f>+'29'!O144+'30'!O144+'31'!O144</f>
        <v>278568.21999999997</v>
      </c>
      <c r="P144" s="12">
        <f>+'29'!P144+'30'!P144+'31'!P144</f>
        <v>525</v>
      </c>
      <c r="Q144" s="532"/>
      <c r="R144" s="270">
        <v>20</v>
      </c>
      <c r="S144" s="12">
        <v>278043.21999999997</v>
      </c>
      <c r="T144" s="12">
        <v>525</v>
      </c>
      <c r="U144" s="271"/>
      <c r="V144" s="533">
        <f t="shared" si="17"/>
        <v>0</v>
      </c>
      <c r="W144" s="533">
        <f t="shared" si="18"/>
        <v>525</v>
      </c>
      <c r="X144" s="257"/>
      <c r="Y144" s="261">
        <f t="shared" si="19"/>
        <v>0</v>
      </c>
      <c r="Z144" s="12">
        <f t="shared" si="20"/>
        <v>525</v>
      </c>
      <c r="AB144" s="13">
        <f t="shared" si="16"/>
        <v>278568.21999999997</v>
      </c>
      <c r="AD144" s="16"/>
      <c r="AF144" s="13">
        <f t="shared" si="21"/>
        <v>278568.21999999997</v>
      </c>
      <c r="AG144" s="16"/>
      <c r="AJ144" s="13"/>
      <c r="AM144" s="12">
        <f t="shared" si="22"/>
        <v>0</v>
      </c>
      <c r="AN144" s="13">
        <f t="shared" si="23"/>
        <v>278568.21999999997</v>
      </c>
    </row>
    <row r="145" spans="1:40" x14ac:dyDescent="0.25">
      <c r="A145">
        <v>140</v>
      </c>
      <c r="B145" t="s">
        <v>173</v>
      </c>
      <c r="C145" t="s">
        <v>98</v>
      </c>
      <c r="D145" t="s">
        <v>16</v>
      </c>
      <c r="F145" s="514">
        <f>+'29'!F145+'30'!F145+'31'!F145</f>
        <v>0</v>
      </c>
      <c r="G145" s="12">
        <f>+'29'!G145+'30'!G145+'31'!G145</f>
        <v>0</v>
      </c>
      <c r="H145" s="12">
        <f>+'29'!H145+'30'!H145+'31'!H145</f>
        <v>0</v>
      </c>
      <c r="I145" s="271"/>
      <c r="J145" s="514">
        <f>+'29'!J145+'30'!J145+'31'!J145</f>
        <v>0</v>
      </c>
      <c r="K145" s="12">
        <f>+'29'!K145+'30'!K145+'31'!K145</f>
        <v>0</v>
      </c>
      <c r="L145" s="12">
        <f>+'29'!L145+'30'!L145+'31'!L145</f>
        <v>0</v>
      </c>
      <c r="M145" s="271"/>
      <c r="N145" s="514">
        <f>+'29'!N145+'30'!N145+'31'!N145</f>
        <v>0</v>
      </c>
      <c r="O145" s="12">
        <f>+'29'!O145+'30'!O145+'31'!O145</f>
        <v>0</v>
      </c>
      <c r="P145" s="12">
        <f>+'29'!P145+'30'!P145+'31'!P145</f>
        <v>0</v>
      </c>
      <c r="Q145" s="532"/>
      <c r="R145" s="270">
        <v>0</v>
      </c>
      <c r="S145" s="12">
        <v>0</v>
      </c>
      <c r="T145" s="12">
        <v>0</v>
      </c>
      <c r="U145" s="271"/>
      <c r="V145" s="533">
        <f t="shared" si="17"/>
        <v>0</v>
      </c>
      <c r="W145" s="533">
        <f t="shared" si="18"/>
        <v>0</v>
      </c>
      <c r="X145" s="257"/>
      <c r="Y145" s="261">
        <f t="shared" si="19"/>
        <v>0</v>
      </c>
      <c r="Z145" s="12">
        <f t="shared" si="20"/>
        <v>0</v>
      </c>
      <c r="AB145" s="13">
        <f t="shared" si="16"/>
        <v>0</v>
      </c>
      <c r="AF145" s="13">
        <f t="shared" si="21"/>
        <v>0</v>
      </c>
      <c r="AM145" s="12">
        <f t="shared" si="22"/>
        <v>0</v>
      </c>
      <c r="AN145" s="13">
        <f t="shared" si="23"/>
        <v>0</v>
      </c>
    </row>
    <row r="146" spans="1:40" x14ac:dyDescent="0.25">
      <c r="A146">
        <v>141</v>
      </c>
      <c r="B146" t="s">
        <v>174</v>
      </c>
      <c r="C146" t="s">
        <v>15</v>
      </c>
      <c r="D146" t="s">
        <v>45</v>
      </c>
      <c r="F146" s="514">
        <f>+'29'!F146+'30'!F146+'31'!F146</f>
        <v>13038</v>
      </c>
      <c r="G146" s="12">
        <f>+'29'!G146+'30'!G146+'31'!G146</f>
        <v>168538665.87</v>
      </c>
      <c r="H146" s="12">
        <f>+'29'!H146+'30'!H146+'31'!H146</f>
        <v>8300</v>
      </c>
      <c r="I146" s="271"/>
      <c r="J146" s="514">
        <f>+'29'!J146+'30'!J146+'31'!J146</f>
        <v>0</v>
      </c>
      <c r="K146" s="12">
        <f>+'29'!K146+'30'!K146+'31'!K146</f>
        <v>0</v>
      </c>
      <c r="L146" s="12">
        <f>+'29'!L146+'30'!L146+'31'!L146</f>
        <v>0</v>
      </c>
      <c r="M146" s="271"/>
      <c r="N146" s="514">
        <f>+'29'!N146+'30'!N146+'31'!N146</f>
        <v>13038</v>
      </c>
      <c r="O146" s="12">
        <f>+'29'!O146+'30'!O146+'31'!O146</f>
        <v>168538665.87</v>
      </c>
      <c r="P146" s="12">
        <f>+'29'!P146+'30'!P146+'31'!P146</f>
        <v>8300</v>
      </c>
      <c r="Q146" s="532"/>
      <c r="R146" s="270">
        <v>13038</v>
      </c>
      <c r="S146" s="12">
        <v>168538665.87</v>
      </c>
      <c r="T146" s="12">
        <v>0</v>
      </c>
      <c r="U146" s="271"/>
      <c r="V146" s="533">
        <f t="shared" si="17"/>
        <v>0</v>
      </c>
      <c r="W146" s="533">
        <f t="shared" si="18"/>
        <v>0</v>
      </c>
      <c r="X146" s="257"/>
      <c r="Y146" s="261">
        <f t="shared" si="19"/>
        <v>0</v>
      </c>
      <c r="Z146" s="12">
        <f t="shared" si="20"/>
        <v>0</v>
      </c>
      <c r="AB146" s="13">
        <f t="shared" si="16"/>
        <v>168538665.87</v>
      </c>
      <c r="AD146" s="16">
        <v>1943275.71</v>
      </c>
      <c r="AF146" s="13">
        <f t="shared" si="21"/>
        <v>166595390.16</v>
      </c>
      <c r="AG146" s="16">
        <v>1668456.4285714286</v>
      </c>
      <c r="AH146" s="33">
        <v>3299</v>
      </c>
      <c r="AM146" s="12">
        <f t="shared" si="22"/>
        <v>1671755.4285714286</v>
      </c>
      <c r="AN146" s="13">
        <f t="shared" si="23"/>
        <v>164923634.73142856</v>
      </c>
    </row>
    <row r="147" spans="1:40" x14ac:dyDescent="0.25">
      <c r="A147">
        <v>142</v>
      </c>
      <c r="B147" t="s">
        <v>166</v>
      </c>
      <c r="C147" t="s">
        <v>18</v>
      </c>
      <c r="D147" t="s">
        <v>16</v>
      </c>
      <c r="F147" s="514">
        <f>+'29'!F147+'30'!F147+'31'!F147</f>
        <v>0</v>
      </c>
      <c r="G147" s="12">
        <f>+'29'!G147+'30'!G147+'31'!G147</f>
        <v>0</v>
      </c>
      <c r="H147" s="12">
        <f>+'29'!H147+'30'!H147+'31'!H147</f>
        <v>0</v>
      </c>
      <c r="I147" s="271"/>
      <c r="J147" s="514">
        <f>+'29'!J147+'30'!J147+'31'!J147</f>
        <v>0</v>
      </c>
      <c r="K147" s="12">
        <f>+'29'!K147+'30'!K147+'31'!K147</f>
        <v>0</v>
      </c>
      <c r="L147" s="12">
        <f>+'29'!L147+'30'!L147+'31'!L147</f>
        <v>0</v>
      </c>
      <c r="M147" s="271"/>
      <c r="N147" s="514">
        <f>+'29'!N147+'30'!N147+'31'!N147</f>
        <v>0</v>
      </c>
      <c r="O147" s="12">
        <f>+'29'!O147+'30'!O147+'31'!O147</f>
        <v>0</v>
      </c>
      <c r="P147" s="12">
        <f>+'29'!P147+'30'!P147+'31'!P147</f>
        <v>0</v>
      </c>
      <c r="Q147" s="532"/>
      <c r="R147" s="270">
        <v>0</v>
      </c>
      <c r="S147" s="12">
        <v>0</v>
      </c>
      <c r="T147" s="12">
        <v>0</v>
      </c>
      <c r="U147" s="271"/>
      <c r="V147" s="533">
        <f t="shared" si="17"/>
        <v>0</v>
      </c>
      <c r="W147" s="533">
        <f t="shared" si="18"/>
        <v>0</v>
      </c>
      <c r="X147" s="257"/>
      <c r="Y147" s="261">
        <f t="shared" si="19"/>
        <v>0</v>
      </c>
      <c r="Z147" s="12">
        <f t="shared" si="20"/>
        <v>0</v>
      </c>
      <c r="AB147" s="13">
        <f t="shared" si="16"/>
        <v>0</v>
      </c>
      <c r="AF147" s="13">
        <f t="shared" si="21"/>
        <v>0</v>
      </c>
      <c r="AM147" s="12">
        <f t="shared" si="22"/>
        <v>0</v>
      </c>
      <c r="AN147" s="13">
        <f t="shared" si="23"/>
        <v>0</v>
      </c>
    </row>
    <row r="148" spans="1:40" x14ac:dyDescent="0.25">
      <c r="A148">
        <v>143</v>
      </c>
      <c r="B148" t="s">
        <v>175</v>
      </c>
      <c r="C148" t="s">
        <v>18</v>
      </c>
      <c r="D148" t="s">
        <v>16</v>
      </c>
      <c r="F148" s="514">
        <f>+'29'!F148+'30'!F148+'31'!F148</f>
        <v>71</v>
      </c>
      <c r="G148" s="12">
        <f>+'29'!G148+'30'!G148+'31'!G148</f>
        <v>1274874</v>
      </c>
      <c r="H148" s="12">
        <f>+'29'!H148+'30'!H148+'31'!H148</f>
        <v>2130</v>
      </c>
      <c r="I148" s="271"/>
      <c r="J148" s="514">
        <f>+'29'!J148+'30'!J148+'31'!J148</f>
        <v>0</v>
      </c>
      <c r="K148" s="12">
        <f>+'29'!K148+'30'!K148+'31'!K148</f>
        <v>0</v>
      </c>
      <c r="L148" s="12">
        <f>+'29'!L148+'30'!L148+'31'!L148</f>
        <v>0</v>
      </c>
      <c r="M148" s="271"/>
      <c r="N148" s="514">
        <f>+'29'!N148+'30'!N148+'31'!N148</f>
        <v>71</v>
      </c>
      <c r="O148" s="12">
        <f>+'29'!O148+'30'!O148+'31'!O148</f>
        <v>1274874</v>
      </c>
      <c r="P148" s="12">
        <f>+'29'!P148+'30'!P148+'31'!P148</f>
        <v>2130</v>
      </c>
      <c r="Q148" s="532"/>
      <c r="R148" s="270">
        <v>71</v>
      </c>
      <c r="S148" s="12">
        <v>1272744</v>
      </c>
      <c r="T148" s="12">
        <v>2130</v>
      </c>
      <c r="U148" s="271"/>
      <c r="V148" s="533">
        <f t="shared" si="17"/>
        <v>0</v>
      </c>
      <c r="W148" s="533">
        <f t="shared" si="18"/>
        <v>2130</v>
      </c>
      <c r="X148" s="257"/>
      <c r="Y148" s="261">
        <f t="shared" si="19"/>
        <v>0</v>
      </c>
      <c r="Z148" s="12">
        <f t="shared" si="20"/>
        <v>2130</v>
      </c>
      <c r="AB148" s="13">
        <f t="shared" si="16"/>
        <v>1274874</v>
      </c>
      <c r="AF148" s="13">
        <f t="shared" si="21"/>
        <v>1274874</v>
      </c>
      <c r="AM148" s="12">
        <f t="shared" si="22"/>
        <v>0</v>
      </c>
      <c r="AN148" s="13">
        <f t="shared" si="23"/>
        <v>1274874</v>
      </c>
    </row>
    <row r="149" spans="1:40" x14ac:dyDescent="0.25">
      <c r="A149">
        <v>144</v>
      </c>
      <c r="B149" t="s">
        <v>176</v>
      </c>
      <c r="F149" s="514">
        <f>+'29'!F149+'30'!F149+'31'!F149</f>
        <v>0</v>
      </c>
      <c r="G149" s="12">
        <f>+'29'!G149+'30'!G149+'31'!G149</f>
        <v>0</v>
      </c>
      <c r="H149" s="12">
        <f>+'29'!H149+'30'!H149+'31'!H149</f>
        <v>0</v>
      </c>
      <c r="I149" s="271"/>
      <c r="J149" s="514">
        <f>+'29'!J149+'30'!J149+'31'!J149</f>
        <v>0</v>
      </c>
      <c r="K149" s="12">
        <f>+'29'!K149+'30'!K149+'31'!K149</f>
        <v>0</v>
      </c>
      <c r="L149" s="12">
        <f>+'29'!L149+'30'!L149+'31'!L149</f>
        <v>0</v>
      </c>
      <c r="M149" s="271"/>
      <c r="N149" s="514">
        <f>+'29'!N149+'30'!N149+'31'!N149</f>
        <v>0</v>
      </c>
      <c r="O149" s="12">
        <f>+'29'!O149+'30'!O149+'31'!O149</f>
        <v>0</v>
      </c>
      <c r="P149" s="12">
        <f>+'29'!P149+'30'!P149+'31'!P149</f>
        <v>0</v>
      </c>
      <c r="Q149" s="532"/>
      <c r="R149" s="270">
        <v>0</v>
      </c>
      <c r="S149" s="12">
        <v>0</v>
      </c>
      <c r="T149" s="12">
        <v>0</v>
      </c>
      <c r="U149" s="271"/>
      <c r="V149" s="533">
        <f t="shared" si="17"/>
        <v>0</v>
      </c>
      <c r="W149" s="533">
        <f t="shared" si="18"/>
        <v>0</v>
      </c>
      <c r="X149" s="257"/>
      <c r="Y149" s="261">
        <f t="shared" si="19"/>
        <v>0</v>
      </c>
      <c r="Z149" s="12">
        <f t="shared" si="20"/>
        <v>0</v>
      </c>
      <c r="AB149" s="13">
        <f t="shared" si="16"/>
        <v>0</v>
      </c>
      <c r="AD149" s="16"/>
      <c r="AF149" s="13">
        <f t="shared" si="21"/>
        <v>0</v>
      </c>
      <c r="AG149" s="16"/>
      <c r="AJ149" s="33"/>
      <c r="AM149" s="12">
        <f t="shared" si="22"/>
        <v>0</v>
      </c>
      <c r="AN149" s="13">
        <f t="shared" si="23"/>
        <v>0</v>
      </c>
    </row>
    <row r="150" spans="1:40" x14ac:dyDescent="0.25">
      <c r="A150">
        <v>145</v>
      </c>
      <c r="B150" t="s">
        <v>177</v>
      </c>
      <c r="C150" t="s">
        <v>25</v>
      </c>
      <c r="D150" t="s">
        <v>16</v>
      </c>
      <c r="F150" s="514">
        <f>+'29'!F150+'30'!F150+'31'!F150</f>
        <v>38</v>
      </c>
      <c r="G150" s="12">
        <f>+'29'!G150+'30'!G150+'31'!G150</f>
        <v>45226.75</v>
      </c>
      <c r="H150" s="12">
        <f>+'29'!H150+'30'!H150+'31'!H150</f>
        <v>312</v>
      </c>
      <c r="I150" s="271"/>
      <c r="J150" s="514">
        <f>+'29'!J150+'30'!J150+'31'!J150</f>
        <v>0</v>
      </c>
      <c r="K150" s="12">
        <f>+'29'!K150+'30'!K150+'31'!K150</f>
        <v>0</v>
      </c>
      <c r="L150" s="12">
        <f>+'29'!L150+'30'!L150+'31'!L150</f>
        <v>0</v>
      </c>
      <c r="M150" s="271"/>
      <c r="N150" s="514">
        <f>+'29'!N150+'30'!N150+'31'!N150</f>
        <v>38</v>
      </c>
      <c r="O150" s="12">
        <f>+'29'!O150+'30'!O150+'31'!O150</f>
        <v>45226.75</v>
      </c>
      <c r="P150" s="12">
        <f>+'29'!P150+'30'!P150+'31'!P150</f>
        <v>312</v>
      </c>
      <c r="Q150" s="532"/>
      <c r="R150" s="270">
        <v>38</v>
      </c>
      <c r="S150" s="12">
        <v>45226.75</v>
      </c>
      <c r="T150" s="12">
        <v>0</v>
      </c>
      <c r="U150" s="271"/>
      <c r="V150" s="533">
        <f t="shared" si="17"/>
        <v>0</v>
      </c>
      <c r="W150" s="533">
        <f t="shared" si="18"/>
        <v>0</v>
      </c>
      <c r="X150" s="257"/>
      <c r="Y150" s="261">
        <f t="shared" si="19"/>
        <v>0</v>
      </c>
      <c r="Z150" s="12">
        <f t="shared" si="20"/>
        <v>0</v>
      </c>
      <c r="AB150" s="13">
        <f t="shared" si="16"/>
        <v>45226.75</v>
      </c>
      <c r="AF150" s="13">
        <f t="shared" si="21"/>
        <v>45226.75</v>
      </c>
      <c r="AM150" s="12">
        <f t="shared" si="22"/>
        <v>0</v>
      </c>
      <c r="AN150" s="13">
        <f t="shared" si="23"/>
        <v>45226.75</v>
      </c>
    </row>
    <row r="151" spans="1:40" x14ac:dyDescent="0.25">
      <c r="A151">
        <v>146</v>
      </c>
      <c r="B151" t="s">
        <v>178</v>
      </c>
      <c r="C151" t="s">
        <v>25</v>
      </c>
      <c r="D151" t="s">
        <v>16</v>
      </c>
      <c r="F151" s="514">
        <f>+'29'!F151+'30'!F151+'31'!F151</f>
        <v>38</v>
      </c>
      <c r="G151" s="12">
        <f>+'29'!G151+'30'!G151+'31'!G151</f>
        <v>38086</v>
      </c>
      <c r="H151" s="12">
        <f>+'29'!H151+'30'!H151+'31'!H151</f>
        <v>304</v>
      </c>
      <c r="I151" s="271"/>
      <c r="J151" s="514">
        <f>+'29'!J151+'30'!J151+'31'!J151</f>
        <v>0</v>
      </c>
      <c r="K151" s="12">
        <f>+'29'!K151+'30'!K151+'31'!K151</f>
        <v>0</v>
      </c>
      <c r="L151" s="12">
        <f>+'29'!L151+'30'!L151+'31'!L151</f>
        <v>0</v>
      </c>
      <c r="M151" s="271"/>
      <c r="N151" s="514">
        <f>+'29'!N151+'30'!N151+'31'!N151</f>
        <v>38</v>
      </c>
      <c r="O151" s="12">
        <f>+'29'!O151+'30'!O151+'31'!O151</f>
        <v>38086</v>
      </c>
      <c r="P151" s="12">
        <f>+'29'!P151+'30'!P151+'31'!P151</f>
        <v>304</v>
      </c>
      <c r="Q151" s="532"/>
      <c r="R151" s="270">
        <v>38</v>
      </c>
      <c r="S151" s="12">
        <v>38086</v>
      </c>
      <c r="T151" s="12">
        <v>0</v>
      </c>
      <c r="U151" s="271"/>
      <c r="V151" s="533">
        <f t="shared" si="17"/>
        <v>0</v>
      </c>
      <c r="W151" s="533">
        <f t="shared" si="18"/>
        <v>0</v>
      </c>
      <c r="X151" s="257"/>
      <c r="Y151" s="261">
        <f t="shared" si="19"/>
        <v>0</v>
      </c>
      <c r="Z151" s="12">
        <f t="shared" si="20"/>
        <v>0</v>
      </c>
      <c r="AB151" s="13">
        <f t="shared" si="16"/>
        <v>38086</v>
      </c>
      <c r="AD151" s="16"/>
      <c r="AF151" s="13">
        <f t="shared" si="21"/>
        <v>38086</v>
      </c>
      <c r="AG151" s="16"/>
      <c r="AH151" s="33"/>
      <c r="AM151" s="12">
        <f t="shared" si="22"/>
        <v>0</v>
      </c>
      <c r="AN151" s="13">
        <f t="shared" si="23"/>
        <v>38086</v>
      </c>
    </row>
    <row r="152" spans="1:40" x14ac:dyDescent="0.25">
      <c r="A152">
        <v>147</v>
      </c>
      <c r="B152" t="s">
        <v>179</v>
      </c>
      <c r="C152" t="s">
        <v>18</v>
      </c>
      <c r="D152" t="s">
        <v>16</v>
      </c>
      <c r="F152" s="514">
        <f>+'29'!F152+'30'!F152+'31'!F152</f>
        <v>0</v>
      </c>
      <c r="G152" s="12">
        <f>+'29'!G152+'30'!G152+'31'!G152</f>
        <v>0</v>
      </c>
      <c r="H152" s="12">
        <f>+'29'!H152+'30'!H152+'31'!H152</f>
        <v>0</v>
      </c>
      <c r="I152" s="271"/>
      <c r="J152" s="514">
        <f>+'29'!J152+'30'!J152+'31'!J152</f>
        <v>0</v>
      </c>
      <c r="K152" s="12">
        <f>+'29'!K152+'30'!K152+'31'!K152</f>
        <v>0</v>
      </c>
      <c r="L152" s="12">
        <f>+'29'!L152+'30'!L152+'31'!L152</f>
        <v>0</v>
      </c>
      <c r="M152" s="271"/>
      <c r="N152" s="514">
        <f>+'29'!N152+'30'!N152+'31'!N152</f>
        <v>0</v>
      </c>
      <c r="O152" s="12">
        <f>+'29'!O152+'30'!O152+'31'!O152</f>
        <v>0</v>
      </c>
      <c r="P152" s="12">
        <f>+'29'!P152+'30'!P152+'31'!P152</f>
        <v>0</v>
      </c>
      <c r="Q152" s="532"/>
      <c r="R152" s="270">
        <v>0</v>
      </c>
      <c r="S152" s="12">
        <v>0</v>
      </c>
      <c r="T152" s="12">
        <v>0</v>
      </c>
      <c r="U152" s="271"/>
      <c r="V152" s="533">
        <f t="shared" si="17"/>
        <v>0</v>
      </c>
      <c r="W152" s="533">
        <f t="shared" si="18"/>
        <v>0</v>
      </c>
      <c r="X152" s="257"/>
      <c r="Y152" s="261">
        <f t="shared" si="19"/>
        <v>0</v>
      </c>
      <c r="Z152" s="12">
        <f t="shared" si="20"/>
        <v>0</v>
      </c>
      <c r="AB152" s="13">
        <f t="shared" si="16"/>
        <v>0</v>
      </c>
      <c r="AF152" s="13">
        <f t="shared" si="21"/>
        <v>0</v>
      </c>
      <c r="AM152" s="12">
        <f t="shared" si="22"/>
        <v>0</v>
      </c>
      <c r="AN152" s="13">
        <f t="shared" si="23"/>
        <v>0</v>
      </c>
    </row>
    <row r="153" spans="1:40" x14ac:dyDescent="0.25">
      <c r="A153">
        <v>148</v>
      </c>
      <c r="B153" t="s">
        <v>180</v>
      </c>
      <c r="C153" t="s">
        <v>18</v>
      </c>
      <c r="D153" t="s">
        <v>16</v>
      </c>
      <c r="F153" s="514">
        <f>+'29'!F153+'30'!F153+'31'!F153</f>
        <v>44</v>
      </c>
      <c r="G153" s="12">
        <f>+'29'!G153+'30'!G153+'31'!G153</f>
        <v>1024374.1000000001</v>
      </c>
      <c r="H153" s="12">
        <f>+'29'!H153+'30'!H153+'31'!H153</f>
        <v>2200</v>
      </c>
      <c r="I153" s="271"/>
      <c r="J153" s="514">
        <f>+'29'!J153+'30'!J153+'31'!J153</f>
        <v>0</v>
      </c>
      <c r="K153" s="12">
        <f>+'29'!K153+'30'!K153+'31'!K153</f>
        <v>0</v>
      </c>
      <c r="L153" s="12">
        <f>+'29'!L153+'30'!L153+'31'!L153</f>
        <v>0</v>
      </c>
      <c r="M153" s="271"/>
      <c r="N153" s="514">
        <f>+'29'!N153+'30'!N153+'31'!N153</f>
        <v>44</v>
      </c>
      <c r="O153" s="12">
        <f>+'29'!O153+'30'!O153+'31'!O153</f>
        <v>1024374.1000000001</v>
      </c>
      <c r="P153" s="12">
        <f>+'29'!P153+'30'!P153+'31'!P153</f>
        <v>2200</v>
      </c>
      <c r="Q153" s="532"/>
      <c r="R153" s="270">
        <v>44</v>
      </c>
      <c r="S153" s="12">
        <v>1024374.1</v>
      </c>
      <c r="T153" s="12">
        <v>0</v>
      </c>
      <c r="U153" s="271"/>
      <c r="V153" s="533">
        <f t="shared" si="17"/>
        <v>0</v>
      </c>
      <c r="W153" s="533">
        <f t="shared" si="18"/>
        <v>0</v>
      </c>
      <c r="X153" s="257"/>
      <c r="Y153" s="261">
        <f t="shared" si="19"/>
        <v>0</v>
      </c>
      <c r="Z153" s="12">
        <f t="shared" si="20"/>
        <v>0</v>
      </c>
      <c r="AB153" s="13">
        <f t="shared" si="16"/>
        <v>1024374.1000000001</v>
      </c>
      <c r="AD153" s="16"/>
      <c r="AF153" s="13">
        <f t="shared" si="21"/>
        <v>1024374.1000000001</v>
      </c>
      <c r="AG153" s="16"/>
      <c r="AM153" s="12">
        <f t="shared" si="22"/>
        <v>0</v>
      </c>
      <c r="AN153" s="13">
        <f t="shared" si="23"/>
        <v>1024374.1000000001</v>
      </c>
    </row>
    <row r="154" spans="1:40" x14ac:dyDescent="0.25">
      <c r="A154">
        <v>149</v>
      </c>
      <c r="B154" t="s">
        <v>181</v>
      </c>
      <c r="C154" t="s">
        <v>18</v>
      </c>
      <c r="D154" t="s">
        <v>16</v>
      </c>
      <c r="F154" s="514">
        <f>+'29'!F154+'30'!F154+'31'!F154</f>
        <v>18</v>
      </c>
      <c r="G154" s="12">
        <f>+'29'!G154+'30'!G154+'31'!G154</f>
        <v>389024.25</v>
      </c>
      <c r="H154" s="12">
        <f>+'29'!H154+'30'!H154+'31'!H154</f>
        <v>900</v>
      </c>
      <c r="I154" s="271"/>
      <c r="J154" s="514">
        <f>+'29'!J154+'30'!J154+'31'!J154</f>
        <v>0</v>
      </c>
      <c r="K154" s="12">
        <f>+'29'!K154+'30'!K154+'31'!K154</f>
        <v>0</v>
      </c>
      <c r="L154" s="12">
        <f>+'29'!L154+'30'!L154+'31'!L154</f>
        <v>0</v>
      </c>
      <c r="M154" s="271"/>
      <c r="N154" s="514">
        <f>+'29'!N154+'30'!N154+'31'!N154</f>
        <v>18</v>
      </c>
      <c r="O154" s="12">
        <f>+'29'!O154+'30'!O154+'31'!O154</f>
        <v>389024.25</v>
      </c>
      <c r="P154" s="12">
        <f>+'29'!P154+'30'!P154+'31'!P154</f>
        <v>900</v>
      </c>
      <c r="Q154" s="532"/>
      <c r="R154" s="270">
        <v>18</v>
      </c>
      <c r="S154" s="12">
        <v>389024.25</v>
      </c>
      <c r="T154" s="12">
        <v>0</v>
      </c>
      <c r="U154" s="271"/>
      <c r="V154" s="533">
        <f t="shared" si="17"/>
        <v>0</v>
      </c>
      <c r="W154" s="533">
        <f t="shared" si="18"/>
        <v>0</v>
      </c>
      <c r="X154" s="257"/>
      <c r="Y154" s="261">
        <f t="shared" si="19"/>
        <v>0</v>
      </c>
      <c r="Z154" s="12">
        <f t="shared" si="20"/>
        <v>0</v>
      </c>
      <c r="AB154" s="13">
        <f t="shared" si="16"/>
        <v>389024.25</v>
      </c>
      <c r="AD154" s="16"/>
      <c r="AF154" s="13">
        <f t="shared" si="21"/>
        <v>389024.25</v>
      </c>
      <c r="AG154" s="16"/>
      <c r="AH154" s="33"/>
      <c r="AM154" s="12">
        <f t="shared" si="22"/>
        <v>0</v>
      </c>
      <c r="AN154" s="13">
        <f t="shared" si="23"/>
        <v>389024.25</v>
      </c>
    </row>
    <row r="155" spans="1:40" x14ac:dyDescent="0.25">
      <c r="A155">
        <v>150</v>
      </c>
      <c r="B155" t="s">
        <v>182</v>
      </c>
      <c r="C155" t="s">
        <v>18</v>
      </c>
      <c r="D155" t="s">
        <v>16</v>
      </c>
      <c r="F155" s="514">
        <f>+'29'!F155+'30'!F155+'31'!F155</f>
        <v>0</v>
      </c>
      <c r="G155" s="12">
        <f>+'29'!G155+'30'!G155+'31'!G155</f>
        <v>0</v>
      </c>
      <c r="H155" s="12">
        <f>+'29'!H155+'30'!H155+'31'!H155</f>
        <v>0</v>
      </c>
      <c r="I155" s="271"/>
      <c r="J155" s="514">
        <f>+'29'!J155+'30'!J155+'31'!J155</f>
        <v>0</v>
      </c>
      <c r="K155" s="12">
        <f>+'29'!K155+'30'!K155+'31'!K155</f>
        <v>0</v>
      </c>
      <c r="L155" s="12">
        <f>+'29'!L155+'30'!L155+'31'!L155</f>
        <v>0</v>
      </c>
      <c r="M155" s="271"/>
      <c r="N155" s="514">
        <f>+'29'!N155+'30'!N155+'31'!N155</f>
        <v>0</v>
      </c>
      <c r="O155" s="12">
        <f>+'29'!O155+'30'!O155+'31'!O155</f>
        <v>0</v>
      </c>
      <c r="P155" s="12">
        <f>+'29'!P155+'30'!P155+'31'!P155</f>
        <v>0</v>
      </c>
      <c r="Q155" s="532"/>
      <c r="R155" s="270">
        <v>0</v>
      </c>
      <c r="S155" s="12">
        <v>0</v>
      </c>
      <c r="T155" s="12">
        <v>0</v>
      </c>
      <c r="U155" s="271"/>
      <c r="V155" s="533">
        <f t="shared" si="17"/>
        <v>0</v>
      </c>
      <c r="W155" s="533">
        <f t="shared" si="18"/>
        <v>0</v>
      </c>
      <c r="X155" s="257"/>
      <c r="Y155" s="261">
        <f t="shared" si="19"/>
        <v>0</v>
      </c>
      <c r="Z155" s="12">
        <f t="shared" si="20"/>
        <v>0</v>
      </c>
      <c r="AB155" s="13">
        <f t="shared" si="16"/>
        <v>0</v>
      </c>
      <c r="AD155" s="16"/>
      <c r="AF155" s="13">
        <f t="shared" si="21"/>
        <v>0</v>
      </c>
      <c r="AG155" s="16"/>
      <c r="AJ155" s="13"/>
      <c r="AM155" s="12">
        <f t="shared" si="22"/>
        <v>0</v>
      </c>
      <c r="AN155" s="13">
        <f t="shared" si="23"/>
        <v>0</v>
      </c>
    </row>
    <row r="156" spans="1:40" x14ac:dyDescent="0.25">
      <c r="A156">
        <v>151</v>
      </c>
      <c r="B156" t="s">
        <v>183</v>
      </c>
      <c r="C156" t="s">
        <v>25</v>
      </c>
      <c r="D156" t="s">
        <v>20</v>
      </c>
      <c r="F156" s="514">
        <f>+'29'!F156+'30'!F156+'31'!F156</f>
        <v>0</v>
      </c>
      <c r="G156" s="12">
        <f>+'29'!G156+'30'!G156+'31'!G156</f>
        <v>0</v>
      </c>
      <c r="H156" s="12">
        <f>+'29'!H156+'30'!H156+'31'!H156</f>
        <v>0</v>
      </c>
      <c r="I156" s="271"/>
      <c r="J156" s="514">
        <f>+'29'!J156+'30'!J156+'31'!J156</f>
        <v>0</v>
      </c>
      <c r="K156" s="12">
        <f>+'29'!K156+'30'!K156+'31'!K156</f>
        <v>0</v>
      </c>
      <c r="L156" s="12">
        <f>+'29'!L156+'30'!L156+'31'!L156</f>
        <v>0</v>
      </c>
      <c r="M156" s="271"/>
      <c r="N156" s="514">
        <f>+'29'!N156+'30'!N156+'31'!N156</f>
        <v>0</v>
      </c>
      <c r="O156" s="12">
        <f>+'29'!O156+'30'!O156+'31'!O156</f>
        <v>0</v>
      </c>
      <c r="P156" s="12">
        <f>+'29'!P156+'30'!P156+'31'!P156</f>
        <v>0</v>
      </c>
      <c r="Q156" s="532"/>
      <c r="R156" s="270">
        <v>0</v>
      </c>
      <c r="S156" s="12">
        <v>0</v>
      </c>
      <c r="T156" s="12">
        <v>0</v>
      </c>
      <c r="U156" s="271"/>
      <c r="V156" s="533">
        <f t="shared" si="17"/>
        <v>0</v>
      </c>
      <c r="W156" s="533">
        <f t="shared" si="18"/>
        <v>0</v>
      </c>
      <c r="X156" s="257"/>
      <c r="Y156" s="261">
        <f t="shared" si="19"/>
        <v>0</v>
      </c>
      <c r="Z156" s="12">
        <f t="shared" si="20"/>
        <v>0</v>
      </c>
      <c r="AB156" s="13">
        <f t="shared" si="16"/>
        <v>0</v>
      </c>
      <c r="AF156" s="13">
        <f t="shared" si="21"/>
        <v>0</v>
      </c>
      <c r="AM156" s="12">
        <f t="shared" si="22"/>
        <v>0</v>
      </c>
      <c r="AN156" s="13">
        <f t="shared" si="23"/>
        <v>0</v>
      </c>
    </row>
    <row r="157" spans="1:40" x14ac:dyDescent="0.25">
      <c r="A157">
        <v>152</v>
      </c>
      <c r="B157" t="s">
        <v>184</v>
      </c>
      <c r="C157" t="s">
        <v>41</v>
      </c>
      <c r="D157" t="s">
        <v>16</v>
      </c>
      <c r="F157" s="514">
        <f>+'29'!F157+'30'!F157+'31'!F157</f>
        <v>0</v>
      </c>
      <c r="G157" s="12">
        <f>+'29'!G157+'30'!G157+'31'!G157</f>
        <v>0</v>
      </c>
      <c r="H157" s="12">
        <f>+'29'!H157+'30'!H157+'31'!H157</f>
        <v>0</v>
      </c>
      <c r="I157" s="271"/>
      <c r="J157" s="514">
        <f>+'29'!J157+'30'!J157+'31'!J157</f>
        <v>0</v>
      </c>
      <c r="K157" s="12">
        <f>+'29'!K157+'30'!K157+'31'!K157</f>
        <v>0</v>
      </c>
      <c r="L157" s="12">
        <f>+'29'!L157+'30'!L157+'31'!L157</f>
        <v>0</v>
      </c>
      <c r="M157" s="271"/>
      <c r="N157" s="514">
        <f>+'29'!N157+'30'!N157+'31'!N157</f>
        <v>0</v>
      </c>
      <c r="O157" s="12">
        <f>+'29'!O157+'30'!O157+'31'!O157</f>
        <v>0</v>
      </c>
      <c r="P157" s="12">
        <f>+'29'!P157+'30'!P157+'31'!P157</f>
        <v>0</v>
      </c>
      <c r="Q157" s="532"/>
      <c r="R157" s="270">
        <v>0</v>
      </c>
      <c r="S157" s="12">
        <v>0</v>
      </c>
      <c r="T157" s="12">
        <v>0</v>
      </c>
      <c r="U157" s="271"/>
      <c r="V157" s="533">
        <f t="shared" si="17"/>
        <v>0</v>
      </c>
      <c r="W157" s="533">
        <f t="shared" si="18"/>
        <v>0</v>
      </c>
      <c r="X157" s="257"/>
      <c r="Y157" s="261">
        <f t="shared" si="19"/>
        <v>0</v>
      </c>
      <c r="Z157" s="12">
        <f t="shared" si="20"/>
        <v>0</v>
      </c>
      <c r="AB157" s="13">
        <f t="shared" si="16"/>
        <v>0</v>
      </c>
      <c r="AF157" s="13">
        <f t="shared" si="21"/>
        <v>0</v>
      </c>
      <c r="AM157" s="12">
        <f t="shared" si="22"/>
        <v>0</v>
      </c>
      <c r="AN157" s="13">
        <f t="shared" si="23"/>
        <v>0</v>
      </c>
    </row>
    <row r="158" spans="1:40" x14ac:dyDescent="0.25">
      <c r="A158">
        <v>153</v>
      </c>
      <c r="B158" t="s">
        <v>185</v>
      </c>
      <c r="C158" t="s">
        <v>15</v>
      </c>
      <c r="D158" t="s">
        <v>16</v>
      </c>
      <c r="F158" s="514">
        <f>+'29'!F158+'30'!F158+'31'!F158</f>
        <v>0</v>
      </c>
      <c r="G158" s="12">
        <f>+'29'!G158+'30'!G158+'31'!G158</f>
        <v>0</v>
      </c>
      <c r="H158" s="12">
        <f>+'29'!H158+'30'!H158+'31'!H158</f>
        <v>0</v>
      </c>
      <c r="I158" s="271"/>
      <c r="J158" s="514">
        <f>+'29'!J158+'30'!J158+'31'!J158</f>
        <v>0</v>
      </c>
      <c r="K158" s="12">
        <f>+'29'!K158+'30'!K158+'31'!K158</f>
        <v>0</v>
      </c>
      <c r="L158" s="12">
        <f>+'29'!L158+'30'!L158+'31'!L158</f>
        <v>0</v>
      </c>
      <c r="M158" s="271"/>
      <c r="N158" s="514">
        <f>+'29'!N158+'30'!N158+'31'!N158</f>
        <v>0</v>
      </c>
      <c r="O158" s="12">
        <f>+'29'!O158+'30'!O158+'31'!O158</f>
        <v>0</v>
      </c>
      <c r="P158" s="12">
        <f>+'29'!P158+'30'!P158+'31'!P158</f>
        <v>0</v>
      </c>
      <c r="Q158" s="532"/>
      <c r="R158" s="270">
        <v>0</v>
      </c>
      <c r="S158" s="12">
        <v>0</v>
      </c>
      <c r="T158" s="12">
        <v>0</v>
      </c>
      <c r="U158" s="271"/>
      <c r="V158" s="533">
        <f t="shared" si="17"/>
        <v>0</v>
      </c>
      <c r="W158" s="533">
        <f t="shared" si="18"/>
        <v>0</v>
      </c>
      <c r="X158" s="257"/>
      <c r="Y158" s="261">
        <f t="shared" si="19"/>
        <v>0</v>
      </c>
      <c r="Z158" s="12">
        <f t="shared" si="20"/>
        <v>0</v>
      </c>
      <c r="AB158" s="13">
        <f t="shared" si="16"/>
        <v>0</v>
      </c>
      <c r="AF158" s="13">
        <f t="shared" si="21"/>
        <v>0</v>
      </c>
      <c r="AM158" s="12">
        <f t="shared" si="22"/>
        <v>0</v>
      </c>
      <c r="AN158" s="13">
        <f t="shared" si="23"/>
        <v>0</v>
      </c>
    </row>
    <row r="159" spans="1:40" x14ac:dyDescent="0.25">
      <c r="A159">
        <v>154</v>
      </c>
      <c r="B159" t="s">
        <v>186</v>
      </c>
      <c r="C159" t="s">
        <v>187</v>
      </c>
      <c r="D159" t="s">
        <v>16</v>
      </c>
      <c r="F159" s="514">
        <f>+'29'!F159+'30'!F159+'31'!F159</f>
        <v>0</v>
      </c>
      <c r="G159" s="12">
        <f>+'29'!G159+'30'!G159+'31'!G159</f>
        <v>0</v>
      </c>
      <c r="H159" s="12">
        <f>+'29'!H159+'30'!H159+'31'!H159</f>
        <v>0</v>
      </c>
      <c r="I159" s="271"/>
      <c r="J159" s="514">
        <f>+'29'!J159+'30'!J159+'31'!J159</f>
        <v>0</v>
      </c>
      <c r="K159" s="12">
        <f>+'29'!K159+'30'!K159+'31'!K159</f>
        <v>0</v>
      </c>
      <c r="L159" s="12">
        <f>+'29'!L159+'30'!L159+'31'!L159</f>
        <v>0</v>
      </c>
      <c r="M159" s="271"/>
      <c r="N159" s="514">
        <f>+'29'!N159+'30'!N159+'31'!N159</f>
        <v>0</v>
      </c>
      <c r="O159" s="12">
        <f>+'29'!O159+'30'!O159+'31'!O159</f>
        <v>0</v>
      </c>
      <c r="P159" s="12">
        <f>+'29'!P159+'30'!P159+'31'!P159</f>
        <v>0</v>
      </c>
      <c r="Q159" s="532"/>
      <c r="R159" s="270">
        <v>0</v>
      </c>
      <c r="S159" s="12">
        <v>0</v>
      </c>
      <c r="T159" s="12">
        <v>0</v>
      </c>
      <c r="U159" s="271"/>
      <c r="V159" s="533">
        <f t="shared" si="17"/>
        <v>0</v>
      </c>
      <c r="W159" s="533">
        <f t="shared" si="18"/>
        <v>0</v>
      </c>
      <c r="X159" s="257"/>
      <c r="Y159" s="261">
        <f t="shared" si="19"/>
        <v>0</v>
      </c>
      <c r="Z159" s="12">
        <f t="shared" si="20"/>
        <v>0</v>
      </c>
      <c r="AB159" s="13">
        <f t="shared" si="16"/>
        <v>0</v>
      </c>
      <c r="AF159" s="13">
        <f t="shared" si="21"/>
        <v>0</v>
      </c>
      <c r="AM159" s="12">
        <f t="shared" si="22"/>
        <v>0</v>
      </c>
      <c r="AN159" s="13">
        <f t="shared" si="23"/>
        <v>0</v>
      </c>
    </row>
    <row r="160" spans="1:40" x14ac:dyDescent="0.25">
      <c r="A160">
        <v>155</v>
      </c>
      <c r="B160" t="s">
        <v>188</v>
      </c>
      <c r="C160" t="s">
        <v>189</v>
      </c>
      <c r="D160" t="s">
        <v>16</v>
      </c>
      <c r="F160" s="514">
        <f>+'29'!F160+'30'!F160+'31'!F160</f>
        <v>0</v>
      </c>
      <c r="G160" s="12">
        <f>+'29'!G160+'30'!G160+'31'!G160</f>
        <v>0</v>
      </c>
      <c r="H160" s="12">
        <f>+'29'!H160+'30'!H160+'31'!H160</f>
        <v>0</v>
      </c>
      <c r="I160" s="271"/>
      <c r="J160" s="514">
        <f>+'29'!J160+'30'!J160+'31'!J160</f>
        <v>0</v>
      </c>
      <c r="K160" s="12">
        <f>+'29'!K160+'30'!K160+'31'!K160</f>
        <v>0</v>
      </c>
      <c r="L160" s="12">
        <f>+'29'!L160+'30'!L160+'31'!L160</f>
        <v>0</v>
      </c>
      <c r="M160" s="271"/>
      <c r="N160" s="514">
        <f>+'29'!N160+'30'!N160+'31'!N160</f>
        <v>0</v>
      </c>
      <c r="O160" s="12">
        <f>+'29'!O160+'30'!O160+'31'!O160</f>
        <v>0</v>
      </c>
      <c r="P160" s="12">
        <f>+'29'!P160+'30'!P160+'31'!P160</f>
        <v>0</v>
      </c>
      <c r="Q160" s="532"/>
      <c r="R160" s="270">
        <v>0</v>
      </c>
      <c r="S160" s="12">
        <v>0</v>
      </c>
      <c r="T160" s="12">
        <v>0</v>
      </c>
      <c r="U160" s="271"/>
      <c r="V160" s="533">
        <f t="shared" si="17"/>
        <v>0</v>
      </c>
      <c r="W160" s="533">
        <f t="shared" si="18"/>
        <v>0</v>
      </c>
      <c r="X160" s="257"/>
      <c r="Y160" s="261">
        <f t="shared" si="19"/>
        <v>0</v>
      </c>
      <c r="Z160" s="12">
        <f t="shared" si="20"/>
        <v>0</v>
      </c>
      <c r="AB160" s="13">
        <f t="shared" si="16"/>
        <v>0</v>
      </c>
      <c r="AF160" s="13">
        <f t="shared" si="21"/>
        <v>0</v>
      </c>
      <c r="AM160" s="12">
        <f t="shared" si="22"/>
        <v>0</v>
      </c>
      <c r="AN160" s="13">
        <f t="shared" si="23"/>
        <v>0</v>
      </c>
    </row>
    <row r="161" spans="1:40" x14ac:dyDescent="0.25">
      <c r="A161">
        <v>156</v>
      </c>
      <c r="B161" t="s">
        <v>190</v>
      </c>
      <c r="C161" t="s">
        <v>191</v>
      </c>
      <c r="D161" t="s">
        <v>16</v>
      </c>
      <c r="F161" s="514">
        <f>+'29'!F161+'30'!F161+'31'!F161</f>
        <v>0</v>
      </c>
      <c r="G161" s="12">
        <f>+'29'!G161+'30'!G161+'31'!G161</f>
        <v>0</v>
      </c>
      <c r="H161" s="12">
        <f>+'29'!H161+'30'!H161+'31'!H161</f>
        <v>0</v>
      </c>
      <c r="I161" s="271"/>
      <c r="J161" s="514">
        <f>+'29'!J161+'30'!J161+'31'!J161</f>
        <v>0</v>
      </c>
      <c r="K161" s="12">
        <f>+'29'!K161+'30'!K161+'31'!K161</f>
        <v>0</v>
      </c>
      <c r="L161" s="12">
        <f>+'29'!L161+'30'!L161+'31'!L161</f>
        <v>0</v>
      </c>
      <c r="M161" s="271"/>
      <c r="N161" s="514">
        <f>+'29'!N161+'30'!N161+'31'!N161</f>
        <v>0</v>
      </c>
      <c r="O161" s="12">
        <f>+'29'!O161+'30'!O161+'31'!O161</f>
        <v>0</v>
      </c>
      <c r="P161" s="12">
        <f>+'29'!P161+'30'!P161+'31'!P161</f>
        <v>0</v>
      </c>
      <c r="Q161" s="532"/>
      <c r="R161" s="270">
        <v>0</v>
      </c>
      <c r="S161" s="12">
        <v>0</v>
      </c>
      <c r="T161" s="12">
        <v>0</v>
      </c>
      <c r="U161" s="271"/>
      <c r="V161" s="533">
        <f t="shared" si="17"/>
        <v>0</v>
      </c>
      <c r="W161" s="533">
        <f t="shared" si="18"/>
        <v>0</v>
      </c>
      <c r="X161" s="257"/>
      <c r="Y161" s="261">
        <f t="shared" si="19"/>
        <v>0</v>
      </c>
      <c r="Z161" s="12">
        <f t="shared" si="20"/>
        <v>0</v>
      </c>
      <c r="AB161" s="13">
        <f t="shared" si="16"/>
        <v>0</v>
      </c>
      <c r="AF161" s="13">
        <f t="shared" si="21"/>
        <v>0</v>
      </c>
      <c r="AM161" s="12">
        <f t="shared" si="22"/>
        <v>0</v>
      </c>
      <c r="AN161" s="13">
        <f t="shared" si="23"/>
        <v>0</v>
      </c>
    </row>
    <row r="162" spans="1:40" x14ac:dyDescent="0.25">
      <c r="A162">
        <v>157</v>
      </c>
      <c r="B162" t="s">
        <v>192</v>
      </c>
      <c r="C162" t="s">
        <v>189</v>
      </c>
      <c r="D162" t="s">
        <v>16</v>
      </c>
      <c r="F162" s="514">
        <f>+'29'!F162+'30'!F162+'31'!F162</f>
        <v>0</v>
      </c>
      <c r="G162" s="12">
        <f>+'29'!G162+'30'!G162+'31'!G162</f>
        <v>0</v>
      </c>
      <c r="H162" s="12">
        <f>+'29'!H162+'30'!H162+'31'!H162</f>
        <v>0</v>
      </c>
      <c r="I162" s="271"/>
      <c r="J162" s="514">
        <f>+'29'!J162+'30'!J162+'31'!J162</f>
        <v>0</v>
      </c>
      <c r="K162" s="12">
        <f>+'29'!K162+'30'!K162+'31'!K162</f>
        <v>0</v>
      </c>
      <c r="L162" s="12">
        <f>+'29'!L162+'30'!L162+'31'!L162</f>
        <v>0</v>
      </c>
      <c r="M162" s="271"/>
      <c r="N162" s="514">
        <f>+'29'!N162+'30'!N162+'31'!N162</f>
        <v>0</v>
      </c>
      <c r="O162" s="12">
        <f>+'29'!O162+'30'!O162+'31'!O162</f>
        <v>0</v>
      </c>
      <c r="P162" s="12">
        <f>+'29'!P162+'30'!P162+'31'!P162</f>
        <v>0</v>
      </c>
      <c r="Q162" s="532"/>
      <c r="R162" s="270">
        <v>0</v>
      </c>
      <c r="S162" s="12">
        <v>0</v>
      </c>
      <c r="T162" s="12">
        <v>0</v>
      </c>
      <c r="U162" s="271"/>
      <c r="V162" s="533">
        <f t="shared" si="17"/>
        <v>0</v>
      </c>
      <c r="W162" s="533">
        <f t="shared" si="18"/>
        <v>0</v>
      </c>
      <c r="X162" s="257"/>
      <c r="Y162" s="261">
        <f t="shared" si="19"/>
        <v>0</v>
      </c>
      <c r="Z162" s="12">
        <f t="shared" si="20"/>
        <v>0</v>
      </c>
      <c r="AB162" s="13">
        <f t="shared" si="16"/>
        <v>0</v>
      </c>
      <c r="AF162" s="13">
        <f t="shared" si="21"/>
        <v>0</v>
      </c>
      <c r="AM162" s="12">
        <f t="shared" si="22"/>
        <v>0</v>
      </c>
      <c r="AN162" s="13">
        <f t="shared" si="23"/>
        <v>0</v>
      </c>
    </row>
    <row r="163" spans="1:40" x14ac:dyDescent="0.25">
      <c r="A163">
        <v>158</v>
      </c>
      <c r="B163" t="s">
        <v>193</v>
      </c>
      <c r="D163" t="s">
        <v>16</v>
      </c>
      <c r="F163" s="514">
        <f>+'29'!F163+'30'!F163+'31'!F163</f>
        <v>0</v>
      </c>
      <c r="G163" s="12">
        <f>+'29'!G163+'30'!G163+'31'!G163</f>
        <v>0</v>
      </c>
      <c r="H163" s="12">
        <f>+'29'!H163+'30'!H163+'31'!H163</f>
        <v>0</v>
      </c>
      <c r="I163" s="271"/>
      <c r="J163" s="514">
        <f>+'29'!J163+'30'!J163+'31'!J163</f>
        <v>0</v>
      </c>
      <c r="K163" s="12">
        <f>+'29'!K163+'30'!K163+'31'!K163</f>
        <v>0</v>
      </c>
      <c r="L163" s="12">
        <f>+'29'!L163+'30'!L163+'31'!L163</f>
        <v>0</v>
      </c>
      <c r="M163" s="271"/>
      <c r="N163" s="514">
        <f>+'29'!N163+'30'!N163+'31'!N163</f>
        <v>0</v>
      </c>
      <c r="O163" s="12">
        <f>+'29'!O163+'30'!O163+'31'!O163</f>
        <v>0</v>
      </c>
      <c r="P163" s="12">
        <f>+'29'!P163+'30'!P163+'31'!P163</f>
        <v>0</v>
      </c>
      <c r="Q163" s="532"/>
      <c r="R163" s="270">
        <v>0</v>
      </c>
      <c r="S163" s="12">
        <v>0</v>
      </c>
      <c r="T163" s="12">
        <v>0</v>
      </c>
      <c r="U163" s="271"/>
      <c r="V163" s="533">
        <f t="shared" si="17"/>
        <v>0</v>
      </c>
      <c r="W163" s="533">
        <f t="shared" si="18"/>
        <v>0</v>
      </c>
      <c r="X163" s="257"/>
      <c r="Y163" s="261">
        <f t="shared" si="19"/>
        <v>0</v>
      </c>
      <c r="Z163" s="12">
        <f t="shared" si="20"/>
        <v>0</v>
      </c>
      <c r="AB163" s="13">
        <f t="shared" si="16"/>
        <v>0</v>
      </c>
      <c r="AF163" s="13">
        <f t="shared" si="21"/>
        <v>0</v>
      </c>
      <c r="AM163" s="12">
        <f t="shared" si="22"/>
        <v>0</v>
      </c>
      <c r="AN163" s="13">
        <f t="shared" si="23"/>
        <v>0</v>
      </c>
    </row>
    <row r="164" spans="1:40" x14ac:dyDescent="0.25">
      <c r="A164">
        <v>159</v>
      </c>
      <c r="B164" t="s">
        <v>194</v>
      </c>
      <c r="D164" t="s">
        <v>16</v>
      </c>
      <c r="F164" s="514">
        <f>+'29'!F164+'30'!F164+'31'!F164</f>
        <v>0</v>
      </c>
      <c r="G164" s="12">
        <f>+'29'!G164+'30'!G164+'31'!G164</f>
        <v>0</v>
      </c>
      <c r="H164" s="12">
        <f>+'29'!H164+'30'!H164+'31'!H164</f>
        <v>0</v>
      </c>
      <c r="I164" s="271"/>
      <c r="J164" s="514">
        <f>+'29'!J164+'30'!J164+'31'!J164</f>
        <v>0</v>
      </c>
      <c r="K164" s="12">
        <f>+'29'!K164+'30'!K164+'31'!K164</f>
        <v>0</v>
      </c>
      <c r="L164" s="12">
        <f>+'29'!L164+'30'!L164+'31'!L164</f>
        <v>0</v>
      </c>
      <c r="M164" s="271"/>
      <c r="N164" s="514">
        <f>+'29'!N164+'30'!N164+'31'!N164</f>
        <v>0</v>
      </c>
      <c r="O164" s="12">
        <f>+'29'!O164+'30'!O164+'31'!O164</f>
        <v>0</v>
      </c>
      <c r="P164" s="12">
        <f>+'29'!P164+'30'!P164+'31'!P164</f>
        <v>0</v>
      </c>
      <c r="Q164" s="532"/>
      <c r="R164" s="270">
        <v>0</v>
      </c>
      <c r="S164" s="12">
        <v>0</v>
      </c>
      <c r="T164" s="12">
        <v>0</v>
      </c>
      <c r="U164" s="271"/>
      <c r="V164" s="533">
        <f t="shared" si="17"/>
        <v>0</v>
      </c>
      <c r="W164" s="533">
        <f t="shared" si="18"/>
        <v>0</v>
      </c>
      <c r="X164" s="257"/>
      <c r="Y164" s="261">
        <f t="shared" si="19"/>
        <v>0</v>
      </c>
      <c r="Z164" s="12">
        <f t="shared" si="20"/>
        <v>0</v>
      </c>
      <c r="AB164" s="13">
        <f t="shared" si="16"/>
        <v>0</v>
      </c>
      <c r="AF164" s="13">
        <f t="shared" si="21"/>
        <v>0</v>
      </c>
      <c r="AM164" s="12">
        <f t="shared" si="22"/>
        <v>0</v>
      </c>
      <c r="AN164" s="13">
        <f t="shared" si="23"/>
        <v>0</v>
      </c>
    </row>
    <row r="165" spans="1:40" x14ac:dyDescent="0.25">
      <c r="A165">
        <v>160</v>
      </c>
      <c r="B165" t="s">
        <v>195</v>
      </c>
      <c r="D165" t="s">
        <v>16</v>
      </c>
      <c r="F165" s="514">
        <f>+'29'!F165+'30'!F165+'31'!F165</f>
        <v>0</v>
      </c>
      <c r="G165" s="12">
        <f>+'29'!G165+'30'!G165+'31'!G165</f>
        <v>0</v>
      </c>
      <c r="H165" s="12">
        <f>+'29'!H165+'30'!H165+'31'!H165</f>
        <v>0</v>
      </c>
      <c r="I165" s="271"/>
      <c r="J165" s="514">
        <f>+'29'!J165+'30'!J165+'31'!J165</f>
        <v>0</v>
      </c>
      <c r="K165" s="12">
        <f>+'29'!K165+'30'!K165+'31'!K165</f>
        <v>0</v>
      </c>
      <c r="L165" s="12">
        <f>+'29'!L165+'30'!L165+'31'!L165</f>
        <v>0</v>
      </c>
      <c r="M165" s="271"/>
      <c r="N165" s="514">
        <f>+'29'!N165+'30'!N165+'31'!N165</f>
        <v>0</v>
      </c>
      <c r="O165" s="12">
        <f>+'29'!O165+'30'!O165+'31'!O165</f>
        <v>0</v>
      </c>
      <c r="P165" s="12">
        <f>+'29'!P165+'30'!P165+'31'!P165</f>
        <v>0</v>
      </c>
      <c r="Q165" s="532"/>
      <c r="R165" s="270">
        <v>0</v>
      </c>
      <c r="S165" s="12">
        <v>0</v>
      </c>
      <c r="T165" s="12">
        <v>0</v>
      </c>
      <c r="U165" s="271"/>
      <c r="V165" s="533">
        <f t="shared" si="17"/>
        <v>0</v>
      </c>
      <c r="W165" s="533">
        <f t="shared" si="18"/>
        <v>0</v>
      </c>
      <c r="X165" s="257"/>
      <c r="Y165" s="261">
        <f t="shared" si="19"/>
        <v>0</v>
      </c>
      <c r="Z165" s="12">
        <f t="shared" si="20"/>
        <v>0</v>
      </c>
      <c r="AB165" s="13">
        <f t="shared" si="16"/>
        <v>0</v>
      </c>
      <c r="AD165" s="16"/>
      <c r="AF165" s="13">
        <f t="shared" si="21"/>
        <v>0</v>
      </c>
      <c r="AG165" s="16"/>
      <c r="AH165" s="33"/>
      <c r="AM165" s="12">
        <f t="shared" si="22"/>
        <v>0</v>
      </c>
      <c r="AN165" s="13">
        <f t="shared" si="23"/>
        <v>0</v>
      </c>
    </row>
    <row r="166" spans="1:40" x14ac:dyDescent="0.25">
      <c r="A166">
        <v>161</v>
      </c>
      <c r="B166" t="s">
        <v>196</v>
      </c>
      <c r="D166" t="s">
        <v>16</v>
      </c>
      <c r="F166" s="514">
        <f>+'29'!F166+'30'!F166+'31'!F166</f>
        <v>0</v>
      </c>
      <c r="G166" s="12">
        <f>+'29'!G166+'30'!G166+'31'!G166</f>
        <v>0</v>
      </c>
      <c r="H166" s="12">
        <f>+'29'!H166+'30'!H166+'31'!H166</f>
        <v>0</v>
      </c>
      <c r="I166" s="271"/>
      <c r="J166" s="514">
        <f>+'29'!J166+'30'!J166+'31'!J166</f>
        <v>0</v>
      </c>
      <c r="K166" s="12">
        <f>+'29'!K166+'30'!K166+'31'!K166</f>
        <v>0</v>
      </c>
      <c r="L166" s="12">
        <f>+'29'!L166+'30'!L166+'31'!L166</f>
        <v>0</v>
      </c>
      <c r="M166" s="271"/>
      <c r="N166" s="514">
        <f>+'29'!N166+'30'!N166+'31'!N166</f>
        <v>0</v>
      </c>
      <c r="O166" s="12">
        <f>+'29'!O166+'30'!O166+'31'!O166</f>
        <v>0</v>
      </c>
      <c r="P166" s="12">
        <f>+'29'!P166+'30'!P166+'31'!P166</f>
        <v>0</v>
      </c>
      <c r="Q166" s="532"/>
      <c r="R166" s="270">
        <v>0</v>
      </c>
      <c r="S166" s="12">
        <v>0</v>
      </c>
      <c r="T166" s="12">
        <v>0</v>
      </c>
      <c r="U166" s="271"/>
      <c r="V166" s="533">
        <f t="shared" si="17"/>
        <v>0</v>
      </c>
      <c r="W166" s="533">
        <f t="shared" si="18"/>
        <v>0</v>
      </c>
      <c r="X166" s="257"/>
      <c r="Y166" s="261">
        <f t="shared" si="19"/>
        <v>0</v>
      </c>
      <c r="Z166" s="12">
        <f t="shared" si="20"/>
        <v>0</v>
      </c>
      <c r="AB166" s="13">
        <f t="shared" si="16"/>
        <v>0</v>
      </c>
      <c r="AD166" s="16"/>
      <c r="AF166" s="13">
        <f t="shared" si="21"/>
        <v>0</v>
      </c>
      <c r="AH166" s="33"/>
      <c r="AM166" s="12">
        <f t="shared" si="22"/>
        <v>0</v>
      </c>
      <c r="AN166" s="13">
        <f t="shared" si="23"/>
        <v>0</v>
      </c>
    </row>
    <row r="167" spans="1:40" x14ac:dyDescent="0.25">
      <c r="A167">
        <v>162</v>
      </c>
      <c r="B167" t="s">
        <v>197</v>
      </c>
      <c r="D167" t="s">
        <v>16</v>
      </c>
      <c r="F167" s="514">
        <f>+'29'!F167+'30'!F167+'31'!F167</f>
        <v>0</v>
      </c>
      <c r="G167" s="12">
        <f>+'29'!G167+'30'!G167+'31'!G167</f>
        <v>0</v>
      </c>
      <c r="H167" s="12">
        <f>+'29'!H167+'30'!H167+'31'!H167</f>
        <v>0</v>
      </c>
      <c r="I167" s="271"/>
      <c r="J167" s="514">
        <f>+'29'!J167+'30'!J167+'31'!J167</f>
        <v>0</v>
      </c>
      <c r="K167" s="12">
        <f>+'29'!K167+'30'!K167+'31'!K167</f>
        <v>0</v>
      </c>
      <c r="L167" s="12">
        <f>+'29'!L167+'30'!L167+'31'!L167</f>
        <v>0</v>
      </c>
      <c r="M167" s="271"/>
      <c r="N167" s="514">
        <f>+'29'!N167+'30'!N167+'31'!N167</f>
        <v>0</v>
      </c>
      <c r="O167" s="12">
        <f>+'29'!O167+'30'!O167+'31'!O167</f>
        <v>0</v>
      </c>
      <c r="P167" s="12">
        <f>+'29'!P167+'30'!P167+'31'!P167</f>
        <v>0</v>
      </c>
      <c r="Q167" s="532"/>
      <c r="R167" s="270">
        <v>0</v>
      </c>
      <c r="S167" s="12">
        <v>0</v>
      </c>
      <c r="T167" s="12">
        <v>0</v>
      </c>
      <c r="U167" s="271"/>
      <c r="V167" s="533">
        <f t="shared" si="17"/>
        <v>0</v>
      </c>
      <c r="W167" s="533">
        <f t="shared" si="18"/>
        <v>0</v>
      </c>
      <c r="X167" s="257"/>
      <c r="Y167" s="261">
        <f t="shared" si="19"/>
        <v>0</v>
      </c>
      <c r="Z167" s="12">
        <f t="shared" si="20"/>
        <v>0</v>
      </c>
      <c r="AB167" s="13">
        <f t="shared" si="16"/>
        <v>0</v>
      </c>
      <c r="AF167" s="13">
        <f t="shared" si="21"/>
        <v>0</v>
      </c>
      <c r="AM167" s="12">
        <f t="shared" si="22"/>
        <v>0</v>
      </c>
      <c r="AN167" s="13">
        <f t="shared" si="23"/>
        <v>0</v>
      </c>
    </row>
    <row r="168" spans="1:40" x14ac:dyDescent="0.25">
      <c r="A168">
        <v>163</v>
      </c>
      <c r="B168" t="s">
        <v>198</v>
      </c>
      <c r="D168" t="s">
        <v>16</v>
      </c>
      <c r="F168" s="514">
        <f>+'29'!F168+'30'!F168+'31'!F168</f>
        <v>0</v>
      </c>
      <c r="G168" s="12">
        <f>+'29'!G168+'30'!G168+'31'!G168</f>
        <v>0</v>
      </c>
      <c r="H168" s="12">
        <f>+'29'!H168+'30'!H168+'31'!H168</f>
        <v>0</v>
      </c>
      <c r="I168" s="271"/>
      <c r="J168" s="514">
        <f>+'29'!J168+'30'!J168+'31'!J168</f>
        <v>0</v>
      </c>
      <c r="K168" s="12">
        <f>+'29'!K168+'30'!K168+'31'!K168</f>
        <v>0</v>
      </c>
      <c r="L168" s="12">
        <f>+'29'!L168+'30'!L168+'31'!L168</f>
        <v>0</v>
      </c>
      <c r="M168" s="271"/>
      <c r="N168" s="514">
        <f>+'29'!N168+'30'!N168+'31'!N168</f>
        <v>0</v>
      </c>
      <c r="O168" s="12">
        <f>+'29'!O168+'30'!O168+'31'!O168</f>
        <v>0</v>
      </c>
      <c r="P168" s="12">
        <f>+'29'!P168+'30'!P168+'31'!P168</f>
        <v>0</v>
      </c>
      <c r="Q168" s="532"/>
      <c r="R168" s="270">
        <v>0</v>
      </c>
      <c r="S168" s="12">
        <v>0</v>
      </c>
      <c r="T168" s="12">
        <v>0</v>
      </c>
      <c r="U168" s="271"/>
      <c r="V168" s="533">
        <f t="shared" si="17"/>
        <v>0</v>
      </c>
      <c r="W168" s="533">
        <f t="shared" si="18"/>
        <v>0</v>
      </c>
      <c r="X168" s="257"/>
      <c r="Y168" s="261">
        <f t="shared" si="19"/>
        <v>0</v>
      </c>
      <c r="Z168" s="12">
        <f t="shared" si="20"/>
        <v>0</v>
      </c>
      <c r="AB168" s="13">
        <f t="shared" si="16"/>
        <v>0</v>
      </c>
      <c r="AF168" s="13">
        <f t="shared" si="21"/>
        <v>0</v>
      </c>
      <c r="AM168" s="12">
        <f t="shared" si="22"/>
        <v>0</v>
      </c>
      <c r="AN168" s="13">
        <f t="shared" si="23"/>
        <v>0</v>
      </c>
    </row>
    <row r="169" spans="1:40" x14ac:dyDescent="0.25">
      <c r="A169">
        <v>164</v>
      </c>
      <c r="B169" t="s">
        <v>199</v>
      </c>
      <c r="D169" t="s">
        <v>16</v>
      </c>
      <c r="F169" s="514">
        <f>+'29'!F169+'30'!F169+'31'!F169</f>
        <v>0</v>
      </c>
      <c r="G169" s="12">
        <f>+'29'!G169+'30'!G169+'31'!G169</f>
        <v>0</v>
      </c>
      <c r="H169" s="12">
        <f>+'29'!H169+'30'!H169+'31'!H169</f>
        <v>0</v>
      </c>
      <c r="I169" s="271"/>
      <c r="J169" s="514">
        <f>+'29'!J169+'30'!J169+'31'!J169</f>
        <v>0</v>
      </c>
      <c r="K169" s="12">
        <f>+'29'!K169+'30'!K169+'31'!K169</f>
        <v>0</v>
      </c>
      <c r="L169" s="12">
        <f>+'29'!L169+'30'!L169+'31'!L169</f>
        <v>0</v>
      </c>
      <c r="M169" s="271"/>
      <c r="N169" s="514">
        <f>+'29'!N169+'30'!N169+'31'!N169</f>
        <v>0</v>
      </c>
      <c r="O169" s="12">
        <f>+'29'!O169+'30'!O169+'31'!O169</f>
        <v>0</v>
      </c>
      <c r="P169" s="12">
        <f>+'29'!P169+'30'!P169+'31'!P169</f>
        <v>0</v>
      </c>
      <c r="Q169" s="532"/>
      <c r="R169" s="270">
        <v>0</v>
      </c>
      <c r="S169" s="12">
        <v>0</v>
      </c>
      <c r="T169" s="12">
        <v>0</v>
      </c>
      <c r="U169" s="271"/>
      <c r="V169" s="533">
        <f t="shared" si="17"/>
        <v>0</v>
      </c>
      <c r="W169" s="533">
        <f t="shared" si="18"/>
        <v>0</v>
      </c>
      <c r="X169" s="257"/>
      <c r="Y169" s="261">
        <f t="shared" si="19"/>
        <v>0</v>
      </c>
      <c r="Z169" s="12">
        <f t="shared" si="20"/>
        <v>0</v>
      </c>
      <c r="AB169" s="13">
        <f t="shared" si="16"/>
        <v>0</v>
      </c>
      <c r="AF169" s="13">
        <f t="shared" si="21"/>
        <v>0</v>
      </c>
      <c r="AM169" s="12">
        <f t="shared" si="22"/>
        <v>0</v>
      </c>
      <c r="AN169" s="13">
        <f t="shared" si="23"/>
        <v>0</v>
      </c>
    </row>
    <row r="170" spans="1:40" x14ac:dyDescent="0.25">
      <c r="A170">
        <v>165</v>
      </c>
      <c r="B170" t="s">
        <v>200</v>
      </c>
      <c r="D170" t="s">
        <v>16</v>
      </c>
      <c r="F170" s="514">
        <f>+'29'!F170+'30'!F170+'31'!F170</f>
        <v>0</v>
      </c>
      <c r="G170" s="12">
        <f>+'29'!G170+'30'!G170+'31'!G170</f>
        <v>0</v>
      </c>
      <c r="H170" s="12">
        <f>+'29'!H170+'30'!H170+'31'!H170</f>
        <v>0</v>
      </c>
      <c r="I170" s="271"/>
      <c r="J170" s="514">
        <f>+'29'!J170+'30'!J170+'31'!J170</f>
        <v>0</v>
      </c>
      <c r="K170" s="12">
        <f>+'29'!K170+'30'!K170+'31'!K170</f>
        <v>0</v>
      </c>
      <c r="L170" s="12">
        <f>+'29'!L170+'30'!L170+'31'!L170</f>
        <v>0</v>
      </c>
      <c r="M170" s="271"/>
      <c r="N170" s="514">
        <f>+'29'!N170+'30'!N170+'31'!N170</f>
        <v>0</v>
      </c>
      <c r="O170" s="12">
        <f>+'29'!O170+'30'!O170+'31'!O170</f>
        <v>0</v>
      </c>
      <c r="P170" s="12">
        <f>+'29'!P170+'30'!P170+'31'!P170</f>
        <v>0</v>
      </c>
      <c r="Q170" s="532"/>
      <c r="R170" s="270">
        <v>0</v>
      </c>
      <c r="S170" s="12">
        <v>0</v>
      </c>
      <c r="T170" s="12">
        <v>0</v>
      </c>
      <c r="U170" s="271"/>
      <c r="V170" s="533">
        <f t="shared" si="17"/>
        <v>0</v>
      </c>
      <c r="W170" s="533">
        <f t="shared" si="18"/>
        <v>0</v>
      </c>
      <c r="X170" s="257"/>
      <c r="Y170" s="261">
        <f t="shared" si="19"/>
        <v>0</v>
      </c>
      <c r="Z170" s="12">
        <f t="shared" si="20"/>
        <v>0</v>
      </c>
      <c r="AB170" s="13">
        <f t="shared" si="16"/>
        <v>0</v>
      </c>
      <c r="AF170" s="13">
        <f t="shared" si="21"/>
        <v>0</v>
      </c>
      <c r="AM170" s="12">
        <f t="shared" si="22"/>
        <v>0</v>
      </c>
      <c r="AN170" s="13">
        <f t="shared" si="23"/>
        <v>0</v>
      </c>
    </row>
    <row r="171" spans="1:40" x14ac:dyDescent="0.25">
      <c r="A171">
        <v>166</v>
      </c>
      <c r="B171" t="s">
        <v>201</v>
      </c>
      <c r="D171" t="s">
        <v>16</v>
      </c>
      <c r="F171" s="514">
        <f>+'29'!F171+'30'!F171+'31'!F171</f>
        <v>0</v>
      </c>
      <c r="G171" s="12">
        <f>+'29'!G171+'30'!G171+'31'!G171</f>
        <v>0</v>
      </c>
      <c r="H171" s="12">
        <f>+'29'!H171+'30'!H171+'31'!H171</f>
        <v>0</v>
      </c>
      <c r="I171" s="271"/>
      <c r="J171" s="514">
        <f>+'29'!J171+'30'!J171+'31'!J171</f>
        <v>0</v>
      </c>
      <c r="K171" s="12">
        <f>+'29'!K171+'30'!K171+'31'!K171</f>
        <v>0</v>
      </c>
      <c r="L171" s="12">
        <f>+'29'!L171+'30'!L171+'31'!L171</f>
        <v>0</v>
      </c>
      <c r="M171" s="271"/>
      <c r="N171" s="514">
        <f>+'29'!N171+'30'!N171+'31'!N171</f>
        <v>0</v>
      </c>
      <c r="O171" s="12">
        <f>+'29'!O171+'30'!O171+'31'!O171</f>
        <v>0</v>
      </c>
      <c r="P171" s="12">
        <f>+'29'!P171+'30'!P171+'31'!P171</f>
        <v>0</v>
      </c>
      <c r="Q171" s="532"/>
      <c r="R171" s="270">
        <v>0</v>
      </c>
      <c r="S171" s="12">
        <v>0</v>
      </c>
      <c r="T171" s="12">
        <v>0</v>
      </c>
      <c r="U171" s="271"/>
      <c r="V171" s="533">
        <f t="shared" si="17"/>
        <v>0</v>
      </c>
      <c r="W171" s="533">
        <f t="shared" si="18"/>
        <v>0</v>
      </c>
      <c r="X171" s="257"/>
      <c r="Y171" s="261">
        <f t="shared" si="19"/>
        <v>0</v>
      </c>
      <c r="Z171" s="12">
        <f t="shared" si="20"/>
        <v>0</v>
      </c>
      <c r="AB171" s="13">
        <f t="shared" si="16"/>
        <v>0</v>
      </c>
      <c r="AF171" s="13">
        <f t="shared" si="21"/>
        <v>0</v>
      </c>
      <c r="AM171" s="12">
        <f t="shared" si="22"/>
        <v>0</v>
      </c>
      <c r="AN171" s="13">
        <f t="shared" si="23"/>
        <v>0</v>
      </c>
    </row>
    <row r="172" spans="1:40" x14ac:dyDescent="0.25">
      <c r="A172">
        <v>167</v>
      </c>
      <c r="B172" t="s">
        <v>202</v>
      </c>
      <c r="D172" t="s">
        <v>16</v>
      </c>
      <c r="F172" s="514">
        <f>+'29'!F172+'30'!F172+'31'!F172</f>
        <v>0</v>
      </c>
      <c r="G172" s="12">
        <f>+'29'!G172+'30'!G172+'31'!G172</f>
        <v>0</v>
      </c>
      <c r="H172" s="12">
        <f>+'29'!H172+'30'!H172+'31'!H172</f>
        <v>0</v>
      </c>
      <c r="I172" s="271"/>
      <c r="J172" s="514">
        <f>+'29'!J172+'30'!J172+'31'!J172</f>
        <v>0</v>
      </c>
      <c r="K172" s="12">
        <f>+'29'!K172+'30'!K172+'31'!K172</f>
        <v>0</v>
      </c>
      <c r="L172" s="12">
        <f>+'29'!L172+'30'!L172+'31'!L172</f>
        <v>0</v>
      </c>
      <c r="M172" s="271"/>
      <c r="N172" s="514">
        <f>+'29'!N172+'30'!N172+'31'!N172</f>
        <v>0</v>
      </c>
      <c r="O172" s="12">
        <f>+'29'!O172+'30'!O172+'31'!O172</f>
        <v>0</v>
      </c>
      <c r="P172" s="12">
        <f>+'29'!P172+'30'!P172+'31'!P172</f>
        <v>0</v>
      </c>
      <c r="Q172" s="532"/>
      <c r="R172" s="270">
        <v>0</v>
      </c>
      <c r="S172" s="12">
        <v>0</v>
      </c>
      <c r="T172" s="12">
        <v>0</v>
      </c>
      <c r="U172" s="271"/>
      <c r="V172" s="533">
        <f t="shared" si="17"/>
        <v>0</v>
      </c>
      <c r="W172" s="533">
        <f t="shared" si="18"/>
        <v>0</v>
      </c>
      <c r="X172" s="257"/>
      <c r="Y172" s="261">
        <f t="shared" si="19"/>
        <v>0</v>
      </c>
      <c r="Z172" s="12">
        <f t="shared" si="20"/>
        <v>0</v>
      </c>
      <c r="AB172" s="13">
        <f t="shared" si="16"/>
        <v>0</v>
      </c>
      <c r="AF172" s="13">
        <f t="shared" si="21"/>
        <v>0</v>
      </c>
      <c r="AM172" s="12">
        <f t="shared" si="22"/>
        <v>0</v>
      </c>
      <c r="AN172" s="13">
        <f t="shared" si="23"/>
        <v>0</v>
      </c>
    </row>
    <row r="173" spans="1:40" x14ac:dyDescent="0.25">
      <c r="A173">
        <v>168</v>
      </c>
      <c r="B173" t="s">
        <v>203</v>
      </c>
      <c r="D173" t="s">
        <v>16</v>
      </c>
      <c r="F173" s="514">
        <f>+'29'!F173+'30'!F173+'31'!F173</f>
        <v>0</v>
      </c>
      <c r="G173" s="12">
        <f>+'29'!G173+'30'!G173+'31'!G173</f>
        <v>0</v>
      </c>
      <c r="H173" s="12">
        <f>+'29'!H173+'30'!H173+'31'!H173</f>
        <v>0</v>
      </c>
      <c r="I173" s="271"/>
      <c r="J173" s="514">
        <f>+'29'!J173+'30'!J173+'31'!J173</f>
        <v>0</v>
      </c>
      <c r="K173" s="12">
        <f>+'29'!K173+'30'!K173+'31'!K173</f>
        <v>0</v>
      </c>
      <c r="L173" s="12">
        <f>+'29'!L173+'30'!L173+'31'!L173</f>
        <v>0</v>
      </c>
      <c r="M173" s="271"/>
      <c r="N173" s="514">
        <f>+'29'!N173+'30'!N173+'31'!N173</f>
        <v>0</v>
      </c>
      <c r="O173" s="12">
        <f>+'29'!O173+'30'!O173+'31'!O173</f>
        <v>0</v>
      </c>
      <c r="P173" s="12">
        <f>+'29'!P173+'30'!P173+'31'!P173</f>
        <v>0</v>
      </c>
      <c r="Q173" s="532"/>
      <c r="R173" s="270">
        <v>0</v>
      </c>
      <c r="S173" s="12">
        <v>0</v>
      </c>
      <c r="T173" s="12">
        <v>0</v>
      </c>
      <c r="U173" s="271"/>
      <c r="V173" s="533">
        <f t="shared" si="17"/>
        <v>0</v>
      </c>
      <c r="W173" s="533">
        <f t="shared" si="18"/>
        <v>0</v>
      </c>
      <c r="X173" s="257"/>
      <c r="Y173" s="261">
        <f t="shared" si="19"/>
        <v>0</v>
      </c>
      <c r="Z173" s="12">
        <f t="shared" si="20"/>
        <v>0</v>
      </c>
      <c r="AB173" s="13">
        <f t="shared" si="16"/>
        <v>0</v>
      </c>
      <c r="AF173" s="13">
        <f t="shared" si="21"/>
        <v>0</v>
      </c>
      <c r="AM173" s="12">
        <f t="shared" si="22"/>
        <v>0</v>
      </c>
      <c r="AN173" s="13">
        <f t="shared" si="23"/>
        <v>0</v>
      </c>
    </row>
    <row r="174" spans="1:40" x14ac:dyDescent="0.25">
      <c r="A174">
        <v>169</v>
      </c>
      <c r="B174" t="s">
        <v>204</v>
      </c>
      <c r="D174" t="s">
        <v>16</v>
      </c>
      <c r="F174" s="514">
        <f>+'29'!F174+'30'!F174+'31'!F174</f>
        <v>0</v>
      </c>
      <c r="G174" s="12">
        <f>+'29'!G174+'30'!G174+'31'!G174</f>
        <v>0</v>
      </c>
      <c r="H174" s="12">
        <f>+'29'!H174+'30'!H174+'31'!H174</f>
        <v>0</v>
      </c>
      <c r="I174" s="271"/>
      <c r="J174" s="514">
        <f>+'29'!J174+'30'!J174+'31'!J174</f>
        <v>0</v>
      </c>
      <c r="K174" s="12">
        <f>+'29'!K174+'30'!K174+'31'!K174</f>
        <v>0</v>
      </c>
      <c r="L174" s="12">
        <f>+'29'!L174+'30'!L174+'31'!L174</f>
        <v>0</v>
      </c>
      <c r="M174" s="271"/>
      <c r="N174" s="514">
        <f>+'29'!N174+'30'!N174+'31'!N174</f>
        <v>0</v>
      </c>
      <c r="O174" s="12">
        <f>+'29'!O174+'30'!O174+'31'!O174</f>
        <v>0</v>
      </c>
      <c r="P174" s="12">
        <f>+'29'!P174+'30'!P174+'31'!P174</f>
        <v>0</v>
      </c>
      <c r="Q174" s="532"/>
      <c r="R174" s="270">
        <v>0</v>
      </c>
      <c r="S174" s="12">
        <v>0</v>
      </c>
      <c r="T174" s="12">
        <v>0</v>
      </c>
      <c r="U174" s="271"/>
      <c r="V174" s="533">
        <f t="shared" si="17"/>
        <v>0</v>
      </c>
      <c r="W174" s="533">
        <f t="shared" si="18"/>
        <v>0</v>
      </c>
      <c r="X174" s="257"/>
      <c r="Y174" s="261">
        <f t="shared" si="19"/>
        <v>0</v>
      </c>
      <c r="Z174" s="12">
        <f t="shared" si="20"/>
        <v>0</v>
      </c>
      <c r="AB174" s="13">
        <f t="shared" si="16"/>
        <v>0</v>
      </c>
      <c r="AF174" s="13">
        <f t="shared" si="21"/>
        <v>0</v>
      </c>
      <c r="AM174" s="12">
        <f t="shared" si="22"/>
        <v>0</v>
      </c>
      <c r="AN174" s="13">
        <f t="shared" si="23"/>
        <v>0</v>
      </c>
    </row>
    <row r="175" spans="1:40" x14ac:dyDescent="0.25">
      <c r="A175">
        <v>170</v>
      </c>
      <c r="B175" t="s">
        <v>205</v>
      </c>
      <c r="D175" t="s">
        <v>16</v>
      </c>
      <c r="F175" s="514">
        <f>+'29'!F175+'30'!F175+'31'!F175</f>
        <v>0</v>
      </c>
      <c r="G175" s="12">
        <f>+'29'!G175+'30'!G175+'31'!G175</f>
        <v>0</v>
      </c>
      <c r="H175" s="12">
        <f>+'29'!H175+'30'!H175+'31'!H175</f>
        <v>0</v>
      </c>
      <c r="I175" s="271"/>
      <c r="J175" s="514">
        <f>+'29'!J175+'30'!J175+'31'!J175</f>
        <v>0</v>
      </c>
      <c r="K175" s="12">
        <f>+'29'!K175+'30'!K175+'31'!K175</f>
        <v>0</v>
      </c>
      <c r="L175" s="12">
        <f>+'29'!L175+'30'!L175+'31'!L175</f>
        <v>0</v>
      </c>
      <c r="M175" s="271"/>
      <c r="N175" s="514">
        <f>+'29'!N175+'30'!N175+'31'!N175</f>
        <v>0</v>
      </c>
      <c r="O175" s="12">
        <f>+'29'!O175+'30'!O175+'31'!O175</f>
        <v>0</v>
      </c>
      <c r="P175" s="12">
        <f>+'29'!P175+'30'!P175+'31'!P175</f>
        <v>0</v>
      </c>
      <c r="Q175" s="532"/>
      <c r="R175" s="270">
        <v>0</v>
      </c>
      <c r="S175" s="12">
        <v>0</v>
      </c>
      <c r="T175" s="12">
        <v>0</v>
      </c>
      <c r="U175" s="271"/>
      <c r="V175" s="533">
        <f t="shared" si="17"/>
        <v>0</v>
      </c>
      <c r="W175" s="533">
        <f t="shared" si="18"/>
        <v>0</v>
      </c>
      <c r="X175" s="257"/>
      <c r="Y175" s="261">
        <f t="shared" si="19"/>
        <v>0</v>
      </c>
      <c r="Z175" s="12">
        <f t="shared" si="20"/>
        <v>0</v>
      </c>
      <c r="AB175" s="13">
        <f t="shared" si="16"/>
        <v>0</v>
      </c>
      <c r="AF175" s="13">
        <f t="shared" si="21"/>
        <v>0</v>
      </c>
      <c r="AM175" s="12">
        <f t="shared" si="22"/>
        <v>0</v>
      </c>
      <c r="AN175" s="13">
        <f t="shared" si="23"/>
        <v>0</v>
      </c>
    </row>
    <row r="176" spans="1:40" x14ac:dyDescent="0.25">
      <c r="A176">
        <v>171</v>
      </c>
      <c r="B176" t="s">
        <v>206</v>
      </c>
      <c r="D176" t="s">
        <v>16</v>
      </c>
      <c r="F176" s="514">
        <f>+'29'!F176+'30'!F176+'31'!F176</f>
        <v>0</v>
      </c>
      <c r="G176" s="12">
        <f>+'29'!G176+'30'!G176+'31'!G176</f>
        <v>0</v>
      </c>
      <c r="H176" s="12">
        <f>+'29'!H176+'30'!H176+'31'!H176</f>
        <v>0</v>
      </c>
      <c r="I176" s="271"/>
      <c r="J176" s="514">
        <f>+'29'!J176+'30'!J176+'31'!J176</f>
        <v>0</v>
      </c>
      <c r="K176" s="12">
        <f>+'29'!K176+'30'!K176+'31'!K176</f>
        <v>0</v>
      </c>
      <c r="L176" s="12">
        <f>+'29'!L176+'30'!L176+'31'!L176</f>
        <v>0</v>
      </c>
      <c r="M176" s="271"/>
      <c r="N176" s="514">
        <f>+'29'!N176+'30'!N176+'31'!N176</f>
        <v>0</v>
      </c>
      <c r="O176" s="12">
        <f>+'29'!O176+'30'!O176+'31'!O176</f>
        <v>0</v>
      </c>
      <c r="P176" s="12">
        <f>+'29'!P176+'30'!P176+'31'!P176</f>
        <v>0</v>
      </c>
      <c r="Q176" s="532"/>
      <c r="R176" s="270">
        <v>0</v>
      </c>
      <c r="S176" s="12">
        <v>0</v>
      </c>
      <c r="T176" s="12">
        <v>0</v>
      </c>
      <c r="U176" s="271"/>
      <c r="V176" s="533">
        <f t="shared" si="17"/>
        <v>0</v>
      </c>
      <c r="W176" s="533">
        <f t="shared" si="18"/>
        <v>0</v>
      </c>
      <c r="X176" s="257"/>
      <c r="Y176" s="261">
        <f t="shared" si="19"/>
        <v>0</v>
      </c>
      <c r="Z176" s="12">
        <f t="shared" si="20"/>
        <v>0</v>
      </c>
      <c r="AB176" s="13">
        <f t="shared" si="16"/>
        <v>0</v>
      </c>
      <c r="AF176" s="13">
        <f t="shared" si="21"/>
        <v>0</v>
      </c>
      <c r="AM176" s="12">
        <f t="shared" si="22"/>
        <v>0</v>
      </c>
      <c r="AN176" s="13">
        <f t="shared" si="23"/>
        <v>0</v>
      </c>
    </row>
    <row r="177" spans="1:40" x14ac:dyDescent="0.25">
      <c r="A177">
        <v>172</v>
      </c>
      <c r="B177" t="s">
        <v>207</v>
      </c>
      <c r="D177" t="s">
        <v>16</v>
      </c>
      <c r="F177" s="514">
        <f>+'29'!F177+'30'!F177+'31'!F177</f>
        <v>0</v>
      </c>
      <c r="G177" s="12">
        <f>+'29'!G177+'30'!G177+'31'!G177</f>
        <v>0</v>
      </c>
      <c r="H177" s="12">
        <f>+'29'!H177+'30'!H177+'31'!H177</f>
        <v>0</v>
      </c>
      <c r="I177" s="271"/>
      <c r="J177" s="514">
        <f>+'29'!J177+'30'!J177+'31'!J177</f>
        <v>0</v>
      </c>
      <c r="K177" s="12">
        <f>+'29'!K177+'30'!K177+'31'!K177</f>
        <v>0</v>
      </c>
      <c r="L177" s="12">
        <f>+'29'!L177+'30'!L177+'31'!L177</f>
        <v>0</v>
      </c>
      <c r="M177" s="271"/>
      <c r="N177" s="514">
        <f>+'29'!N177+'30'!N177+'31'!N177</f>
        <v>0</v>
      </c>
      <c r="O177" s="12">
        <f>+'29'!O177+'30'!O177+'31'!O177</f>
        <v>0</v>
      </c>
      <c r="P177" s="12">
        <f>+'29'!P177+'30'!P177+'31'!P177</f>
        <v>0</v>
      </c>
      <c r="Q177" s="532"/>
      <c r="R177" s="270">
        <v>0</v>
      </c>
      <c r="S177" s="12">
        <v>0</v>
      </c>
      <c r="T177" s="12">
        <v>0</v>
      </c>
      <c r="U177" s="271"/>
      <c r="V177" s="533">
        <f t="shared" si="17"/>
        <v>0</v>
      </c>
      <c r="W177" s="533">
        <f t="shared" si="18"/>
        <v>0</v>
      </c>
      <c r="X177" s="257"/>
      <c r="Y177" s="261">
        <f t="shared" si="19"/>
        <v>0</v>
      </c>
      <c r="Z177" s="12">
        <f t="shared" si="20"/>
        <v>0</v>
      </c>
      <c r="AB177" s="13">
        <f t="shared" si="16"/>
        <v>0</v>
      </c>
      <c r="AF177" s="13">
        <f t="shared" si="21"/>
        <v>0</v>
      </c>
      <c r="AM177" s="12">
        <f t="shared" si="22"/>
        <v>0</v>
      </c>
      <c r="AN177" s="13">
        <f t="shared" si="23"/>
        <v>0</v>
      </c>
    </row>
    <row r="178" spans="1:40" x14ac:dyDescent="0.25">
      <c r="A178">
        <v>173</v>
      </c>
      <c r="B178" t="s">
        <v>208</v>
      </c>
      <c r="D178" t="s">
        <v>16</v>
      </c>
      <c r="F178" s="514">
        <f>+'29'!F178+'30'!F178+'31'!F178</f>
        <v>0</v>
      </c>
      <c r="G178" s="12">
        <f>+'29'!G178+'30'!G178+'31'!G178</f>
        <v>0</v>
      </c>
      <c r="H178" s="12">
        <f>+'29'!H178+'30'!H178+'31'!H178</f>
        <v>0</v>
      </c>
      <c r="I178" s="271"/>
      <c r="J178" s="514">
        <f>+'29'!J178+'30'!J178+'31'!J178</f>
        <v>0</v>
      </c>
      <c r="K178" s="12">
        <f>+'29'!K178+'30'!K178+'31'!K178</f>
        <v>0</v>
      </c>
      <c r="L178" s="12">
        <f>+'29'!L178+'30'!L178+'31'!L178</f>
        <v>0</v>
      </c>
      <c r="M178" s="271"/>
      <c r="N178" s="514">
        <f>+'29'!N178+'30'!N178+'31'!N178</f>
        <v>0</v>
      </c>
      <c r="O178" s="12">
        <f>+'29'!O178+'30'!O178+'31'!O178</f>
        <v>0</v>
      </c>
      <c r="P178" s="12">
        <f>+'29'!P178+'30'!P178+'31'!P178</f>
        <v>0</v>
      </c>
      <c r="Q178" s="532"/>
      <c r="R178" s="270">
        <v>0</v>
      </c>
      <c r="S178" s="12">
        <v>0</v>
      </c>
      <c r="T178" s="12">
        <v>0</v>
      </c>
      <c r="U178" s="271"/>
      <c r="V178" s="533">
        <f t="shared" si="17"/>
        <v>0</v>
      </c>
      <c r="W178" s="533">
        <f t="shared" si="18"/>
        <v>0</v>
      </c>
      <c r="X178" s="257"/>
      <c r="Y178" s="261">
        <f t="shared" si="19"/>
        <v>0</v>
      </c>
      <c r="Z178" s="12">
        <f t="shared" si="20"/>
        <v>0</v>
      </c>
      <c r="AB178" s="13">
        <f t="shared" si="16"/>
        <v>0</v>
      </c>
      <c r="AF178" s="13">
        <f t="shared" si="21"/>
        <v>0</v>
      </c>
      <c r="AM178" s="12">
        <f t="shared" si="22"/>
        <v>0</v>
      </c>
      <c r="AN178" s="13">
        <f t="shared" si="23"/>
        <v>0</v>
      </c>
    </row>
    <row r="179" spans="1:40" x14ac:dyDescent="0.25">
      <c r="A179">
        <v>174</v>
      </c>
      <c r="B179" t="s">
        <v>209</v>
      </c>
      <c r="C179" t="s">
        <v>24</v>
      </c>
      <c r="D179" t="s">
        <v>16</v>
      </c>
      <c r="F179" s="514">
        <f>+'29'!F179+'30'!F179+'31'!F179</f>
        <v>584</v>
      </c>
      <c r="G179" s="12">
        <f>+'29'!G179+'30'!G179+'31'!G179</f>
        <v>614950.67000000004</v>
      </c>
      <c r="H179" s="12">
        <f>+'29'!H179+'30'!H179+'31'!H179</f>
        <v>2920</v>
      </c>
      <c r="I179" s="271"/>
      <c r="J179" s="514">
        <f>+'29'!J179+'30'!J179+'31'!J179</f>
        <v>0</v>
      </c>
      <c r="K179" s="12">
        <f>+'29'!K179+'30'!K179+'31'!K179</f>
        <v>0</v>
      </c>
      <c r="L179" s="12">
        <f>+'29'!L179+'30'!L179+'31'!L179</f>
        <v>0</v>
      </c>
      <c r="M179" s="271"/>
      <c r="N179" s="514">
        <f>+'29'!N179+'30'!N179+'31'!N179</f>
        <v>584</v>
      </c>
      <c r="O179" s="12">
        <f>+'29'!O179+'30'!O179+'31'!O179</f>
        <v>614950.67000000004</v>
      </c>
      <c r="P179" s="12">
        <f>+'29'!P179+'30'!P179+'31'!P179</f>
        <v>2920</v>
      </c>
      <c r="Q179" s="532"/>
      <c r="R179" s="270">
        <v>584</v>
      </c>
      <c r="S179" s="12">
        <v>614950.67000000004</v>
      </c>
      <c r="T179" s="12">
        <v>0</v>
      </c>
      <c r="U179" s="271"/>
      <c r="V179" s="533">
        <f t="shared" si="17"/>
        <v>0</v>
      </c>
      <c r="W179" s="533">
        <f t="shared" si="18"/>
        <v>0</v>
      </c>
      <c r="X179" s="257"/>
      <c r="Y179" s="261">
        <f t="shared" si="19"/>
        <v>0</v>
      </c>
      <c r="Z179" s="12">
        <f t="shared" si="20"/>
        <v>0</v>
      </c>
      <c r="AB179" s="13">
        <f t="shared" si="16"/>
        <v>614950.67000000004</v>
      </c>
      <c r="AF179" s="13">
        <f t="shared" si="21"/>
        <v>614950.67000000004</v>
      </c>
      <c r="AM179" s="12">
        <f t="shared" si="22"/>
        <v>0</v>
      </c>
      <c r="AN179" s="13">
        <f t="shared" si="23"/>
        <v>614950.67000000004</v>
      </c>
    </row>
    <row r="180" spans="1:40" x14ac:dyDescent="0.25">
      <c r="A180">
        <v>175</v>
      </c>
      <c r="B180" t="s">
        <v>2228</v>
      </c>
      <c r="C180" t="s">
        <v>18</v>
      </c>
      <c r="D180" t="s">
        <v>20</v>
      </c>
      <c r="F180" s="514">
        <f>+'29'!F180+'30'!F180+'31'!F180</f>
        <v>14</v>
      </c>
      <c r="G180" s="12">
        <f>+'29'!G180+'30'!G180+'31'!G180</f>
        <v>247755.95</v>
      </c>
      <c r="H180" s="12">
        <f>+'29'!H180+'30'!H180+'31'!H180</f>
        <v>420</v>
      </c>
      <c r="I180" s="271"/>
      <c r="J180" s="514">
        <f>+'29'!J180+'30'!J180+'31'!J180</f>
        <v>0</v>
      </c>
      <c r="K180" s="12">
        <f>+'29'!K180+'30'!K180+'31'!K180</f>
        <v>0</v>
      </c>
      <c r="L180" s="12">
        <f>+'29'!L180+'30'!L180+'31'!L180</f>
        <v>0</v>
      </c>
      <c r="M180" s="271"/>
      <c r="N180" s="514">
        <f>+'29'!N180+'30'!N180+'31'!N180</f>
        <v>14</v>
      </c>
      <c r="O180" s="12">
        <f>+'29'!O180+'30'!O180+'31'!O180</f>
        <v>247755.95</v>
      </c>
      <c r="P180" s="12">
        <f>+'29'!P180+'30'!P180+'31'!P180</f>
        <v>420</v>
      </c>
      <c r="Q180" s="532"/>
      <c r="R180" s="270">
        <v>14</v>
      </c>
      <c r="S180" s="12">
        <v>247335.95</v>
      </c>
      <c r="T180" s="12">
        <v>420</v>
      </c>
      <c r="U180" s="271"/>
      <c r="V180" s="533">
        <f t="shared" si="17"/>
        <v>0</v>
      </c>
      <c r="W180" s="533">
        <f t="shared" si="18"/>
        <v>420</v>
      </c>
      <c r="X180" s="257"/>
      <c r="Y180" s="261">
        <f t="shared" si="19"/>
        <v>0</v>
      </c>
      <c r="Z180" s="12">
        <f t="shared" si="20"/>
        <v>420</v>
      </c>
      <c r="AB180" s="13">
        <f t="shared" si="16"/>
        <v>247755.95</v>
      </c>
      <c r="AF180" s="13">
        <f t="shared" si="21"/>
        <v>247755.95</v>
      </c>
      <c r="AM180" s="12">
        <f t="shared" si="22"/>
        <v>0</v>
      </c>
      <c r="AN180" s="13">
        <f t="shared" si="23"/>
        <v>247755.95</v>
      </c>
    </row>
    <row r="181" spans="1:40" x14ac:dyDescent="0.25">
      <c r="A181">
        <v>176</v>
      </c>
      <c r="B181" t="s">
        <v>210</v>
      </c>
      <c r="C181" t="s">
        <v>24</v>
      </c>
      <c r="D181" t="s">
        <v>20</v>
      </c>
      <c r="F181" s="514">
        <f>+'29'!F181+'30'!F181+'31'!F181</f>
        <v>0</v>
      </c>
      <c r="G181" s="12">
        <f>+'29'!G181+'30'!G181+'31'!G181</f>
        <v>0</v>
      </c>
      <c r="H181" s="12">
        <f>+'29'!H181+'30'!H181+'31'!H181</f>
        <v>0</v>
      </c>
      <c r="I181" s="271"/>
      <c r="J181" s="514">
        <f>+'29'!J181+'30'!J181+'31'!J181</f>
        <v>0</v>
      </c>
      <c r="K181" s="12">
        <f>+'29'!K181+'30'!K181+'31'!K181</f>
        <v>0</v>
      </c>
      <c r="L181" s="12">
        <f>+'29'!L181+'30'!L181+'31'!L181</f>
        <v>0</v>
      </c>
      <c r="M181" s="271"/>
      <c r="N181" s="514">
        <f>+'29'!N181+'30'!N181+'31'!N181</f>
        <v>0</v>
      </c>
      <c r="O181" s="12">
        <f>+'29'!O181+'30'!O181+'31'!O181</f>
        <v>0</v>
      </c>
      <c r="P181" s="12">
        <f>+'29'!P181+'30'!P181+'31'!P181</f>
        <v>0</v>
      </c>
      <c r="Q181" s="532"/>
      <c r="R181" s="270">
        <v>0</v>
      </c>
      <c r="S181" s="12">
        <v>0</v>
      </c>
      <c r="T181" s="12">
        <v>0</v>
      </c>
      <c r="U181" s="271"/>
      <c r="V181" s="533">
        <f t="shared" si="17"/>
        <v>0</v>
      </c>
      <c r="W181" s="533">
        <f t="shared" si="18"/>
        <v>0</v>
      </c>
      <c r="X181" s="257"/>
      <c r="Y181" s="261">
        <f t="shared" si="19"/>
        <v>0</v>
      </c>
      <c r="Z181" s="12">
        <f t="shared" si="20"/>
        <v>0</v>
      </c>
      <c r="AB181" s="13">
        <f t="shared" si="16"/>
        <v>0</v>
      </c>
      <c r="AF181" s="13">
        <f t="shared" si="21"/>
        <v>0</v>
      </c>
      <c r="AM181" s="12">
        <f t="shared" si="22"/>
        <v>0</v>
      </c>
      <c r="AN181" s="13">
        <f t="shared" si="23"/>
        <v>0</v>
      </c>
    </row>
    <row r="182" spans="1:40" x14ac:dyDescent="0.25">
      <c r="A182">
        <v>177</v>
      </c>
      <c r="B182" t="s">
        <v>211</v>
      </c>
      <c r="C182" t="s">
        <v>18</v>
      </c>
      <c r="D182" t="s">
        <v>16</v>
      </c>
      <c r="F182" s="514">
        <f>+'29'!F182+'30'!F182+'31'!F182</f>
        <v>2</v>
      </c>
      <c r="G182" s="12">
        <f>+'29'!G182+'30'!G182+'31'!G182</f>
        <v>2275</v>
      </c>
      <c r="H182" s="12">
        <f>+'29'!H182+'30'!H182+'31'!H182</f>
        <v>60</v>
      </c>
      <c r="I182" s="271"/>
      <c r="J182" s="514">
        <f>+'29'!J182+'30'!J182+'31'!J182</f>
        <v>0</v>
      </c>
      <c r="K182" s="12">
        <f>+'29'!K182+'30'!K182+'31'!K182</f>
        <v>0</v>
      </c>
      <c r="L182" s="12">
        <f>+'29'!L182+'30'!L182+'31'!L182</f>
        <v>0</v>
      </c>
      <c r="M182" s="271"/>
      <c r="N182" s="514">
        <f>+'29'!N182+'30'!N182+'31'!N182</f>
        <v>2</v>
      </c>
      <c r="O182" s="12">
        <f>+'29'!O182+'30'!O182+'31'!O182</f>
        <v>2275</v>
      </c>
      <c r="P182" s="12">
        <f>+'29'!P182+'30'!P182+'31'!P182</f>
        <v>60</v>
      </c>
      <c r="Q182" s="532"/>
      <c r="R182" s="270">
        <v>2</v>
      </c>
      <c r="S182" s="12">
        <v>2275</v>
      </c>
      <c r="T182" s="12">
        <v>0</v>
      </c>
      <c r="U182" s="271"/>
      <c r="V182" s="533">
        <f t="shared" si="17"/>
        <v>0</v>
      </c>
      <c r="W182" s="533">
        <f t="shared" si="18"/>
        <v>0</v>
      </c>
      <c r="X182" s="257"/>
      <c r="Y182" s="261">
        <f t="shared" si="19"/>
        <v>0</v>
      </c>
      <c r="Z182" s="12">
        <f t="shared" si="20"/>
        <v>0</v>
      </c>
      <c r="AB182" s="13">
        <f t="shared" si="16"/>
        <v>2275</v>
      </c>
      <c r="AF182" s="13">
        <f t="shared" si="21"/>
        <v>2275</v>
      </c>
      <c r="AM182" s="12">
        <f t="shared" si="22"/>
        <v>0</v>
      </c>
      <c r="AN182" s="13">
        <f t="shared" si="23"/>
        <v>2275</v>
      </c>
    </row>
    <row r="183" spans="1:40" x14ac:dyDescent="0.25">
      <c r="A183">
        <v>178</v>
      </c>
      <c r="B183" t="s">
        <v>212</v>
      </c>
      <c r="C183" t="s">
        <v>18</v>
      </c>
      <c r="D183" t="s">
        <v>16</v>
      </c>
      <c r="F183" s="514">
        <f>+'29'!F183+'30'!F183+'31'!F183</f>
        <v>0</v>
      </c>
      <c r="G183" s="12">
        <f>+'29'!G183+'30'!G183+'31'!G183</f>
        <v>0</v>
      </c>
      <c r="H183" s="12">
        <f>+'29'!H183+'30'!H183+'31'!H183</f>
        <v>0</v>
      </c>
      <c r="I183" s="271"/>
      <c r="J183" s="514">
        <f>+'29'!J183+'30'!J183+'31'!J183</f>
        <v>0</v>
      </c>
      <c r="K183" s="12">
        <f>+'29'!K183+'30'!K183+'31'!K183</f>
        <v>0</v>
      </c>
      <c r="L183" s="12">
        <f>+'29'!L183+'30'!L183+'31'!L183</f>
        <v>0</v>
      </c>
      <c r="M183" s="271"/>
      <c r="N183" s="514">
        <f>+'29'!N183+'30'!N183+'31'!N183</f>
        <v>0</v>
      </c>
      <c r="O183" s="12">
        <f>+'29'!O183+'30'!O183+'31'!O183</f>
        <v>0</v>
      </c>
      <c r="P183" s="12">
        <f>+'29'!P183+'30'!P183+'31'!P183</f>
        <v>0</v>
      </c>
      <c r="Q183" s="532"/>
      <c r="R183" s="270">
        <v>0</v>
      </c>
      <c r="S183" s="12">
        <v>0</v>
      </c>
      <c r="T183" s="12">
        <v>0</v>
      </c>
      <c r="U183" s="271"/>
      <c r="V183" s="533">
        <f t="shared" si="17"/>
        <v>0</v>
      </c>
      <c r="W183" s="533">
        <f t="shared" si="18"/>
        <v>0</v>
      </c>
      <c r="X183" s="257"/>
      <c r="Y183" s="261">
        <f t="shared" si="19"/>
        <v>0</v>
      </c>
      <c r="Z183" s="12">
        <f t="shared" si="20"/>
        <v>0</v>
      </c>
      <c r="AB183" s="13">
        <f t="shared" si="16"/>
        <v>0</v>
      </c>
      <c r="AF183" s="13">
        <f t="shared" si="21"/>
        <v>0</v>
      </c>
      <c r="AM183" s="12">
        <f t="shared" si="22"/>
        <v>0</v>
      </c>
      <c r="AN183" s="13">
        <f t="shared" si="23"/>
        <v>0</v>
      </c>
    </row>
    <row r="184" spans="1:40" x14ac:dyDescent="0.25">
      <c r="A184">
        <v>179</v>
      </c>
      <c r="B184" t="s">
        <v>213</v>
      </c>
      <c r="D184" t="s">
        <v>16</v>
      </c>
      <c r="F184" s="514">
        <f>+'29'!F184+'30'!F184+'31'!F184</f>
        <v>0</v>
      </c>
      <c r="G184" s="12">
        <f>+'29'!G184+'30'!G184+'31'!G184</f>
        <v>0</v>
      </c>
      <c r="H184" s="12">
        <f>+'29'!H184+'30'!H184+'31'!H184</f>
        <v>0</v>
      </c>
      <c r="I184" s="271"/>
      <c r="J184" s="514">
        <f>+'29'!J184+'30'!J184+'31'!J184</f>
        <v>0</v>
      </c>
      <c r="K184" s="12">
        <f>+'29'!K184+'30'!K184+'31'!K184</f>
        <v>0</v>
      </c>
      <c r="L184" s="12">
        <f>+'29'!L184+'30'!L184+'31'!L184</f>
        <v>0</v>
      </c>
      <c r="M184" s="271"/>
      <c r="N184" s="514">
        <f>+'29'!N184+'30'!N184+'31'!N184</f>
        <v>0</v>
      </c>
      <c r="O184" s="12">
        <f>+'29'!O184+'30'!O184+'31'!O184</f>
        <v>0</v>
      </c>
      <c r="P184" s="12">
        <f>+'29'!P184+'30'!P184+'31'!P184</f>
        <v>0</v>
      </c>
      <c r="Q184" s="532"/>
      <c r="R184" s="270">
        <v>0</v>
      </c>
      <c r="S184" s="12">
        <v>0</v>
      </c>
      <c r="T184" s="12">
        <v>0</v>
      </c>
      <c r="U184" s="271"/>
      <c r="V184" s="533">
        <f t="shared" si="17"/>
        <v>0</v>
      </c>
      <c r="W184" s="533">
        <f t="shared" si="18"/>
        <v>0</v>
      </c>
      <c r="X184" s="257"/>
      <c r="Y184" s="261">
        <f t="shared" si="19"/>
        <v>0</v>
      </c>
      <c r="Z184" s="12">
        <f t="shared" si="20"/>
        <v>0</v>
      </c>
      <c r="AB184" s="13">
        <f t="shared" si="16"/>
        <v>0</v>
      </c>
      <c r="AF184" s="13">
        <f t="shared" si="21"/>
        <v>0</v>
      </c>
      <c r="AM184" s="12">
        <f t="shared" si="22"/>
        <v>0</v>
      </c>
      <c r="AN184" s="13">
        <f t="shared" si="23"/>
        <v>0</v>
      </c>
    </row>
    <row r="185" spans="1:40" x14ac:dyDescent="0.25">
      <c r="A185">
        <v>180</v>
      </c>
      <c r="B185" t="s">
        <v>214</v>
      </c>
      <c r="C185" t="s">
        <v>78</v>
      </c>
      <c r="D185" t="s">
        <v>16</v>
      </c>
      <c r="F185" s="514">
        <f>+'29'!F185+'30'!F185+'31'!F185</f>
        <v>0</v>
      </c>
      <c r="G185" s="12">
        <f>+'29'!G185+'30'!G185+'31'!G185</f>
        <v>0</v>
      </c>
      <c r="H185" s="12">
        <f>+'29'!H185+'30'!H185+'31'!H185</f>
        <v>0</v>
      </c>
      <c r="I185" s="271"/>
      <c r="J185" s="514">
        <f>+'29'!J185+'30'!J185+'31'!J185</f>
        <v>0</v>
      </c>
      <c r="K185" s="12">
        <f>+'29'!K185+'30'!K185+'31'!K185</f>
        <v>0</v>
      </c>
      <c r="L185" s="12">
        <f>+'29'!L185+'30'!L185+'31'!L185</f>
        <v>0</v>
      </c>
      <c r="M185" s="271"/>
      <c r="N185" s="514">
        <f>+'29'!N185+'30'!N185+'31'!N185</f>
        <v>0</v>
      </c>
      <c r="O185" s="12">
        <f>+'29'!O185+'30'!O185+'31'!O185</f>
        <v>0</v>
      </c>
      <c r="P185" s="12">
        <f>+'29'!P185+'30'!P185+'31'!P185</f>
        <v>0</v>
      </c>
      <c r="Q185" s="532"/>
      <c r="R185" s="270">
        <v>0</v>
      </c>
      <c r="S185" s="12">
        <v>0</v>
      </c>
      <c r="T185" s="12">
        <v>0</v>
      </c>
      <c r="U185" s="271"/>
      <c r="V185" s="533">
        <f t="shared" si="17"/>
        <v>0</v>
      </c>
      <c r="W185" s="533">
        <f t="shared" si="18"/>
        <v>0</v>
      </c>
      <c r="X185" s="257"/>
      <c r="Y185" s="261">
        <f t="shared" si="19"/>
        <v>0</v>
      </c>
      <c r="Z185" s="12">
        <f t="shared" si="20"/>
        <v>0</v>
      </c>
      <c r="AB185" s="13">
        <f t="shared" si="16"/>
        <v>0</v>
      </c>
      <c r="AF185" s="13">
        <f t="shared" si="21"/>
        <v>0</v>
      </c>
      <c r="AM185" s="12">
        <f t="shared" si="22"/>
        <v>0</v>
      </c>
      <c r="AN185" s="13">
        <f t="shared" si="23"/>
        <v>0</v>
      </c>
    </row>
    <row r="186" spans="1:40" x14ac:dyDescent="0.25">
      <c r="A186">
        <v>181</v>
      </c>
      <c r="B186" t="s">
        <v>215</v>
      </c>
      <c r="C186" t="s">
        <v>18</v>
      </c>
      <c r="D186" t="s">
        <v>16</v>
      </c>
      <c r="F186" s="514">
        <f>+'29'!F186+'30'!F186+'31'!F186</f>
        <v>0</v>
      </c>
      <c r="G186" s="12">
        <f>+'29'!G186+'30'!G186+'31'!G186</f>
        <v>0</v>
      </c>
      <c r="H186" s="12">
        <f>+'29'!H186+'30'!H186+'31'!H186</f>
        <v>0</v>
      </c>
      <c r="I186" s="271"/>
      <c r="J186" s="514">
        <f>+'29'!J186+'30'!J186+'31'!J186</f>
        <v>0</v>
      </c>
      <c r="K186" s="12">
        <f>+'29'!K186+'30'!K186+'31'!K186</f>
        <v>0</v>
      </c>
      <c r="L186" s="12">
        <f>+'29'!L186+'30'!L186+'31'!L186</f>
        <v>0</v>
      </c>
      <c r="M186" s="271"/>
      <c r="N186" s="514">
        <f>+'29'!N186+'30'!N186+'31'!N186</f>
        <v>0</v>
      </c>
      <c r="O186" s="12">
        <f>+'29'!O186+'30'!O186+'31'!O186</f>
        <v>0</v>
      </c>
      <c r="P186" s="12">
        <f>+'29'!P186+'30'!P186+'31'!P186</f>
        <v>0</v>
      </c>
      <c r="Q186" s="532"/>
      <c r="R186" s="270">
        <v>0</v>
      </c>
      <c r="S186" s="12">
        <v>0</v>
      </c>
      <c r="T186" s="12">
        <v>0</v>
      </c>
      <c r="U186" s="271"/>
      <c r="V186" s="533">
        <f t="shared" si="17"/>
        <v>0</v>
      </c>
      <c r="W186" s="533">
        <f t="shared" si="18"/>
        <v>0</v>
      </c>
      <c r="X186" s="257"/>
      <c r="Y186" s="261">
        <f t="shared" si="19"/>
        <v>0</v>
      </c>
      <c r="Z186" s="12">
        <f t="shared" si="20"/>
        <v>0</v>
      </c>
      <c r="AB186" s="13">
        <f t="shared" si="16"/>
        <v>0</v>
      </c>
      <c r="AF186" s="13">
        <f t="shared" si="21"/>
        <v>0</v>
      </c>
      <c r="AM186" s="12">
        <f t="shared" si="22"/>
        <v>0</v>
      </c>
      <c r="AN186" s="13">
        <f t="shared" si="23"/>
        <v>0</v>
      </c>
    </row>
    <row r="187" spans="1:40" x14ac:dyDescent="0.25">
      <c r="A187">
        <v>182</v>
      </c>
      <c r="B187" t="s">
        <v>216</v>
      </c>
      <c r="C187" t="s">
        <v>51</v>
      </c>
      <c r="D187" t="s">
        <v>20</v>
      </c>
      <c r="F187" s="514">
        <f>+'29'!F187+'30'!F187+'31'!F187</f>
        <v>0</v>
      </c>
      <c r="G187" s="12">
        <f>+'29'!G187+'30'!G187+'31'!G187</f>
        <v>0</v>
      </c>
      <c r="H187" s="12">
        <f>+'29'!H187+'30'!H187+'31'!H187</f>
        <v>0</v>
      </c>
      <c r="I187" s="271"/>
      <c r="J187" s="514">
        <f>+'29'!J187+'30'!J187+'31'!J187</f>
        <v>0</v>
      </c>
      <c r="K187" s="12">
        <f>+'29'!K187+'30'!K187+'31'!K187</f>
        <v>0</v>
      </c>
      <c r="L187" s="12">
        <f>+'29'!L187+'30'!L187+'31'!L187</f>
        <v>0</v>
      </c>
      <c r="M187" s="271"/>
      <c r="N187" s="514">
        <f>+'29'!N187+'30'!N187+'31'!N187</f>
        <v>0</v>
      </c>
      <c r="O187" s="12">
        <f>+'29'!O187+'30'!O187+'31'!O187</f>
        <v>0</v>
      </c>
      <c r="P187" s="12">
        <f>+'29'!P187+'30'!P187+'31'!P187</f>
        <v>0</v>
      </c>
      <c r="Q187" s="532"/>
      <c r="R187" s="270">
        <v>0</v>
      </c>
      <c r="S187" s="12">
        <v>0</v>
      </c>
      <c r="T187" s="12">
        <v>0</v>
      </c>
      <c r="U187" s="271"/>
      <c r="V187" s="533">
        <f t="shared" si="17"/>
        <v>0</v>
      </c>
      <c r="W187" s="533">
        <f t="shared" si="18"/>
        <v>0</v>
      </c>
      <c r="X187" s="257"/>
      <c r="Y187" s="261">
        <f t="shared" si="19"/>
        <v>0</v>
      </c>
      <c r="Z187" s="12">
        <f t="shared" si="20"/>
        <v>0</v>
      </c>
      <c r="AB187" s="13">
        <f t="shared" si="16"/>
        <v>0</v>
      </c>
      <c r="AF187" s="13">
        <f t="shared" si="21"/>
        <v>0</v>
      </c>
      <c r="AM187" s="12">
        <f t="shared" si="22"/>
        <v>0</v>
      </c>
      <c r="AN187" s="13">
        <f t="shared" si="23"/>
        <v>0</v>
      </c>
    </row>
    <row r="188" spans="1:40" x14ac:dyDescent="0.25">
      <c r="A188">
        <v>183</v>
      </c>
      <c r="B188" t="s">
        <v>3087</v>
      </c>
      <c r="C188" t="s">
        <v>18</v>
      </c>
      <c r="D188" t="s">
        <v>87</v>
      </c>
      <c r="F188" s="514">
        <f>+'29'!F188+'30'!F188+'31'!F188</f>
        <v>4</v>
      </c>
      <c r="G188" s="12">
        <f>+'29'!G188+'30'!G188+'31'!G188</f>
        <v>53511</v>
      </c>
      <c r="H188" s="12">
        <f>+'29'!H188+'30'!H188+'31'!H188</f>
        <v>200</v>
      </c>
      <c r="I188" s="271"/>
      <c r="J188" s="514">
        <f>+'29'!J188+'30'!J188+'31'!J188</f>
        <v>0</v>
      </c>
      <c r="K188" s="12">
        <f>+'29'!K188+'30'!K188+'31'!K188</f>
        <v>0</v>
      </c>
      <c r="L188" s="12">
        <f>+'29'!L188+'30'!L188+'31'!L188</f>
        <v>0</v>
      </c>
      <c r="M188" s="271"/>
      <c r="N188" s="514">
        <f>+'29'!N188+'30'!N188+'31'!N188</f>
        <v>4</v>
      </c>
      <c r="O188" s="12">
        <f>+'29'!O188+'30'!O188+'31'!O188</f>
        <v>53511</v>
      </c>
      <c r="P188" s="12">
        <f>+'29'!P188+'30'!P188+'31'!P188</f>
        <v>200</v>
      </c>
      <c r="Q188" s="532"/>
      <c r="R188" s="270">
        <v>4</v>
      </c>
      <c r="S188" s="12">
        <v>53311</v>
      </c>
      <c r="T188" s="12">
        <v>200</v>
      </c>
      <c r="U188" s="271"/>
      <c r="V188" s="533">
        <f t="shared" si="17"/>
        <v>0</v>
      </c>
      <c r="W188" s="533">
        <f t="shared" si="18"/>
        <v>200</v>
      </c>
      <c r="X188" s="257"/>
      <c r="Y188" s="261">
        <f t="shared" si="19"/>
        <v>0</v>
      </c>
      <c r="Z188" s="12">
        <f t="shared" si="20"/>
        <v>200</v>
      </c>
      <c r="AB188" s="13">
        <f t="shared" si="16"/>
        <v>53511</v>
      </c>
      <c r="AF188" s="13">
        <f t="shared" si="21"/>
        <v>53511</v>
      </c>
      <c r="AM188" s="12">
        <f t="shared" si="22"/>
        <v>0</v>
      </c>
      <c r="AN188" s="13">
        <f t="shared" si="23"/>
        <v>53511</v>
      </c>
    </row>
    <row r="189" spans="1:40" x14ac:dyDescent="0.25">
      <c r="A189">
        <v>184</v>
      </c>
      <c r="B189" t="s">
        <v>2437</v>
      </c>
      <c r="C189" t="s">
        <v>136</v>
      </c>
      <c r="D189" t="s">
        <v>16</v>
      </c>
      <c r="F189" s="514">
        <f>+'29'!F189+'30'!F189+'31'!F189</f>
        <v>8</v>
      </c>
      <c r="G189" s="12">
        <f>+'29'!G189+'30'!G189+'31'!G189</f>
        <v>191432.22</v>
      </c>
      <c r="H189" s="12">
        <f>+'29'!H189+'30'!H189+'31'!H189</f>
        <v>320</v>
      </c>
      <c r="I189" s="271"/>
      <c r="J189" s="514">
        <f>+'29'!J189+'30'!J189+'31'!J189</f>
        <v>0</v>
      </c>
      <c r="K189" s="12">
        <f>+'29'!K189+'30'!K189+'31'!K189</f>
        <v>0</v>
      </c>
      <c r="L189" s="12">
        <f>+'29'!L189+'30'!L189+'31'!L189</f>
        <v>0</v>
      </c>
      <c r="M189" s="271"/>
      <c r="N189" s="514">
        <f>+'29'!N189+'30'!N189+'31'!N189</f>
        <v>8</v>
      </c>
      <c r="O189" s="12">
        <f>+'29'!O189+'30'!O189+'31'!O189</f>
        <v>191432.22</v>
      </c>
      <c r="P189" s="12">
        <f>+'29'!P189+'30'!P189+'31'!P189</f>
        <v>320</v>
      </c>
      <c r="Q189" s="532"/>
      <c r="R189" s="270">
        <v>8</v>
      </c>
      <c r="S189" s="12">
        <v>191432.22</v>
      </c>
      <c r="T189" s="12">
        <v>0</v>
      </c>
      <c r="U189" s="271"/>
      <c r="V189" s="533">
        <f t="shared" si="17"/>
        <v>0</v>
      </c>
      <c r="W189" s="533">
        <f t="shared" si="18"/>
        <v>0</v>
      </c>
      <c r="X189" s="257"/>
      <c r="Y189" s="261">
        <f t="shared" si="19"/>
        <v>0</v>
      </c>
      <c r="Z189" s="12">
        <f t="shared" si="20"/>
        <v>0</v>
      </c>
      <c r="AB189" s="13">
        <f t="shared" si="16"/>
        <v>191432.22</v>
      </c>
      <c r="AF189" s="13">
        <f t="shared" si="21"/>
        <v>191432.22</v>
      </c>
      <c r="AM189" s="12">
        <f t="shared" si="22"/>
        <v>0</v>
      </c>
      <c r="AN189" s="13">
        <f t="shared" si="23"/>
        <v>191432.22</v>
      </c>
    </row>
    <row r="190" spans="1:40" x14ac:dyDescent="0.25">
      <c r="A190">
        <v>185</v>
      </c>
      <c r="B190" t="s">
        <v>217</v>
      </c>
      <c r="C190" t="s">
        <v>24</v>
      </c>
      <c r="D190" t="s">
        <v>16</v>
      </c>
      <c r="F190" s="514">
        <f>+'29'!F190+'30'!F190+'31'!F190</f>
        <v>155</v>
      </c>
      <c r="G190" s="12">
        <f>+'29'!G190+'30'!G190+'31'!G190</f>
        <v>6843790.71</v>
      </c>
      <c r="H190" s="12">
        <f>+'29'!H190+'30'!H190+'31'!H190</f>
        <v>6200</v>
      </c>
      <c r="I190" s="271"/>
      <c r="J190" s="514">
        <f>+'29'!J190+'30'!J190+'31'!J190</f>
        <v>0</v>
      </c>
      <c r="K190" s="12">
        <f>+'29'!K190+'30'!K190+'31'!K190</f>
        <v>0</v>
      </c>
      <c r="L190" s="12">
        <f>+'29'!L190+'30'!L190+'31'!L190</f>
        <v>0</v>
      </c>
      <c r="M190" s="271"/>
      <c r="N190" s="514">
        <f>+'29'!N190+'30'!N190+'31'!N190</f>
        <v>155</v>
      </c>
      <c r="O190" s="12">
        <f>+'29'!O190+'30'!O190+'31'!O190</f>
        <v>6843790.71</v>
      </c>
      <c r="P190" s="12">
        <f>+'29'!P190+'30'!P190+'31'!P190</f>
        <v>6200</v>
      </c>
      <c r="Q190" s="532"/>
      <c r="R190" s="270">
        <v>155</v>
      </c>
      <c r="S190" s="12">
        <v>6843790.71</v>
      </c>
      <c r="T190" s="12">
        <v>0</v>
      </c>
      <c r="U190" s="271"/>
      <c r="V190" s="533">
        <f t="shared" si="17"/>
        <v>0</v>
      </c>
      <c r="W190" s="533">
        <f t="shared" si="18"/>
        <v>0</v>
      </c>
      <c r="X190" s="257"/>
      <c r="Y190" s="261">
        <f t="shared" si="19"/>
        <v>0</v>
      </c>
      <c r="Z190" s="12">
        <f t="shared" si="20"/>
        <v>0</v>
      </c>
      <c r="AB190" s="13">
        <f t="shared" si="16"/>
        <v>6843790.71</v>
      </c>
      <c r="AF190" s="13">
        <f t="shared" si="21"/>
        <v>6843790.71</v>
      </c>
      <c r="AM190" s="12">
        <f t="shared" si="22"/>
        <v>0</v>
      </c>
      <c r="AN190" s="13">
        <f t="shared" si="23"/>
        <v>6843790.71</v>
      </c>
    </row>
    <row r="191" spans="1:40" x14ac:dyDescent="0.25">
      <c r="A191">
        <v>186</v>
      </c>
      <c r="B191" t="s">
        <v>218</v>
      </c>
      <c r="C191" t="s">
        <v>15</v>
      </c>
      <c r="D191" t="s">
        <v>16</v>
      </c>
      <c r="F191" s="514">
        <f>+'29'!F191+'30'!F191+'31'!F191</f>
        <v>0</v>
      </c>
      <c r="G191" s="12">
        <f>+'29'!G191+'30'!G191+'31'!G191</f>
        <v>0</v>
      </c>
      <c r="H191" s="12">
        <f>+'29'!H191+'30'!H191+'31'!H191</f>
        <v>0</v>
      </c>
      <c r="I191" s="271"/>
      <c r="J191" s="514">
        <f>+'29'!J191+'30'!J191+'31'!J191</f>
        <v>0</v>
      </c>
      <c r="K191" s="12">
        <f>+'29'!K191+'30'!K191+'31'!K191</f>
        <v>0</v>
      </c>
      <c r="L191" s="12">
        <f>+'29'!L191+'30'!L191+'31'!L191</f>
        <v>0</v>
      </c>
      <c r="M191" s="271"/>
      <c r="N191" s="514">
        <f>+'29'!N191+'30'!N191+'31'!N191</f>
        <v>0</v>
      </c>
      <c r="O191" s="12">
        <f>+'29'!O191+'30'!O191+'31'!O191</f>
        <v>0</v>
      </c>
      <c r="P191" s="12">
        <f>+'29'!P191+'30'!P191+'31'!P191</f>
        <v>0</v>
      </c>
      <c r="Q191" s="532"/>
      <c r="R191" s="270">
        <v>79</v>
      </c>
      <c r="S191" s="12">
        <v>5078072.2799999993</v>
      </c>
      <c r="T191" s="12">
        <v>0</v>
      </c>
      <c r="U191" s="271"/>
      <c r="V191" s="533">
        <f t="shared" si="17"/>
        <v>-79</v>
      </c>
      <c r="W191" s="533">
        <f t="shared" si="18"/>
        <v>-5078072.2799999993</v>
      </c>
      <c r="X191" s="257"/>
      <c r="Y191" s="261">
        <f t="shared" si="19"/>
        <v>-79</v>
      </c>
      <c r="Z191" s="12">
        <f t="shared" si="20"/>
        <v>-5078072.2799999993</v>
      </c>
      <c r="AB191" s="13">
        <f t="shared" si="16"/>
        <v>0</v>
      </c>
      <c r="AF191" s="13">
        <f t="shared" si="21"/>
        <v>0</v>
      </c>
      <c r="AM191" s="12">
        <f t="shared" si="22"/>
        <v>0</v>
      </c>
      <c r="AN191" s="13">
        <f t="shared" si="23"/>
        <v>0</v>
      </c>
    </row>
    <row r="192" spans="1:40" x14ac:dyDescent="0.25">
      <c r="A192">
        <v>187</v>
      </c>
      <c r="B192" t="s">
        <v>219</v>
      </c>
      <c r="C192" t="s">
        <v>24</v>
      </c>
      <c r="D192" t="s">
        <v>16</v>
      </c>
      <c r="F192" s="514">
        <f>+'29'!F192+'30'!F192+'31'!F192</f>
        <v>258</v>
      </c>
      <c r="G192" s="12">
        <f>+'29'!G192+'30'!G192+'31'!G192</f>
        <v>16946018.879999999</v>
      </c>
      <c r="H192" s="12">
        <f>+'29'!H192+'30'!H192+'31'!H192</f>
        <v>10320</v>
      </c>
      <c r="I192" s="271"/>
      <c r="J192" s="514">
        <f>+'29'!J192+'30'!J192+'31'!J192</f>
        <v>0</v>
      </c>
      <c r="K192" s="12">
        <f>+'29'!K192+'30'!K192+'31'!K192</f>
        <v>0</v>
      </c>
      <c r="L192" s="12">
        <f>+'29'!L192+'30'!L192+'31'!L192</f>
        <v>0</v>
      </c>
      <c r="M192" s="271"/>
      <c r="N192" s="514">
        <f>+'29'!N192+'30'!N192+'31'!N192</f>
        <v>258</v>
      </c>
      <c r="O192" s="12">
        <f>+'29'!O192+'30'!O192+'31'!O192</f>
        <v>16946018.879999999</v>
      </c>
      <c r="P192" s="12">
        <f>+'29'!P192+'30'!P192+'31'!P192</f>
        <v>10320</v>
      </c>
      <c r="Q192" s="532"/>
      <c r="R192" s="270">
        <v>179</v>
      </c>
      <c r="S192" s="12">
        <v>11867946.6</v>
      </c>
      <c r="T192" s="12">
        <v>0</v>
      </c>
      <c r="U192" s="271"/>
      <c r="V192" s="533">
        <f t="shared" si="17"/>
        <v>79</v>
      </c>
      <c r="W192" s="533">
        <f t="shared" si="18"/>
        <v>5078072.2799999993</v>
      </c>
      <c r="X192" s="257"/>
      <c r="Y192" s="261">
        <f t="shared" si="19"/>
        <v>79</v>
      </c>
      <c r="Z192" s="12">
        <f t="shared" si="20"/>
        <v>5078072.2799999993</v>
      </c>
      <c r="AB192" s="13">
        <f t="shared" si="16"/>
        <v>16946018.879999999</v>
      </c>
      <c r="AF192" s="13">
        <f t="shared" si="21"/>
        <v>16946018.879999999</v>
      </c>
      <c r="AM192" s="12">
        <f t="shared" si="22"/>
        <v>0</v>
      </c>
      <c r="AN192" s="13">
        <f t="shared" si="23"/>
        <v>16946018.879999999</v>
      </c>
    </row>
    <row r="193" spans="1:40" x14ac:dyDescent="0.25">
      <c r="A193">
        <v>188</v>
      </c>
      <c r="B193" t="s">
        <v>220</v>
      </c>
      <c r="C193" t="s">
        <v>24</v>
      </c>
      <c r="D193" t="s">
        <v>16</v>
      </c>
      <c r="F193" s="514">
        <f>+'29'!F193+'30'!F193+'31'!F193</f>
        <v>0</v>
      </c>
      <c r="G193" s="12">
        <f>+'29'!G193+'30'!G193+'31'!G193</f>
        <v>0</v>
      </c>
      <c r="H193" s="12">
        <f>+'29'!H193+'30'!H193+'31'!H193</f>
        <v>0</v>
      </c>
      <c r="I193" s="271"/>
      <c r="J193" s="514">
        <f>+'29'!J193+'30'!J193+'31'!J193</f>
        <v>0</v>
      </c>
      <c r="K193" s="12">
        <f>+'29'!K193+'30'!K193+'31'!K193</f>
        <v>0</v>
      </c>
      <c r="L193" s="12">
        <f>+'29'!L193+'30'!L193+'31'!L193</f>
        <v>0</v>
      </c>
      <c r="M193" s="271"/>
      <c r="N193" s="514">
        <f>+'29'!N193+'30'!N193+'31'!N193</f>
        <v>0</v>
      </c>
      <c r="O193" s="12">
        <f>+'29'!O193+'30'!O193+'31'!O193</f>
        <v>0</v>
      </c>
      <c r="P193" s="12">
        <f>+'29'!P193+'30'!P193+'31'!P193</f>
        <v>0</v>
      </c>
      <c r="Q193" s="532"/>
      <c r="R193" s="270">
        <v>0</v>
      </c>
      <c r="S193" s="12">
        <v>0</v>
      </c>
      <c r="T193" s="12">
        <v>0</v>
      </c>
      <c r="U193" s="271"/>
      <c r="V193" s="533">
        <f t="shared" si="17"/>
        <v>0</v>
      </c>
      <c r="W193" s="533">
        <f t="shared" si="18"/>
        <v>0</v>
      </c>
      <c r="X193" s="257"/>
      <c r="Y193" s="261">
        <f t="shared" si="19"/>
        <v>0</v>
      </c>
      <c r="Z193" s="12">
        <f t="shared" si="20"/>
        <v>0</v>
      </c>
      <c r="AB193" s="13">
        <f t="shared" si="16"/>
        <v>0</v>
      </c>
      <c r="AF193" s="13">
        <f t="shared" si="21"/>
        <v>0</v>
      </c>
      <c r="AM193" s="12">
        <f t="shared" si="22"/>
        <v>0</v>
      </c>
      <c r="AN193" s="13">
        <f t="shared" si="23"/>
        <v>0</v>
      </c>
    </row>
    <row r="194" spans="1:40" x14ac:dyDescent="0.25">
      <c r="A194">
        <v>189</v>
      </c>
      <c r="B194" t="s">
        <v>221</v>
      </c>
      <c r="C194" t="s">
        <v>25</v>
      </c>
      <c r="D194" t="s">
        <v>16</v>
      </c>
      <c r="F194" s="514">
        <f>+'29'!F194+'30'!F194+'31'!F194</f>
        <v>68</v>
      </c>
      <c r="G194" s="12">
        <f>+'29'!G194+'30'!G194+'31'!G194</f>
        <v>2093344</v>
      </c>
      <c r="H194" s="12">
        <f>+'29'!H194+'30'!H194+'31'!H194</f>
        <v>3320</v>
      </c>
      <c r="I194" s="271"/>
      <c r="J194" s="514">
        <f>+'29'!J194+'30'!J194+'31'!J194</f>
        <v>0</v>
      </c>
      <c r="K194" s="12">
        <f>+'29'!K194+'30'!K194+'31'!K194</f>
        <v>0</v>
      </c>
      <c r="L194" s="12">
        <f>+'29'!L194+'30'!L194+'31'!L194</f>
        <v>0</v>
      </c>
      <c r="M194" s="271"/>
      <c r="N194" s="514">
        <f>+'29'!N194+'30'!N194+'31'!N194</f>
        <v>68</v>
      </c>
      <c r="O194" s="12">
        <f>+'29'!O194+'30'!O194+'31'!O194</f>
        <v>2093344</v>
      </c>
      <c r="P194" s="12">
        <f>+'29'!P194+'30'!P194+'31'!P194</f>
        <v>3320</v>
      </c>
      <c r="Q194" s="532"/>
      <c r="R194" s="270">
        <v>68</v>
      </c>
      <c r="S194" s="12">
        <v>2093344</v>
      </c>
      <c r="T194" s="12">
        <v>0</v>
      </c>
      <c r="U194" s="271"/>
      <c r="V194" s="533">
        <f t="shared" si="17"/>
        <v>0</v>
      </c>
      <c r="W194" s="533">
        <f t="shared" si="18"/>
        <v>0</v>
      </c>
      <c r="X194" s="257"/>
      <c r="Y194" s="261">
        <f t="shared" si="19"/>
        <v>0</v>
      </c>
      <c r="Z194" s="12">
        <f t="shared" si="20"/>
        <v>0</v>
      </c>
      <c r="AB194" s="13">
        <f t="shared" si="16"/>
        <v>2093344</v>
      </c>
      <c r="AF194" s="13">
        <f t="shared" si="21"/>
        <v>2093344</v>
      </c>
      <c r="AM194" s="12">
        <f t="shared" si="22"/>
        <v>0</v>
      </c>
      <c r="AN194" s="13">
        <f t="shared" si="23"/>
        <v>2093344</v>
      </c>
    </row>
    <row r="195" spans="1:40" x14ac:dyDescent="0.25">
      <c r="A195">
        <v>190</v>
      </c>
      <c r="B195" t="s">
        <v>222</v>
      </c>
      <c r="C195" t="s">
        <v>136</v>
      </c>
      <c r="F195" s="514">
        <f>+'29'!F195+'30'!F195+'31'!F195</f>
        <v>2</v>
      </c>
      <c r="G195" s="12">
        <f>+'29'!G195+'30'!G195+'31'!G195</f>
        <v>89676.47</v>
      </c>
      <c r="H195" s="12">
        <f>+'29'!H195+'30'!H195+'31'!H195</f>
        <v>80</v>
      </c>
      <c r="I195" s="271"/>
      <c r="J195" s="514">
        <f>+'29'!J195+'30'!J195+'31'!J195</f>
        <v>0</v>
      </c>
      <c r="K195" s="12">
        <f>+'29'!K195+'30'!K195+'31'!K195</f>
        <v>0</v>
      </c>
      <c r="L195" s="12">
        <f>+'29'!L195+'30'!L195+'31'!L195</f>
        <v>0</v>
      </c>
      <c r="M195" s="271"/>
      <c r="N195" s="514">
        <f>+'29'!N195+'30'!N195+'31'!N195</f>
        <v>2</v>
      </c>
      <c r="O195" s="12">
        <f>+'29'!O195+'30'!O195+'31'!O195</f>
        <v>89676.47</v>
      </c>
      <c r="P195" s="12">
        <f>+'29'!P195+'30'!P195+'31'!P195</f>
        <v>80</v>
      </c>
      <c r="Q195" s="532"/>
      <c r="R195" s="270">
        <v>2</v>
      </c>
      <c r="S195" s="12">
        <v>89676.47</v>
      </c>
      <c r="T195" s="12">
        <v>0</v>
      </c>
      <c r="U195" s="271"/>
      <c r="V195" s="533">
        <f t="shared" si="17"/>
        <v>0</v>
      </c>
      <c r="W195" s="533">
        <f t="shared" si="18"/>
        <v>0</v>
      </c>
      <c r="X195" s="257"/>
      <c r="Y195" s="261">
        <f t="shared" si="19"/>
        <v>0</v>
      </c>
      <c r="Z195" s="12">
        <f t="shared" si="20"/>
        <v>0</v>
      </c>
      <c r="AB195" s="13">
        <f t="shared" si="16"/>
        <v>89676.47</v>
      </c>
      <c r="AF195" s="13">
        <f t="shared" si="21"/>
        <v>89676.47</v>
      </c>
      <c r="AM195" s="12">
        <f t="shared" si="22"/>
        <v>0</v>
      </c>
      <c r="AN195" s="13">
        <f t="shared" si="23"/>
        <v>89676.47</v>
      </c>
    </row>
    <row r="196" spans="1:40" x14ac:dyDescent="0.25">
      <c r="A196">
        <v>191</v>
      </c>
      <c r="B196" t="s">
        <v>2438</v>
      </c>
      <c r="C196" t="s">
        <v>136</v>
      </c>
      <c r="D196" t="s">
        <v>16</v>
      </c>
      <c r="F196" s="514">
        <f>+'29'!F196+'30'!F196+'31'!F196</f>
        <v>2</v>
      </c>
      <c r="G196" s="12">
        <f>+'29'!G196+'30'!G196+'31'!G196</f>
        <v>69064</v>
      </c>
      <c r="H196" s="12">
        <f>+'29'!H196+'30'!H196+'31'!H196</f>
        <v>80</v>
      </c>
      <c r="I196" s="271"/>
      <c r="J196" s="514">
        <f>+'29'!J196+'30'!J196+'31'!J196</f>
        <v>0</v>
      </c>
      <c r="K196" s="12">
        <f>+'29'!K196+'30'!K196+'31'!K196</f>
        <v>0</v>
      </c>
      <c r="L196" s="12">
        <f>+'29'!L196+'30'!L196+'31'!L196</f>
        <v>0</v>
      </c>
      <c r="M196" s="271"/>
      <c r="N196" s="514">
        <f>+'29'!N196+'30'!N196+'31'!N196</f>
        <v>2</v>
      </c>
      <c r="O196" s="12">
        <f>+'29'!O196+'30'!O196+'31'!O196</f>
        <v>69064</v>
      </c>
      <c r="P196" s="12">
        <f>+'29'!P196+'30'!P196+'31'!P196</f>
        <v>80</v>
      </c>
      <c r="Q196" s="532"/>
      <c r="R196" s="270">
        <v>2</v>
      </c>
      <c r="S196" s="12">
        <v>69064</v>
      </c>
      <c r="T196" s="12">
        <v>0</v>
      </c>
      <c r="U196" s="271"/>
      <c r="V196" s="533">
        <f t="shared" si="17"/>
        <v>0</v>
      </c>
      <c r="W196" s="533">
        <f t="shared" si="18"/>
        <v>0</v>
      </c>
      <c r="X196" s="257"/>
      <c r="Y196" s="261">
        <f t="shared" si="19"/>
        <v>0</v>
      </c>
      <c r="Z196" s="12">
        <f t="shared" si="20"/>
        <v>0</v>
      </c>
      <c r="AB196" s="13">
        <f t="shared" si="16"/>
        <v>69064</v>
      </c>
      <c r="AF196" s="13">
        <f t="shared" si="21"/>
        <v>69064</v>
      </c>
      <c r="AM196" s="12">
        <f t="shared" si="22"/>
        <v>0</v>
      </c>
      <c r="AN196" s="13">
        <f t="shared" si="23"/>
        <v>69064</v>
      </c>
    </row>
    <row r="197" spans="1:40" x14ac:dyDescent="0.25">
      <c r="A197">
        <v>192</v>
      </c>
      <c r="B197" t="s">
        <v>223</v>
      </c>
      <c r="C197" t="s">
        <v>154</v>
      </c>
      <c r="D197" t="s">
        <v>16</v>
      </c>
      <c r="F197" s="514">
        <f>+'29'!F197+'30'!F197+'31'!F197</f>
        <v>27</v>
      </c>
      <c r="G197" s="12">
        <f>+'29'!G197+'30'!G197+'31'!G197</f>
        <v>416583.5</v>
      </c>
      <c r="H197" s="12">
        <f>+'29'!H197+'30'!H197+'31'!H197</f>
        <v>810</v>
      </c>
      <c r="I197" s="271"/>
      <c r="J197" s="514">
        <f>+'29'!J197+'30'!J197+'31'!J197</f>
        <v>0</v>
      </c>
      <c r="K197" s="12">
        <f>+'29'!K197+'30'!K197+'31'!K197</f>
        <v>0</v>
      </c>
      <c r="L197" s="12">
        <f>+'29'!L197+'30'!L197+'31'!L197</f>
        <v>0</v>
      </c>
      <c r="M197" s="271"/>
      <c r="N197" s="514">
        <f>+'29'!N197+'30'!N197+'31'!N197</f>
        <v>27</v>
      </c>
      <c r="O197" s="12">
        <f>+'29'!O197+'30'!O197+'31'!O197</f>
        <v>416583.5</v>
      </c>
      <c r="P197" s="12">
        <f>+'29'!P197+'30'!P197+'31'!P197</f>
        <v>810</v>
      </c>
      <c r="Q197" s="532"/>
      <c r="R197" s="270">
        <v>27</v>
      </c>
      <c r="S197" s="12">
        <v>416583.5</v>
      </c>
      <c r="T197" s="12">
        <v>0</v>
      </c>
      <c r="U197" s="271"/>
      <c r="V197" s="533">
        <f t="shared" si="17"/>
        <v>0</v>
      </c>
      <c r="W197" s="533">
        <f t="shared" si="18"/>
        <v>0</v>
      </c>
      <c r="X197" s="257"/>
      <c r="Y197" s="261">
        <f t="shared" si="19"/>
        <v>0</v>
      </c>
      <c r="Z197" s="12">
        <f t="shared" si="20"/>
        <v>0</v>
      </c>
      <c r="AB197" s="13">
        <f t="shared" si="16"/>
        <v>416583.5</v>
      </c>
      <c r="AF197" s="13">
        <f t="shared" si="21"/>
        <v>416583.5</v>
      </c>
      <c r="AM197" s="12">
        <f t="shared" si="22"/>
        <v>0</v>
      </c>
      <c r="AN197" s="13">
        <f t="shared" si="23"/>
        <v>416583.5</v>
      </c>
    </row>
    <row r="198" spans="1:40" x14ac:dyDescent="0.25">
      <c r="A198">
        <v>193</v>
      </c>
      <c r="B198" t="s">
        <v>224</v>
      </c>
      <c r="C198" t="s">
        <v>51</v>
      </c>
      <c r="D198" t="s">
        <v>16</v>
      </c>
      <c r="F198" s="514">
        <f>+'29'!F198+'30'!F198+'31'!F198</f>
        <v>0</v>
      </c>
      <c r="G198" s="12">
        <f>+'29'!G198+'30'!G198+'31'!G198</f>
        <v>0</v>
      </c>
      <c r="H198" s="12">
        <f>+'29'!H198+'30'!H198+'31'!H198</f>
        <v>0</v>
      </c>
      <c r="I198" s="271"/>
      <c r="J198" s="514">
        <f>+'29'!J198+'30'!J198+'31'!J198</f>
        <v>0</v>
      </c>
      <c r="K198" s="12">
        <f>+'29'!K198+'30'!K198+'31'!K198</f>
        <v>0</v>
      </c>
      <c r="L198" s="12">
        <f>+'29'!L198+'30'!L198+'31'!L198</f>
        <v>0</v>
      </c>
      <c r="M198" s="271"/>
      <c r="N198" s="514">
        <f>+'29'!N198+'30'!N198+'31'!N198</f>
        <v>0</v>
      </c>
      <c r="O198" s="12">
        <f>+'29'!O198+'30'!O198+'31'!O198</f>
        <v>0</v>
      </c>
      <c r="P198" s="12">
        <f>+'29'!P198+'30'!P198+'31'!P198</f>
        <v>0</v>
      </c>
      <c r="Q198" s="532"/>
      <c r="R198" s="270">
        <v>0</v>
      </c>
      <c r="S198" s="12">
        <v>0</v>
      </c>
      <c r="T198" s="12">
        <v>0</v>
      </c>
      <c r="U198" s="271"/>
      <c r="V198" s="533">
        <f t="shared" si="17"/>
        <v>0</v>
      </c>
      <c r="W198" s="533">
        <f t="shared" si="18"/>
        <v>0</v>
      </c>
      <c r="X198" s="257"/>
      <c r="Y198" s="261">
        <f t="shared" si="19"/>
        <v>0</v>
      </c>
      <c r="Z198" s="12">
        <f t="shared" si="20"/>
        <v>0</v>
      </c>
      <c r="AB198" s="13">
        <f t="shared" ref="AB198:AB261" si="24">O198</f>
        <v>0</v>
      </c>
      <c r="AF198" s="13">
        <f t="shared" si="21"/>
        <v>0</v>
      </c>
      <c r="AM198" s="12">
        <f t="shared" si="22"/>
        <v>0</v>
      </c>
      <c r="AN198" s="13">
        <f t="shared" si="23"/>
        <v>0</v>
      </c>
    </row>
    <row r="199" spans="1:40" x14ac:dyDescent="0.25">
      <c r="A199">
        <v>194</v>
      </c>
      <c r="B199" t="s">
        <v>225</v>
      </c>
      <c r="C199" t="s">
        <v>18</v>
      </c>
      <c r="D199" t="s">
        <v>16</v>
      </c>
      <c r="F199" s="514">
        <f>+'29'!F199+'30'!F199+'31'!F199</f>
        <v>118</v>
      </c>
      <c r="G199" s="12">
        <f>+'29'!G199+'30'!G199+'31'!G199</f>
        <v>140298.01999999999</v>
      </c>
      <c r="H199" s="12">
        <f>+'29'!H199+'30'!H199+'31'!H199</f>
        <v>1770</v>
      </c>
      <c r="I199" s="271"/>
      <c r="J199" s="514">
        <f>+'29'!J199+'30'!J199+'31'!J199</f>
        <v>0</v>
      </c>
      <c r="K199" s="12">
        <f>+'29'!K199+'30'!K199+'31'!K199</f>
        <v>0</v>
      </c>
      <c r="L199" s="12">
        <f>+'29'!L199+'30'!L199+'31'!L199</f>
        <v>0</v>
      </c>
      <c r="M199" s="271"/>
      <c r="N199" s="514">
        <f>+'29'!N199+'30'!N199+'31'!N199</f>
        <v>118</v>
      </c>
      <c r="O199" s="12">
        <f>+'29'!O199+'30'!O199+'31'!O199</f>
        <v>140298.01999999999</v>
      </c>
      <c r="P199" s="12">
        <f>+'29'!P199+'30'!P199+'31'!P199</f>
        <v>1770</v>
      </c>
      <c r="Q199" s="532"/>
      <c r="R199" s="270">
        <v>118</v>
      </c>
      <c r="S199" s="12">
        <v>140298.01999999999</v>
      </c>
      <c r="T199" s="12">
        <v>0</v>
      </c>
      <c r="U199" s="271"/>
      <c r="V199" s="533">
        <f t="shared" ref="V199:V262" si="25">N199-R199</f>
        <v>0</v>
      </c>
      <c r="W199" s="533">
        <f t="shared" ref="W199:W262" si="26">O199-S199</f>
        <v>0</v>
      </c>
      <c r="X199" s="257"/>
      <c r="Y199" s="261">
        <f t="shared" ref="Y199:Y262" si="27">V199</f>
        <v>0</v>
      </c>
      <c r="Z199" s="12">
        <f t="shared" ref="Z199:Z262" si="28">W199</f>
        <v>0</v>
      </c>
      <c r="AB199" s="13">
        <f t="shared" si="24"/>
        <v>140298.01999999999</v>
      </c>
      <c r="AF199" s="13">
        <f t="shared" ref="AF199:AF262" si="29">AB199-AD199</f>
        <v>140298.01999999999</v>
      </c>
      <c r="AL199" s="33"/>
      <c r="AM199" s="12">
        <f t="shared" ref="AM199:AM262" si="30">SUM(AG199:AL199)</f>
        <v>0</v>
      </c>
      <c r="AN199" s="13">
        <f t="shared" ref="AN199:AN262" si="31">AF199-AM199</f>
        <v>140298.01999999999</v>
      </c>
    </row>
    <row r="200" spans="1:40" x14ac:dyDescent="0.25">
      <c r="A200">
        <v>195</v>
      </c>
      <c r="B200" t="s">
        <v>226</v>
      </c>
      <c r="C200" t="s">
        <v>25</v>
      </c>
      <c r="D200" t="s">
        <v>16</v>
      </c>
      <c r="F200" s="514">
        <f>+'29'!F200+'30'!F200+'31'!F200</f>
        <v>11</v>
      </c>
      <c r="G200" s="12">
        <f>+'29'!G200+'30'!G200+'31'!G200</f>
        <v>331964.34999999998</v>
      </c>
      <c r="H200" s="12">
        <f>+'29'!H200+'30'!H200+'31'!H200</f>
        <v>368.5</v>
      </c>
      <c r="I200" s="271"/>
      <c r="J200" s="514">
        <f>+'29'!J200+'30'!J200+'31'!J200</f>
        <v>0</v>
      </c>
      <c r="K200" s="12">
        <f>+'29'!K200+'30'!K200+'31'!K200</f>
        <v>0</v>
      </c>
      <c r="L200" s="12">
        <f>+'29'!L200+'30'!L200+'31'!L200</f>
        <v>0</v>
      </c>
      <c r="M200" s="271"/>
      <c r="N200" s="514">
        <f>+'29'!N200+'30'!N200+'31'!N200</f>
        <v>11</v>
      </c>
      <c r="O200" s="12">
        <f>+'29'!O200+'30'!O200+'31'!O200</f>
        <v>331964.34999999998</v>
      </c>
      <c r="P200" s="12">
        <f>+'29'!P200+'30'!P200+'31'!P200</f>
        <v>368.5</v>
      </c>
      <c r="Q200" s="532"/>
      <c r="R200" s="270">
        <v>11</v>
      </c>
      <c r="S200" s="12">
        <v>331964.34999999998</v>
      </c>
      <c r="T200" s="12">
        <v>0</v>
      </c>
      <c r="U200" s="271"/>
      <c r="V200" s="533">
        <f t="shared" si="25"/>
        <v>0</v>
      </c>
      <c r="W200" s="533">
        <f t="shared" si="26"/>
        <v>0</v>
      </c>
      <c r="X200" s="257"/>
      <c r="Y200" s="261">
        <f t="shared" si="27"/>
        <v>0</v>
      </c>
      <c r="Z200" s="12">
        <f t="shared" si="28"/>
        <v>0</v>
      </c>
      <c r="AB200" s="13">
        <f t="shared" si="24"/>
        <v>331964.34999999998</v>
      </c>
      <c r="AF200" s="13">
        <f t="shared" si="29"/>
        <v>331964.34999999998</v>
      </c>
      <c r="AM200" s="12">
        <f t="shared" si="30"/>
        <v>0</v>
      </c>
      <c r="AN200" s="13">
        <f t="shared" si="31"/>
        <v>331964.34999999998</v>
      </c>
    </row>
    <row r="201" spans="1:40" x14ac:dyDescent="0.25">
      <c r="A201">
        <v>196</v>
      </c>
      <c r="B201" t="s">
        <v>227</v>
      </c>
      <c r="C201" t="s">
        <v>15</v>
      </c>
      <c r="D201" t="s">
        <v>45</v>
      </c>
      <c r="F201" s="514">
        <f>+'29'!F201+'30'!F201+'31'!F201</f>
        <v>2</v>
      </c>
      <c r="G201" s="12">
        <f>+'29'!G201+'30'!G201+'31'!G201</f>
        <v>57901.58</v>
      </c>
      <c r="H201" s="12">
        <f>+'29'!H201+'30'!H201+'31'!H201</f>
        <v>48</v>
      </c>
      <c r="I201" s="271"/>
      <c r="J201" s="514">
        <f>+'29'!J201+'30'!J201+'31'!J201</f>
        <v>0</v>
      </c>
      <c r="K201" s="12">
        <f>+'29'!K201+'30'!K201+'31'!K201</f>
        <v>0</v>
      </c>
      <c r="L201" s="12">
        <f>+'29'!L201+'30'!L201+'31'!L201</f>
        <v>0</v>
      </c>
      <c r="M201" s="271"/>
      <c r="N201" s="514">
        <f>+'29'!N201+'30'!N201+'31'!N201</f>
        <v>2</v>
      </c>
      <c r="O201" s="12">
        <f>+'29'!O201+'30'!O201+'31'!O201</f>
        <v>57901.58</v>
      </c>
      <c r="P201" s="12">
        <f>+'29'!P201+'30'!P201+'31'!P201</f>
        <v>48</v>
      </c>
      <c r="Q201" s="532"/>
      <c r="R201" s="270">
        <v>2</v>
      </c>
      <c r="S201" s="12">
        <v>57901.58</v>
      </c>
      <c r="T201" s="12">
        <v>0</v>
      </c>
      <c r="U201" s="271"/>
      <c r="V201" s="533">
        <f t="shared" si="25"/>
        <v>0</v>
      </c>
      <c r="W201" s="533">
        <f t="shared" si="26"/>
        <v>0</v>
      </c>
      <c r="X201" s="257"/>
      <c r="Y201" s="261">
        <f t="shared" si="27"/>
        <v>0</v>
      </c>
      <c r="Z201" s="12">
        <f t="shared" si="28"/>
        <v>0</v>
      </c>
      <c r="AB201" s="13">
        <f t="shared" si="24"/>
        <v>57901.58</v>
      </c>
      <c r="AF201" s="13">
        <f t="shared" si="29"/>
        <v>57901.58</v>
      </c>
      <c r="AG201" s="16">
        <v>1147.1428571428571</v>
      </c>
      <c r="AM201" s="12">
        <f t="shared" si="30"/>
        <v>1147.1428571428571</v>
      </c>
      <c r="AN201" s="13">
        <f t="shared" si="31"/>
        <v>56754.437142857147</v>
      </c>
    </row>
    <row r="202" spans="1:40" x14ac:dyDescent="0.25">
      <c r="A202">
        <v>197</v>
      </c>
      <c r="B202" t="s">
        <v>228</v>
      </c>
      <c r="C202" t="s">
        <v>25</v>
      </c>
      <c r="D202" t="s">
        <v>16</v>
      </c>
      <c r="F202" s="514">
        <f>+'29'!F202+'30'!F202+'31'!F202</f>
        <v>0</v>
      </c>
      <c r="G202" s="12">
        <f>+'29'!G202+'30'!G202+'31'!G202</f>
        <v>0</v>
      </c>
      <c r="H202" s="12">
        <f>+'29'!H202+'30'!H202+'31'!H202</f>
        <v>0</v>
      </c>
      <c r="I202" s="271"/>
      <c r="J202" s="514">
        <f>+'29'!J202+'30'!J202+'31'!J202</f>
        <v>0</v>
      </c>
      <c r="K202" s="12">
        <f>+'29'!K202+'30'!K202+'31'!K202</f>
        <v>0</v>
      </c>
      <c r="L202" s="12">
        <f>+'29'!L202+'30'!L202+'31'!L202</f>
        <v>0</v>
      </c>
      <c r="M202" s="271"/>
      <c r="N202" s="514">
        <f>+'29'!N202+'30'!N202+'31'!N202</f>
        <v>0</v>
      </c>
      <c r="O202" s="12">
        <f>+'29'!O202+'30'!O202+'31'!O202</f>
        <v>0</v>
      </c>
      <c r="P202" s="12">
        <f>+'29'!P202+'30'!P202+'31'!P202</f>
        <v>0</v>
      </c>
      <c r="Q202" s="532"/>
      <c r="R202" s="270">
        <v>0</v>
      </c>
      <c r="S202" s="12">
        <v>0</v>
      </c>
      <c r="T202" s="12">
        <v>0</v>
      </c>
      <c r="U202" s="271"/>
      <c r="V202" s="533">
        <f t="shared" si="25"/>
        <v>0</v>
      </c>
      <c r="W202" s="533">
        <f t="shared" si="26"/>
        <v>0</v>
      </c>
      <c r="X202" s="257"/>
      <c r="Y202" s="261">
        <f t="shared" si="27"/>
        <v>0</v>
      </c>
      <c r="Z202" s="12">
        <f t="shared" si="28"/>
        <v>0</v>
      </c>
      <c r="AB202" s="13">
        <f t="shared" si="24"/>
        <v>0</v>
      </c>
      <c r="AF202" s="13">
        <f t="shared" si="29"/>
        <v>0</v>
      </c>
      <c r="AM202" s="12">
        <f t="shared" si="30"/>
        <v>0</v>
      </c>
      <c r="AN202" s="13">
        <f t="shared" si="31"/>
        <v>0</v>
      </c>
    </row>
    <row r="203" spans="1:40" x14ac:dyDescent="0.25">
      <c r="A203">
        <v>198</v>
      </c>
      <c r="B203" t="s">
        <v>229</v>
      </c>
      <c r="C203" t="s">
        <v>18</v>
      </c>
      <c r="D203" t="s">
        <v>16</v>
      </c>
      <c r="F203" s="514">
        <f>+'29'!F203+'30'!F203+'31'!F203</f>
        <v>1</v>
      </c>
      <c r="G203" s="12">
        <f>+'29'!G203+'30'!G203+'31'!G203</f>
        <v>13198</v>
      </c>
      <c r="H203" s="12">
        <f>+'29'!H203+'30'!H203+'31'!H203</f>
        <v>50</v>
      </c>
      <c r="I203" s="271"/>
      <c r="J203" s="514">
        <f>+'29'!J203+'30'!J203+'31'!J203</f>
        <v>0</v>
      </c>
      <c r="K203" s="12">
        <f>+'29'!K203+'30'!K203+'31'!K203</f>
        <v>0</v>
      </c>
      <c r="L203" s="12">
        <f>+'29'!L203+'30'!L203+'31'!L203</f>
        <v>0</v>
      </c>
      <c r="M203" s="271"/>
      <c r="N203" s="514">
        <f>+'29'!N203+'30'!N203+'31'!N203</f>
        <v>1</v>
      </c>
      <c r="O203" s="12">
        <f>+'29'!O203+'30'!O203+'31'!O203</f>
        <v>13198</v>
      </c>
      <c r="P203" s="12">
        <f>+'29'!P203+'30'!P203+'31'!P203</f>
        <v>50</v>
      </c>
      <c r="Q203" s="532"/>
      <c r="R203" s="270">
        <v>1</v>
      </c>
      <c r="S203" s="12">
        <v>13198</v>
      </c>
      <c r="T203" s="12">
        <v>0</v>
      </c>
      <c r="U203" s="271"/>
      <c r="V203" s="533">
        <f t="shared" si="25"/>
        <v>0</v>
      </c>
      <c r="W203" s="533">
        <f t="shared" si="26"/>
        <v>0</v>
      </c>
      <c r="X203" s="257"/>
      <c r="Y203" s="261">
        <f t="shared" si="27"/>
        <v>0</v>
      </c>
      <c r="Z203" s="12">
        <f t="shared" si="28"/>
        <v>0</v>
      </c>
      <c r="AB203" s="13">
        <f t="shared" si="24"/>
        <v>13198</v>
      </c>
      <c r="AF203" s="13">
        <f t="shared" si="29"/>
        <v>13198</v>
      </c>
      <c r="AM203" s="12">
        <f t="shared" si="30"/>
        <v>0</v>
      </c>
      <c r="AN203" s="13">
        <f t="shared" si="31"/>
        <v>13198</v>
      </c>
    </row>
    <row r="204" spans="1:40" x14ac:dyDescent="0.25">
      <c r="A204">
        <v>199</v>
      </c>
      <c r="B204" t="s">
        <v>230</v>
      </c>
      <c r="C204" t="s">
        <v>18</v>
      </c>
      <c r="D204" t="s">
        <v>16</v>
      </c>
      <c r="F204" s="514">
        <f>+'29'!F204+'30'!F204+'31'!F204</f>
        <v>1</v>
      </c>
      <c r="G204" s="12">
        <f>+'29'!G204+'30'!G204+'31'!G204</f>
        <v>50000</v>
      </c>
      <c r="H204" s="12">
        <f>+'29'!H204+'30'!H204+'31'!H204</f>
        <v>100</v>
      </c>
      <c r="I204" s="271"/>
      <c r="J204" s="514">
        <f>+'29'!J204+'30'!J204+'31'!J204</f>
        <v>0</v>
      </c>
      <c r="K204" s="12">
        <f>+'29'!K204+'30'!K204+'31'!K204</f>
        <v>0</v>
      </c>
      <c r="L204" s="12">
        <f>+'29'!L204+'30'!L204+'31'!L204</f>
        <v>0</v>
      </c>
      <c r="M204" s="271"/>
      <c r="N204" s="514">
        <f>+'29'!N204+'30'!N204+'31'!N204</f>
        <v>1</v>
      </c>
      <c r="O204" s="12">
        <f>+'29'!O204+'30'!O204+'31'!O204</f>
        <v>50000</v>
      </c>
      <c r="P204" s="12">
        <f>+'29'!P204+'30'!P204+'31'!P204</f>
        <v>100</v>
      </c>
      <c r="Q204" s="532"/>
      <c r="R204" s="270">
        <v>1</v>
      </c>
      <c r="S204" s="12">
        <v>50000</v>
      </c>
      <c r="T204" s="12">
        <v>0</v>
      </c>
      <c r="U204" s="271"/>
      <c r="V204" s="533">
        <f t="shared" si="25"/>
        <v>0</v>
      </c>
      <c r="W204" s="533">
        <f t="shared" si="26"/>
        <v>0</v>
      </c>
      <c r="X204" s="257"/>
      <c r="Y204" s="261">
        <f t="shared" si="27"/>
        <v>0</v>
      </c>
      <c r="Z204" s="12">
        <f t="shared" si="28"/>
        <v>0</v>
      </c>
      <c r="AB204" s="13">
        <f t="shared" si="24"/>
        <v>50000</v>
      </c>
      <c r="AF204" s="13">
        <f t="shared" si="29"/>
        <v>50000</v>
      </c>
      <c r="AM204" s="12">
        <f t="shared" si="30"/>
        <v>0</v>
      </c>
      <c r="AN204" s="13">
        <f t="shared" si="31"/>
        <v>50000</v>
      </c>
    </row>
    <row r="205" spans="1:40" x14ac:dyDescent="0.25">
      <c r="A205">
        <v>200</v>
      </c>
      <c r="B205" t="s">
        <v>231</v>
      </c>
      <c r="C205" t="s">
        <v>18</v>
      </c>
      <c r="D205" t="s">
        <v>16</v>
      </c>
      <c r="F205" s="514">
        <f>+'29'!F205+'30'!F205+'31'!F205</f>
        <v>0</v>
      </c>
      <c r="G205" s="12">
        <f>+'29'!G205+'30'!G205+'31'!G205</f>
        <v>0</v>
      </c>
      <c r="H205" s="12">
        <f>+'29'!H205+'30'!H205+'31'!H205</f>
        <v>0</v>
      </c>
      <c r="I205" s="271"/>
      <c r="J205" s="514">
        <f>+'29'!J205+'30'!J205+'31'!J205</f>
        <v>0</v>
      </c>
      <c r="K205" s="12">
        <f>+'29'!K205+'30'!K205+'31'!K205</f>
        <v>0</v>
      </c>
      <c r="L205" s="12">
        <f>+'29'!L205+'30'!L205+'31'!L205</f>
        <v>0</v>
      </c>
      <c r="M205" s="271"/>
      <c r="N205" s="514">
        <f>+'29'!N205+'30'!N205+'31'!N205</f>
        <v>0</v>
      </c>
      <c r="O205" s="12">
        <f>+'29'!O205+'30'!O205+'31'!O205</f>
        <v>0</v>
      </c>
      <c r="P205" s="12">
        <f>+'29'!P205+'30'!P205+'31'!P205</f>
        <v>0</v>
      </c>
      <c r="Q205" s="532"/>
      <c r="R205" s="270">
        <v>0</v>
      </c>
      <c r="S205" s="12">
        <v>0</v>
      </c>
      <c r="T205" s="12">
        <v>0</v>
      </c>
      <c r="U205" s="271"/>
      <c r="V205" s="533">
        <f t="shared" si="25"/>
        <v>0</v>
      </c>
      <c r="W205" s="533">
        <f t="shared" si="26"/>
        <v>0</v>
      </c>
      <c r="X205" s="257"/>
      <c r="Y205" s="261">
        <f t="shared" si="27"/>
        <v>0</v>
      </c>
      <c r="Z205" s="12">
        <f t="shared" si="28"/>
        <v>0</v>
      </c>
      <c r="AB205" s="13">
        <f t="shared" si="24"/>
        <v>0</v>
      </c>
      <c r="AD205" s="16"/>
      <c r="AF205" s="13">
        <f t="shared" si="29"/>
        <v>0</v>
      </c>
      <c r="AG205" s="16"/>
      <c r="AM205" s="12">
        <f t="shared" si="30"/>
        <v>0</v>
      </c>
      <c r="AN205" s="13">
        <f t="shared" si="31"/>
        <v>0</v>
      </c>
    </row>
    <row r="206" spans="1:40" x14ac:dyDescent="0.25">
      <c r="A206">
        <v>201</v>
      </c>
      <c r="B206" t="s">
        <v>2422</v>
      </c>
      <c r="C206" t="s">
        <v>148</v>
      </c>
      <c r="D206" t="s">
        <v>20</v>
      </c>
      <c r="F206" s="514">
        <f>+'29'!F206+'30'!F206+'31'!F206</f>
        <v>6515</v>
      </c>
      <c r="G206" s="12">
        <f>+'29'!G206+'30'!G206+'31'!G206</f>
        <v>81763765.329999939</v>
      </c>
      <c r="H206" s="12">
        <f>+'29'!H206+'30'!H206+'31'!H206</f>
        <v>75450</v>
      </c>
      <c r="I206" s="271"/>
      <c r="J206" s="514">
        <f>+'29'!J206+'30'!J206+'31'!J206</f>
        <v>0</v>
      </c>
      <c r="K206" s="12">
        <f>+'29'!K206+'30'!K206+'31'!K206</f>
        <v>0</v>
      </c>
      <c r="L206" s="12">
        <f>+'29'!L206+'30'!L206+'31'!L206</f>
        <v>0</v>
      </c>
      <c r="M206" s="271"/>
      <c r="N206" s="514">
        <f>+'29'!N206+'30'!N206+'31'!N206</f>
        <v>6515</v>
      </c>
      <c r="O206" s="12">
        <f>+'29'!O206+'30'!O206+'31'!O206</f>
        <v>81763765.329999939</v>
      </c>
      <c r="P206" s="12">
        <f>+'29'!P206+'30'!P206+'31'!P206</f>
        <v>75450</v>
      </c>
      <c r="Q206" s="532"/>
      <c r="R206" s="270">
        <v>6515</v>
      </c>
      <c r="S206" s="12">
        <v>81688315.329999998</v>
      </c>
      <c r="T206" s="12">
        <v>75450</v>
      </c>
      <c r="U206" s="271"/>
      <c r="V206" s="533">
        <f t="shared" si="25"/>
        <v>0</v>
      </c>
      <c r="W206" s="533">
        <f t="shared" si="26"/>
        <v>75449.999999940395</v>
      </c>
      <c r="X206" s="257"/>
      <c r="Y206" s="261">
        <f t="shared" si="27"/>
        <v>0</v>
      </c>
      <c r="Z206" s="12">
        <f t="shared" si="28"/>
        <v>75449.999999940395</v>
      </c>
      <c r="AB206" s="13">
        <f t="shared" si="24"/>
        <v>81763765.329999939</v>
      </c>
      <c r="AF206" s="13">
        <f t="shared" si="29"/>
        <v>81763765.329999939</v>
      </c>
      <c r="AM206" s="12">
        <f t="shared" si="30"/>
        <v>0</v>
      </c>
      <c r="AN206" s="13">
        <f t="shared" si="31"/>
        <v>81763765.329999939</v>
      </c>
    </row>
    <row r="207" spans="1:40" x14ac:dyDescent="0.25">
      <c r="A207">
        <v>202</v>
      </c>
      <c r="B207" t="s">
        <v>232</v>
      </c>
      <c r="C207" t="s">
        <v>148</v>
      </c>
      <c r="D207" t="s">
        <v>16</v>
      </c>
      <c r="F207" s="514">
        <f>+'29'!F207+'30'!F207+'31'!F207</f>
        <v>75</v>
      </c>
      <c r="G207" s="12">
        <f>+'29'!G207+'30'!G207+'31'!G207</f>
        <v>218707</v>
      </c>
      <c r="H207" s="12">
        <f>+'29'!H207+'30'!H207+'31'!H207</f>
        <v>1125</v>
      </c>
      <c r="I207" s="271"/>
      <c r="J207" s="514">
        <f>+'29'!J207+'30'!J207+'31'!J207</f>
        <v>0</v>
      </c>
      <c r="K207" s="12">
        <f>+'29'!K207+'30'!K207+'31'!K207</f>
        <v>0</v>
      </c>
      <c r="L207" s="12">
        <f>+'29'!L207+'30'!L207+'31'!L207</f>
        <v>0</v>
      </c>
      <c r="M207" s="271"/>
      <c r="N207" s="514">
        <f>+'29'!N207+'30'!N207+'31'!N207</f>
        <v>75</v>
      </c>
      <c r="O207" s="12">
        <f>+'29'!O207+'30'!O207+'31'!O207</f>
        <v>218707</v>
      </c>
      <c r="P207" s="12">
        <f>+'29'!P207+'30'!P207+'31'!P207</f>
        <v>1125</v>
      </c>
      <c r="Q207" s="532"/>
      <c r="R207" s="270">
        <v>75</v>
      </c>
      <c r="S207" s="12">
        <v>218707</v>
      </c>
      <c r="T207" s="12">
        <v>0</v>
      </c>
      <c r="U207" s="271"/>
      <c r="V207" s="533">
        <f t="shared" si="25"/>
        <v>0</v>
      </c>
      <c r="W207" s="533">
        <f t="shared" si="26"/>
        <v>0</v>
      </c>
      <c r="X207" s="257"/>
      <c r="Y207" s="261">
        <f t="shared" si="27"/>
        <v>0</v>
      </c>
      <c r="Z207" s="12">
        <f t="shared" si="28"/>
        <v>0</v>
      </c>
      <c r="AB207" s="13">
        <f t="shared" si="24"/>
        <v>218707</v>
      </c>
      <c r="AF207" s="13">
        <f t="shared" si="29"/>
        <v>218707</v>
      </c>
      <c r="AM207" s="12">
        <f t="shared" si="30"/>
        <v>0</v>
      </c>
      <c r="AN207" s="13">
        <f t="shared" si="31"/>
        <v>218707</v>
      </c>
    </row>
    <row r="208" spans="1:40" x14ac:dyDescent="0.25">
      <c r="A208">
        <v>203</v>
      </c>
      <c r="B208" t="s">
        <v>233</v>
      </c>
      <c r="C208" t="s">
        <v>24</v>
      </c>
      <c r="D208" t="s">
        <v>16</v>
      </c>
      <c r="F208" s="514">
        <f>+'29'!F208+'30'!F208+'31'!F208</f>
        <v>16</v>
      </c>
      <c r="G208" s="12">
        <f>+'29'!G208+'30'!G208+'31'!G208</f>
        <v>451569</v>
      </c>
      <c r="H208" s="12">
        <f>+'29'!H208+'30'!H208+'31'!H208</f>
        <v>850</v>
      </c>
      <c r="I208" s="271"/>
      <c r="J208" s="514">
        <f>+'29'!J208+'30'!J208+'31'!J208</f>
        <v>0</v>
      </c>
      <c r="K208" s="12">
        <f>+'29'!K208+'30'!K208+'31'!K208</f>
        <v>0</v>
      </c>
      <c r="L208" s="12">
        <f>+'29'!L208+'30'!L208+'31'!L208</f>
        <v>0</v>
      </c>
      <c r="M208" s="271"/>
      <c r="N208" s="514">
        <f>+'29'!N208+'30'!N208+'31'!N208</f>
        <v>16</v>
      </c>
      <c r="O208" s="12">
        <f>+'29'!O208+'30'!O208+'31'!O208</f>
        <v>451569</v>
      </c>
      <c r="P208" s="12">
        <f>+'29'!P208+'30'!P208+'31'!P208</f>
        <v>850</v>
      </c>
      <c r="Q208" s="532"/>
      <c r="R208" s="270">
        <v>16</v>
      </c>
      <c r="S208" s="12">
        <v>451569</v>
      </c>
      <c r="T208" s="12">
        <v>0</v>
      </c>
      <c r="U208" s="271"/>
      <c r="V208" s="533">
        <f t="shared" si="25"/>
        <v>0</v>
      </c>
      <c r="W208" s="533">
        <f t="shared" si="26"/>
        <v>0</v>
      </c>
      <c r="X208" s="257"/>
      <c r="Y208" s="261">
        <f t="shared" si="27"/>
        <v>0</v>
      </c>
      <c r="Z208" s="12">
        <f t="shared" si="28"/>
        <v>0</v>
      </c>
      <c r="AB208" s="13">
        <f t="shared" si="24"/>
        <v>451569</v>
      </c>
      <c r="AD208" s="16"/>
      <c r="AF208" s="13">
        <f t="shared" si="29"/>
        <v>451569</v>
      </c>
      <c r="AG208" s="16"/>
      <c r="AM208" s="12">
        <f t="shared" si="30"/>
        <v>0</v>
      </c>
      <c r="AN208" s="13">
        <f t="shared" si="31"/>
        <v>451569</v>
      </c>
    </row>
    <row r="209" spans="1:40" x14ac:dyDescent="0.25">
      <c r="A209">
        <v>204</v>
      </c>
      <c r="B209" t="s">
        <v>234</v>
      </c>
      <c r="C209" t="s">
        <v>25</v>
      </c>
      <c r="D209" t="s">
        <v>16</v>
      </c>
      <c r="F209" s="514">
        <f>+'29'!F209+'30'!F209+'31'!F209</f>
        <v>0</v>
      </c>
      <c r="G209" s="12">
        <f>+'29'!G209+'30'!G209+'31'!G209</f>
        <v>0</v>
      </c>
      <c r="H209" s="12">
        <f>+'29'!H209+'30'!H209+'31'!H209</f>
        <v>0</v>
      </c>
      <c r="I209" s="271"/>
      <c r="J209" s="514">
        <f>+'29'!J209+'30'!J209+'31'!J209</f>
        <v>0</v>
      </c>
      <c r="K209" s="12">
        <f>+'29'!K209+'30'!K209+'31'!K209</f>
        <v>0</v>
      </c>
      <c r="L209" s="12">
        <f>+'29'!L209+'30'!L209+'31'!L209</f>
        <v>0</v>
      </c>
      <c r="M209" s="271"/>
      <c r="N209" s="514">
        <f>+'29'!N209+'30'!N209+'31'!N209</f>
        <v>0</v>
      </c>
      <c r="O209" s="12">
        <f>+'29'!O209+'30'!O209+'31'!O209</f>
        <v>0</v>
      </c>
      <c r="P209" s="12">
        <f>+'29'!P209+'30'!P209+'31'!P209</f>
        <v>0</v>
      </c>
      <c r="Q209" s="532"/>
      <c r="R209" s="270">
        <v>0</v>
      </c>
      <c r="S209" s="12">
        <v>0</v>
      </c>
      <c r="T209" s="12">
        <v>0</v>
      </c>
      <c r="U209" s="271"/>
      <c r="V209" s="533">
        <f t="shared" si="25"/>
        <v>0</v>
      </c>
      <c r="W209" s="533">
        <f t="shared" si="26"/>
        <v>0</v>
      </c>
      <c r="X209" s="257"/>
      <c r="Y209" s="261">
        <f t="shared" si="27"/>
        <v>0</v>
      </c>
      <c r="Z209" s="12">
        <f t="shared" si="28"/>
        <v>0</v>
      </c>
      <c r="AB209" s="13">
        <f t="shared" si="24"/>
        <v>0</v>
      </c>
      <c r="AD209" s="16"/>
      <c r="AF209" s="13">
        <f t="shared" si="29"/>
        <v>0</v>
      </c>
      <c r="AG209" s="16"/>
      <c r="AM209" s="12">
        <f t="shared" si="30"/>
        <v>0</v>
      </c>
      <c r="AN209" s="13">
        <f t="shared" si="31"/>
        <v>0</v>
      </c>
    </row>
    <row r="210" spans="1:40" x14ac:dyDescent="0.25">
      <c r="A210">
        <v>205</v>
      </c>
      <c r="B210" t="s">
        <v>235</v>
      </c>
      <c r="C210" t="s">
        <v>92</v>
      </c>
      <c r="D210" t="s">
        <v>16</v>
      </c>
      <c r="F210" s="514">
        <f>+'29'!F210+'30'!F210+'31'!F210</f>
        <v>191</v>
      </c>
      <c r="G210" s="12">
        <f>+'29'!G210+'30'!G210+'31'!G210</f>
        <v>1203750.32</v>
      </c>
      <c r="H210" s="12">
        <f>+'29'!H210+'30'!H210+'31'!H210</f>
        <v>3820</v>
      </c>
      <c r="I210" s="271"/>
      <c r="J210" s="514">
        <f>+'29'!J210+'30'!J210+'31'!J210</f>
        <v>0</v>
      </c>
      <c r="K210" s="12">
        <f>+'29'!K210+'30'!K210+'31'!K210</f>
        <v>0</v>
      </c>
      <c r="L210" s="12">
        <f>+'29'!L210+'30'!L210+'31'!L210</f>
        <v>0</v>
      </c>
      <c r="M210" s="271"/>
      <c r="N210" s="514">
        <f>+'29'!N210+'30'!N210+'31'!N210</f>
        <v>191</v>
      </c>
      <c r="O210" s="12">
        <f>+'29'!O210+'30'!O210+'31'!O210</f>
        <v>1203750.32</v>
      </c>
      <c r="P210" s="12">
        <f>+'29'!P210+'30'!P210+'31'!P210</f>
        <v>3820</v>
      </c>
      <c r="Q210" s="532"/>
      <c r="R210" s="270">
        <v>191</v>
      </c>
      <c r="S210" s="12">
        <v>1203750.32</v>
      </c>
      <c r="T210" s="12">
        <v>0</v>
      </c>
      <c r="U210" s="271"/>
      <c r="V210" s="533">
        <f t="shared" si="25"/>
        <v>0</v>
      </c>
      <c r="W210" s="533">
        <f t="shared" si="26"/>
        <v>0</v>
      </c>
      <c r="X210" s="257"/>
      <c r="Y210" s="261">
        <f t="shared" si="27"/>
        <v>0</v>
      </c>
      <c r="Z210" s="12">
        <f t="shared" si="28"/>
        <v>0</v>
      </c>
      <c r="AB210" s="13">
        <f t="shared" si="24"/>
        <v>1203750.32</v>
      </c>
      <c r="AF210" s="13">
        <f t="shared" si="29"/>
        <v>1203750.32</v>
      </c>
      <c r="AM210" s="12">
        <f t="shared" si="30"/>
        <v>0</v>
      </c>
      <c r="AN210" s="13">
        <f t="shared" si="31"/>
        <v>1203750.32</v>
      </c>
    </row>
    <row r="211" spans="1:40" x14ac:dyDescent="0.25">
      <c r="A211">
        <v>206</v>
      </c>
      <c r="B211" t="s">
        <v>3166</v>
      </c>
      <c r="C211" t="s">
        <v>18</v>
      </c>
      <c r="D211" t="s">
        <v>40</v>
      </c>
      <c r="F211" s="514">
        <f>+'29'!F211+'30'!F211+'31'!F211</f>
        <v>2</v>
      </c>
      <c r="G211" s="12">
        <f>+'29'!G211+'30'!G211+'31'!G211</f>
        <v>250000</v>
      </c>
      <c r="H211" s="12">
        <f>+'29'!H211+'30'!H211+'31'!H211</f>
        <v>250</v>
      </c>
      <c r="I211" s="271"/>
      <c r="J211" s="514">
        <f>+'29'!J211+'30'!J211+'31'!J211</f>
        <v>0</v>
      </c>
      <c r="K211" s="12">
        <f>+'29'!K211+'30'!K211+'31'!K211</f>
        <v>0</v>
      </c>
      <c r="L211" s="12">
        <f>+'29'!L211+'30'!L211+'31'!L211</f>
        <v>0</v>
      </c>
      <c r="M211" s="271"/>
      <c r="N211" s="514">
        <f>+'29'!N211+'30'!N211+'31'!N211</f>
        <v>2</v>
      </c>
      <c r="O211" s="12">
        <f>+'29'!O211+'30'!O211+'31'!O211</f>
        <v>250000</v>
      </c>
      <c r="P211" s="12">
        <f>+'29'!P211+'30'!P211+'31'!P211</f>
        <v>250</v>
      </c>
      <c r="Q211" s="532"/>
      <c r="R211" s="270">
        <v>2</v>
      </c>
      <c r="S211" s="12">
        <v>250000</v>
      </c>
      <c r="T211" s="12">
        <v>0</v>
      </c>
      <c r="U211" s="271"/>
      <c r="V211" s="533">
        <f t="shared" si="25"/>
        <v>0</v>
      </c>
      <c r="W211" s="533">
        <f t="shared" si="26"/>
        <v>0</v>
      </c>
      <c r="X211" s="257"/>
      <c r="Y211" s="261">
        <f t="shared" si="27"/>
        <v>0</v>
      </c>
      <c r="Z211" s="12">
        <f t="shared" si="28"/>
        <v>0</v>
      </c>
      <c r="AB211" s="13">
        <f t="shared" si="24"/>
        <v>250000</v>
      </c>
      <c r="AF211" s="13">
        <f t="shared" si="29"/>
        <v>250000</v>
      </c>
      <c r="AM211" s="12">
        <f t="shared" si="30"/>
        <v>0</v>
      </c>
      <c r="AN211" s="13">
        <f t="shared" si="31"/>
        <v>250000</v>
      </c>
    </row>
    <row r="212" spans="1:40" x14ac:dyDescent="0.25">
      <c r="A212">
        <v>207</v>
      </c>
      <c r="B212" t="s">
        <v>236</v>
      </c>
      <c r="C212" t="s">
        <v>18</v>
      </c>
      <c r="D212" t="s">
        <v>20</v>
      </c>
      <c r="F212" s="514">
        <f>+'29'!F212+'30'!F212+'31'!F212</f>
        <v>5</v>
      </c>
      <c r="G212" s="12">
        <f>+'29'!G212+'30'!G212+'31'!G212</f>
        <v>14500</v>
      </c>
      <c r="H212" s="12">
        <f>+'29'!H212+'30'!H212+'31'!H212</f>
        <v>125</v>
      </c>
      <c r="I212" s="271"/>
      <c r="J212" s="514">
        <f>+'29'!J212+'30'!J212+'31'!J212</f>
        <v>0</v>
      </c>
      <c r="K212" s="12">
        <f>+'29'!K212+'30'!K212+'31'!K212</f>
        <v>0</v>
      </c>
      <c r="L212" s="12">
        <f>+'29'!L212+'30'!L212+'31'!L212</f>
        <v>0</v>
      </c>
      <c r="M212" s="271"/>
      <c r="N212" s="514">
        <f>+'29'!N212+'30'!N212+'31'!N212</f>
        <v>5</v>
      </c>
      <c r="O212" s="12">
        <f>+'29'!O212+'30'!O212+'31'!O212</f>
        <v>14500</v>
      </c>
      <c r="P212" s="12">
        <f>+'29'!P212+'30'!P212+'31'!P212</f>
        <v>125</v>
      </c>
      <c r="Q212" s="532"/>
      <c r="R212" s="270">
        <v>5</v>
      </c>
      <c r="S212" s="12">
        <v>14375</v>
      </c>
      <c r="T212" s="12">
        <v>125</v>
      </c>
      <c r="U212" s="271"/>
      <c r="V212" s="533">
        <f t="shared" si="25"/>
        <v>0</v>
      </c>
      <c r="W212" s="533">
        <f t="shared" si="26"/>
        <v>125</v>
      </c>
      <c r="X212" s="257"/>
      <c r="Y212" s="261">
        <f t="shared" si="27"/>
        <v>0</v>
      </c>
      <c r="Z212" s="12">
        <f t="shared" si="28"/>
        <v>125</v>
      </c>
      <c r="AB212" s="13">
        <f t="shared" si="24"/>
        <v>14500</v>
      </c>
      <c r="AF212" s="13">
        <f t="shared" si="29"/>
        <v>14500</v>
      </c>
      <c r="AM212" s="12">
        <f t="shared" si="30"/>
        <v>0</v>
      </c>
      <c r="AN212" s="13">
        <f t="shared" si="31"/>
        <v>14500</v>
      </c>
    </row>
    <row r="213" spans="1:40" x14ac:dyDescent="0.25">
      <c r="A213">
        <v>208</v>
      </c>
      <c r="B213" t="s">
        <v>237</v>
      </c>
      <c r="C213" t="s">
        <v>18</v>
      </c>
      <c r="D213" t="s">
        <v>20</v>
      </c>
      <c r="F213" s="514">
        <f>+'29'!F213+'30'!F213+'31'!F213</f>
        <v>10</v>
      </c>
      <c r="G213" s="12">
        <f>+'29'!G213+'30'!G213+'31'!G213</f>
        <v>21813</v>
      </c>
      <c r="H213" s="12">
        <f>+'29'!H213+'30'!H213+'31'!H213</f>
        <v>250</v>
      </c>
      <c r="I213" s="271"/>
      <c r="J213" s="514">
        <f>+'29'!J213+'30'!J213+'31'!J213</f>
        <v>0</v>
      </c>
      <c r="K213" s="12">
        <f>+'29'!K213+'30'!K213+'31'!K213</f>
        <v>0</v>
      </c>
      <c r="L213" s="12">
        <f>+'29'!L213+'30'!L213+'31'!L213</f>
        <v>0</v>
      </c>
      <c r="M213" s="271"/>
      <c r="N213" s="514">
        <f>+'29'!N213+'30'!N213+'31'!N213</f>
        <v>10</v>
      </c>
      <c r="O213" s="12">
        <f>+'29'!O213+'30'!O213+'31'!O213</f>
        <v>21813</v>
      </c>
      <c r="P213" s="12">
        <f>+'29'!P213+'30'!P213+'31'!P213</f>
        <v>250</v>
      </c>
      <c r="Q213" s="532"/>
      <c r="R213" s="270">
        <v>10</v>
      </c>
      <c r="S213" s="12">
        <v>21563</v>
      </c>
      <c r="T213" s="12">
        <v>250</v>
      </c>
      <c r="U213" s="271"/>
      <c r="V213" s="533">
        <f t="shared" si="25"/>
        <v>0</v>
      </c>
      <c r="W213" s="533">
        <f t="shared" si="26"/>
        <v>250</v>
      </c>
      <c r="X213" s="257"/>
      <c r="Y213" s="261">
        <f t="shared" si="27"/>
        <v>0</v>
      </c>
      <c r="Z213" s="12">
        <f t="shared" si="28"/>
        <v>250</v>
      </c>
      <c r="AB213" s="13">
        <f t="shared" si="24"/>
        <v>21813</v>
      </c>
      <c r="AF213" s="13">
        <f t="shared" si="29"/>
        <v>21813</v>
      </c>
      <c r="AM213" s="12">
        <f t="shared" si="30"/>
        <v>0</v>
      </c>
      <c r="AN213" s="13">
        <f t="shared" si="31"/>
        <v>21813</v>
      </c>
    </row>
    <row r="214" spans="1:40" x14ac:dyDescent="0.25">
      <c r="A214">
        <v>209</v>
      </c>
      <c r="B214" t="s">
        <v>238</v>
      </c>
      <c r="C214" t="s">
        <v>18</v>
      </c>
      <c r="D214" t="s">
        <v>20</v>
      </c>
      <c r="F214" s="514">
        <f>+'29'!F214+'30'!F214+'31'!F214</f>
        <v>8</v>
      </c>
      <c r="G214" s="12">
        <f>+'29'!G214+'30'!G214+'31'!G214</f>
        <v>62772</v>
      </c>
      <c r="H214" s="12">
        <f>+'29'!H214+'30'!H214+'31'!H214</f>
        <v>225</v>
      </c>
      <c r="I214" s="271"/>
      <c r="J214" s="514">
        <f>+'29'!J214+'30'!J214+'31'!J214</f>
        <v>0</v>
      </c>
      <c r="K214" s="12">
        <f>+'29'!K214+'30'!K214+'31'!K214</f>
        <v>0</v>
      </c>
      <c r="L214" s="12">
        <f>+'29'!L214+'30'!L214+'31'!L214</f>
        <v>0</v>
      </c>
      <c r="M214" s="271"/>
      <c r="N214" s="514">
        <f>+'29'!N214+'30'!N214+'31'!N214</f>
        <v>8</v>
      </c>
      <c r="O214" s="12">
        <f>+'29'!O214+'30'!O214+'31'!O214</f>
        <v>62772</v>
      </c>
      <c r="P214" s="12">
        <f>+'29'!P214+'30'!P214+'31'!P214</f>
        <v>225</v>
      </c>
      <c r="Q214" s="532"/>
      <c r="R214" s="270">
        <v>8</v>
      </c>
      <c r="S214" s="12">
        <v>62547</v>
      </c>
      <c r="T214" s="12">
        <v>225</v>
      </c>
      <c r="U214" s="271"/>
      <c r="V214" s="533">
        <f t="shared" si="25"/>
        <v>0</v>
      </c>
      <c r="W214" s="533">
        <f t="shared" si="26"/>
        <v>225</v>
      </c>
      <c r="X214" s="257"/>
      <c r="Y214" s="261">
        <f t="shared" si="27"/>
        <v>0</v>
      </c>
      <c r="Z214" s="12">
        <f t="shared" si="28"/>
        <v>225</v>
      </c>
      <c r="AB214" s="13">
        <f t="shared" si="24"/>
        <v>62772</v>
      </c>
      <c r="AF214" s="13">
        <f t="shared" si="29"/>
        <v>62772</v>
      </c>
      <c r="AM214" s="12">
        <f t="shared" si="30"/>
        <v>0</v>
      </c>
      <c r="AN214" s="13">
        <f t="shared" si="31"/>
        <v>62772</v>
      </c>
    </row>
    <row r="215" spans="1:40" x14ac:dyDescent="0.25">
      <c r="A215">
        <v>210</v>
      </c>
      <c r="B215" t="s">
        <v>239</v>
      </c>
      <c r="C215" t="s">
        <v>18</v>
      </c>
      <c r="D215" t="s">
        <v>20</v>
      </c>
      <c r="F215" s="514">
        <f>+'29'!F215+'30'!F215+'31'!F215</f>
        <v>12</v>
      </c>
      <c r="G215" s="12">
        <f>+'29'!G215+'30'!G215+'31'!G215</f>
        <v>36611.799999999996</v>
      </c>
      <c r="H215" s="12">
        <f>+'29'!H215+'30'!H215+'31'!H215</f>
        <v>300</v>
      </c>
      <c r="I215" s="271"/>
      <c r="J215" s="514">
        <f>+'29'!J215+'30'!J215+'31'!J215</f>
        <v>0</v>
      </c>
      <c r="K215" s="12">
        <f>+'29'!K215+'30'!K215+'31'!K215</f>
        <v>0</v>
      </c>
      <c r="L215" s="12">
        <f>+'29'!L215+'30'!L215+'31'!L215</f>
        <v>0</v>
      </c>
      <c r="M215" s="271"/>
      <c r="N215" s="514">
        <f>+'29'!N215+'30'!N215+'31'!N215</f>
        <v>12</v>
      </c>
      <c r="O215" s="12">
        <f>+'29'!O215+'30'!O215+'31'!O215</f>
        <v>36611.799999999996</v>
      </c>
      <c r="P215" s="12">
        <f>+'29'!P215+'30'!P215+'31'!P215</f>
        <v>300</v>
      </c>
      <c r="Q215" s="532"/>
      <c r="R215" s="270">
        <v>12</v>
      </c>
      <c r="S215" s="12">
        <v>36311.800000000003</v>
      </c>
      <c r="T215" s="12">
        <v>300</v>
      </c>
      <c r="U215" s="271"/>
      <c r="V215" s="533">
        <f t="shared" si="25"/>
        <v>0</v>
      </c>
      <c r="W215" s="533">
        <f t="shared" si="26"/>
        <v>299.99999999999272</v>
      </c>
      <c r="X215" s="257"/>
      <c r="Y215" s="261">
        <f t="shared" si="27"/>
        <v>0</v>
      </c>
      <c r="Z215" s="12">
        <f t="shared" si="28"/>
        <v>299.99999999999272</v>
      </c>
      <c r="AB215" s="13">
        <f t="shared" si="24"/>
        <v>36611.799999999996</v>
      </c>
      <c r="AF215" s="13">
        <f t="shared" si="29"/>
        <v>36611.799999999996</v>
      </c>
      <c r="AM215" s="12">
        <f t="shared" si="30"/>
        <v>0</v>
      </c>
      <c r="AN215" s="13">
        <f t="shared" si="31"/>
        <v>36611.799999999996</v>
      </c>
    </row>
    <row r="216" spans="1:40" x14ac:dyDescent="0.25">
      <c r="A216">
        <v>211</v>
      </c>
      <c r="B216" t="s">
        <v>240</v>
      </c>
      <c r="C216" t="s">
        <v>18</v>
      </c>
      <c r="D216" t="s">
        <v>20</v>
      </c>
      <c r="F216" s="514">
        <f>+'29'!F216+'30'!F216+'31'!F216</f>
        <v>1</v>
      </c>
      <c r="G216" s="12">
        <f>+'29'!G216+'30'!G216+'31'!G216</f>
        <v>4738</v>
      </c>
      <c r="H216" s="12">
        <f>+'29'!H216+'30'!H216+'31'!H216</f>
        <v>25</v>
      </c>
      <c r="I216" s="271"/>
      <c r="J216" s="514">
        <f>+'29'!J216+'30'!J216+'31'!J216</f>
        <v>0</v>
      </c>
      <c r="K216" s="12">
        <f>+'29'!K216+'30'!K216+'31'!K216</f>
        <v>0</v>
      </c>
      <c r="L216" s="12">
        <f>+'29'!L216+'30'!L216+'31'!L216</f>
        <v>0</v>
      </c>
      <c r="M216" s="271"/>
      <c r="N216" s="514">
        <f>+'29'!N216+'30'!N216+'31'!N216</f>
        <v>1</v>
      </c>
      <c r="O216" s="12">
        <f>+'29'!O216+'30'!O216+'31'!O216</f>
        <v>4738</v>
      </c>
      <c r="P216" s="12">
        <f>+'29'!P216+'30'!P216+'31'!P216</f>
        <v>25</v>
      </c>
      <c r="Q216" s="532"/>
      <c r="R216" s="270">
        <v>1</v>
      </c>
      <c r="S216" s="12">
        <v>4713</v>
      </c>
      <c r="T216" s="12">
        <v>25</v>
      </c>
      <c r="U216" s="271"/>
      <c r="V216" s="533">
        <f t="shared" si="25"/>
        <v>0</v>
      </c>
      <c r="W216" s="533">
        <f t="shared" si="26"/>
        <v>25</v>
      </c>
      <c r="X216" s="257"/>
      <c r="Y216" s="261">
        <f t="shared" si="27"/>
        <v>0</v>
      </c>
      <c r="Z216" s="12">
        <f t="shared" si="28"/>
        <v>25</v>
      </c>
      <c r="AB216" s="13">
        <f t="shared" si="24"/>
        <v>4738</v>
      </c>
      <c r="AF216" s="13">
        <f t="shared" si="29"/>
        <v>4738</v>
      </c>
      <c r="AM216" s="12">
        <f t="shared" si="30"/>
        <v>0</v>
      </c>
      <c r="AN216" s="13">
        <f t="shared" si="31"/>
        <v>4738</v>
      </c>
    </row>
    <row r="217" spans="1:40" x14ac:dyDescent="0.25">
      <c r="A217">
        <v>212</v>
      </c>
      <c r="B217" t="s">
        <v>241</v>
      </c>
      <c r="C217" t="s">
        <v>242</v>
      </c>
      <c r="D217" t="s">
        <v>16</v>
      </c>
      <c r="F217" s="514">
        <f>+'29'!F217+'30'!F217+'31'!F217</f>
        <v>2</v>
      </c>
      <c r="G217" s="12">
        <f>+'29'!G217+'30'!G217+'31'!G217</f>
        <v>3755.28</v>
      </c>
      <c r="H217" s="12">
        <f>+'29'!H217+'30'!H217+'31'!H217</f>
        <v>16</v>
      </c>
      <c r="I217" s="271"/>
      <c r="J217" s="514">
        <f>+'29'!J217+'30'!J217+'31'!J217</f>
        <v>0</v>
      </c>
      <c r="K217" s="12">
        <f>+'29'!K217+'30'!K217+'31'!K217</f>
        <v>0</v>
      </c>
      <c r="L217" s="12">
        <f>+'29'!L217+'30'!L217+'31'!L217</f>
        <v>0</v>
      </c>
      <c r="M217" s="271"/>
      <c r="N217" s="514">
        <f>+'29'!N217+'30'!N217+'31'!N217</f>
        <v>2</v>
      </c>
      <c r="O217" s="12">
        <f>+'29'!O217+'30'!O217+'31'!O217</f>
        <v>3755.28</v>
      </c>
      <c r="P217" s="12">
        <f>+'29'!P217+'30'!P217+'31'!P217</f>
        <v>16</v>
      </c>
      <c r="Q217" s="532"/>
      <c r="R217" s="270">
        <v>2</v>
      </c>
      <c r="S217" s="12">
        <v>3755.28</v>
      </c>
      <c r="T217" s="12">
        <v>0</v>
      </c>
      <c r="U217" s="271"/>
      <c r="V217" s="533">
        <f t="shared" si="25"/>
        <v>0</v>
      </c>
      <c r="W217" s="533">
        <f t="shared" si="26"/>
        <v>0</v>
      </c>
      <c r="X217" s="257"/>
      <c r="Y217" s="261">
        <f t="shared" si="27"/>
        <v>0</v>
      </c>
      <c r="Z217" s="12">
        <f t="shared" si="28"/>
        <v>0</v>
      </c>
      <c r="AB217" s="13">
        <f t="shared" si="24"/>
        <v>3755.28</v>
      </c>
      <c r="AF217" s="13">
        <f t="shared" si="29"/>
        <v>3755.28</v>
      </c>
      <c r="AM217" s="12">
        <f t="shared" si="30"/>
        <v>0</v>
      </c>
      <c r="AN217" s="13">
        <f t="shared" si="31"/>
        <v>3755.28</v>
      </c>
    </row>
    <row r="218" spans="1:40" x14ac:dyDescent="0.25">
      <c r="A218">
        <v>213</v>
      </c>
      <c r="B218" t="s">
        <v>243</v>
      </c>
      <c r="C218" t="s">
        <v>108</v>
      </c>
      <c r="D218" t="s">
        <v>16</v>
      </c>
      <c r="F218" s="514">
        <f>+'29'!F218+'30'!F218+'31'!F218</f>
        <v>321</v>
      </c>
      <c r="G218" s="12">
        <f>+'29'!G218+'30'!G218+'31'!G218</f>
        <v>206448.13</v>
      </c>
      <c r="H218" s="12">
        <f>+'29'!H218+'30'!H218+'31'!H218</f>
        <v>1605</v>
      </c>
      <c r="I218" s="271"/>
      <c r="J218" s="514">
        <f>+'29'!J218+'30'!J218+'31'!J218</f>
        <v>0</v>
      </c>
      <c r="K218" s="12">
        <f>+'29'!K218+'30'!K218+'31'!K218</f>
        <v>0</v>
      </c>
      <c r="L218" s="12">
        <f>+'29'!L218+'30'!L218+'31'!L218</f>
        <v>0</v>
      </c>
      <c r="M218" s="271"/>
      <c r="N218" s="514">
        <f>+'29'!N218+'30'!N218+'31'!N218</f>
        <v>321</v>
      </c>
      <c r="O218" s="12">
        <f>+'29'!O218+'30'!O218+'31'!O218</f>
        <v>206448.13</v>
      </c>
      <c r="P218" s="12">
        <f>+'29'!P218+'30'!P218+'31'!P218</f>
        <v>1605</v>
      </c>
      <c r="Q218" s="532"/>
      <c r="R218" s="270">
        <v>321</v>
      </c>
      <c r="S218" s="12">
        <v>206448.13</v>
      </c>
      <c r="T218" s="12">
        <v>0</v>
      </c>
      <c r="U218" s="271"/>
      <c r="V218" s="533">
        <f t="shared" si="25"/>
        <v>0</v>
      </c>
      <c r="W218" s="533">
        <f t="shared" si="26"/>
        <v>0</v>
      </c>
      <c r="X218" s="257"/>
      <c r="Y218" s="261">
        <f t="shared" si="27"/>
        <v>0</v>
      </c>
      <c r="Z218" s="12">
        <f t="shared" si="28"/>
        <v>0</v>
      </c>
      <c r="AB218" s="13">
        <f t="shared" si="24"/>
        <v>206448.13</v>
      </c>
      <c r="AF218" s="13">
        <f t="shared" si="29"/>
        <v>206448.13</v>
      </c>
      <c r="AM218" s="12">
        <f t="shared" si="30"/>
        <v>0</v>
      </c>
      <c r="AN218" s="13">
        <f t="shared" si="31"/>
        <v>206448.13</v>
      </c>
    </row>
    <row r="219" spans="1:40" x14ac:dyDescent="0.25">
      <c r="A219">
        <v>214</v>
      </c>
      <c r="B219" t="s">
        <v>244</v>
      </c>
      <c r="C219" t="s">
        <v>92</v>
      </c>
      <c r="D219" t="s">
        <v>45</v>
      </c>
      <c r="F219" s="514">
        <f>+'29'!F219+'30'!F219+'31'!F219</f>
        <v>1532</v>
      </c>
      <c r="G219" s="12">
        <f>+'29'!G219+'30'!G219+'31'!G219</f>
        <v>50234008.459999993</v>
      </c>
      <c r="H219" s="12">
        <f>+'29'!H219+'30'!H219+'31'!H219</f>
        <v>45960</v>
      </c>
      <c r="I219" s="271"/>
      <c r="J219" s="514">
        <f>+'29'!J219+'30'!J219+'31'!J219</f>
        <v>0</v>
      </c>
      <c r="K219" s="12">
        <f>+'29'!K219+'30'!K219+'31'!K219</f>
        <v>0</v>
      </c>
      <c r="L219" s="12">
        <f>+'29'!L219+'30'!L219+'31'!L219</f>
        <v>0</v>
      </c>
      <c r="M219" s="271"/>
      <c r="N219" s="514">
        <f>+'29'!N219+'30'!N219+'31'!N219</f>
        <v>1532</v>
      </c>
      <c r="O219" s="12">
        <f>+'29'!O219+'30'!O219+'31'!O219</f>
        <v>50234008.459999993</v>
      </c>
      <c r="P219" s="12">
        <f>+'29'!P219+'30'!P219+'31'!P219</f>
        <v>45960</v>
      </c>
      <c r="Q219" s="532"/>
      <c r="R219" s="270">
        <v>1532</v>
      </c>
      <c r="S219" s="12">
        <v>50234008.460000001</v>
      </c>
      <c r="T219" s="12">
        <v>0</v>
      </c>
      <c r="U219" s="271"/>
      <c r="V219" s="533">
        <f t="shared" si="25"/>
        <v>0</v>
      </c>
      <c r="W219" s="533">
        <f t="shared" si="26"/>
        <v>0</v>
      </c>
      <c r="X219" s="257"/>
      <c r="Y219" s="261">
        <f t="shared" si="27"/>
        <v>0</v>
      </c>
      <c r="Z219" s="12">
        <f t="shared" si="28"/>
        <v>0</v>
      </c>
      <c r="AB219" s="13">
        <f t="shared" si="24"/>
        <v>50234008.459999993</v>
      </c>
      <c r="AD219" s="16">
        <v>699305.36</v>
      </c>
      <c r="AF219" s="13">
        <f t="shared" si="29"/>
        <v>49534703.099999994</v>
      </c>
      <c r="AG219" s="16">
        <v>369865.17857142858</v>
      </c>
      <c r="AM219" s="12">
        <f t="shared" si="30"/>
        <v>369865.17857142858</v>
      </c>
      <c r="AN219" s="13">
        <f t="shared" si="31"/>
        <v>49164837.921428569</v>
      </c>
    </row>
    <row r="220" spans="1:40" x14ac:dyDescent="0.25">
      <c r="A220">
        <v>215</v>
      </c>
      <c r="B220" t="s">
        <v>245</v>
      </c>
      <c r="C220" t="s">
        <v>15</v>
      </c>
      <c r="D220" t="s">
        <v>16</v>
      </c>
      <c r="F220" s="514">
        <f>+'29'!F220+'30'!F220+'31'!F220</f>
        <v>418</v>
      </c>
      <c r="G220" s="12">
        <f>+'29'!G220+'30'!G220+'31'!G220</f>
        <v>7592796.21</v>
      </c>
      <c r="H220" s="12">
        <f>+'29'!H220+'30'!H220+'31'!H220</f>
        <v>8480</v>
      </c>
      <c r="I220" s="271"/>
      <c r="J220" s="514">
        <f>+'29'!J220+'30'!J220+'31'!J220</f>
        <v>-1</v>
      </c>
      <c r="K220" s="12">
        <f>+'29'!K220+'30'!K220+'31'!K220</f>
        <v>-1395</v>
      </c>
      <c r="L220" s="12">
        <f>+'29'!L220+'30'!L220+'31'!L220</f>
        <v>-20</v>
      </c>
      <c r="M220" s="271"/>
      <c r="N220" s="514">
        <f>+'29'!N220+'30'!N220+'31'!N220</f>
        <v>417</v>
      </c>
      <c r="O220" s="12">
        <f>+'29'!O220+'30'!O220+'31'!O220</f>
        <v>7591401.21</v>
      </c>
      <c r="P220" s="12">
        <f>+'29'!P220+'30'!P220+'31'!P220</f>
        <v>8460</v>
      </c>
      <c r="Q220" s="532"/>
      <c r="R220" s="270">
        <v>417</v>
      </c>
      <c r="S220" s="12">
        <v>7591401.21</v>
      </c>
      <c r="T220" s="12">
        <v>0</v>
      </c>
      <c r="U220" s="271"/>
      <c r="V220" s="533">
        <f t="shared" si="25"/>
        <v>0</v>
      </c>
      <c r="W220" s="533">
        <f t="shared" si="26"/>
        <v>0</v>
      </c>
      <c r="X220" s="257"/>
      <c r="Y220" s="261">
        <f t="shared" si="27"/>
        <v>0</v>
      </c>
      <c r="Z220" s="12">
        <f t="shared" si="28"/>
        <v>0</v>
      </c>
      <c r="AB220" s="13">
        <f t="shared" si="24"/>
        <v>7591401.21</v>
      </c>
      <c r="AD220" s="16"/>
      <c r="AF220" s="13">
        <f t="shared" si="29"/>
        <v>7591401.21</v>
      </c>
      <c r="AM220" s="12">
        <f t="shared" si="30"/>
        <v>0</v>
      </c>
      <c r="AN220" s="13">
        <f t="shared" si="31"/>
        <v>7591401.21</v>
      </c>
    </row>
    <row r="221" spans="1:40" x14ac:dyDescent="0.25">
      <c r="A221">
        <v>216</v>
      </c>
      <c r="B221" t="s">
        <v>246</v>
      </c>
      <c r="C221" t="s">
        <v>18</v>
      </c>
      <c r="D221" t="s">
        <v>16</v>
      </c>
      <c r="F221" s="514">
        <f>+'29'!F221+'30'!F221+'31'!F221</f>
        <v>0</v>
      </c>
      <c r="G221" s="12">
        <f>+'29'!G221+'30'!G221+'31'!G221</f>
        <v>0</v>
      </c>
      <c r="H221" s="12">
        <f>+'29'!H221+'30'!H221+'31'!H221</f>
        <v>0</v>
      </c>
      <c r="I221" s="271"/>
      <c r="J221" s="514">
        <f>+'29'!J221+'30'!J221+'31'!J221</f>
        <v>0</v>
      </c>
      <c r="K221" s="12">
        <f>+'29'!K221+'30'!K221+'31'!K221</f>
        <v>0</v>
      </c>
      <c r="L221" s="12">
        <f>+'29'!L221+'30'!L221+'31'!L221</f>
        <v>0</v>
      </c>
      <c r="M221" s="271"/>
      <c r="N221" s="514">
        <f>+'29'!N221+'30'!N221+'31'!N221</f>
        <v>0</v>
      </c>
      <c r="O221" s="12">
        <f>+'29'!O221+'30'!O221+'31'!O221</f>
        <v>0</v>
      </c>
      <c r="P221" s="12">
        <f>+'29'!P221+'30'!P221+'31'!P221</f>
        <v>0</v>
      </c>
      <c r="Q221" s="532"/>
      <c r="R221" s="270">
        <v>0</v>
      </c>
      <c r="S221" s="12">
        <v>0</v>
      </c>
      <c r="T221" s="12">
        <v>0</v>
      </c>
      <c r="U221" s="271"/>
      <c r="V221" s="533">
        <f t="shared" si="25"/>
        <v>0</v>
      </c>
      <c r="W221" s="533">
        <f t="shared" si="26"/>
        <v>0</v>
      </c>
      <c r="X221" s="257"/>
      <c r="Y221" s="261">
        <f t="shared" si="27"/>
        <v>0</v>
      </c>
      <c r="Z221" s="12">
        <f t="shared" si="28"/>
        <v>0</v>
      </c>
      <c r="AB221" s="13">
        <f t="shared" si="24"/>
        <v>0</v>
      </c>
      <c r="AF221" s="13">
        <f t="shared" si="29"/>
        <v>0</v>
      </c>
      <c r="AM221" s="12">
        <f t="shared" si="30"/>
        <v>0</v>
      </c>
      <c r="AN221" s="13">
        <f t="shared" si="31"/>
        <v>0</v>
      </c>
    </row>
    <row r="222" spans="1:40" x14ac:dyDescent="0.25">
      <c r="A222">
        <v>217</v>
      </c>
      <c r="B222" t="s">
        <v>247</v>
      </c>
      <c r="C222" t="s">
        <v>15</v>
      </c>
      <c r="D222" t="s">
        <v>43</v>
      </c>
      <c r="F222" s="514">
        <f>+'29'!F222+'30'!F222+'31'!F222</f>
        <v>527</v>
      </c>
      <c r="G222" s="12">
        <f>+'29'!G222+'30'!G222+'31'!G222</f>
        <v>696128.98</v>
      </c>
      <c r="H222" s="12">
        <f>+'29'!H222+'30'!H222+'31'!H222</f>
        <v>5270</v>
      </c>
      <c r="I222" s="271"/>
      <c r="J222" s="514">
        <f>+'29'!J222+'30'!J222+'31'!J222</f>
        <v>0</v>
      </c>
      <c r="K222" s="12">
        <f>+'29'!K222+'30'!K222+'31'!K222</f>
        <v>0</v>
      </c>
      <c r="L222" s="12">
        <f>+'29'!L222+'30'!L222+'31'!L222</f>
        <v>0</v>
      </c>
      <c r="M222" s="271"/>
      <c r="N222" s="514">
        <f>+'29'!N222+'30'!N222+'31'!N222</f>
        <v>527</v>
      </c>
      <c r="O222" s="12">
        <f>+'29'!O222+'30'!O222+'31'!O222</f>
        <v>696128.98</v>
      </c>
      <c r="P222" s="12">
        <f>+'29'!P222+'30'!P222+'31'!P222</f>
        <v>5270</v>
      </c>
      <c r="Q222" s="532"/>
      <c r="R222" s="270">
        <v>527</v>
      </c>
      <c r="S222" s="12">
        <v>696128.98</v>
      </c>
      <c r="T222" s="12">
        <v>0</v>
      </c>
      <c r="U222" s="271"/>
      <c r="V222" s="533">
        <f t="shared" si="25"/>
        <v>0</v>
      </c>
      <c r="W222" s="533">
        <f t="shared" si="26"/>
        <v>0</v>
      </c>
      <c r="X222" s="257"/>
      <c r="Y222" s="261">
        <f t="shared" si="27"/>
        <v>0</v>
      </c>
      <c r="Z222" s="12">
        <f t="shared" si="28"/>
        <v>0</v>
      </c>
      <c r="AB222" s="13">
        <f t="shared" si="24"/>
        <v>696128.98</v>
      </c>
      <c r="AF222" s="13">
        <f t="shared" si="29"/>
        <v>696128.98</v>
      </c>
      <c r="AM222" s="12">
        <f t="shared" si="30"/>
        <v>0</v>
      </c>
      <c r="AN222" s="13">
        <f t="shared" si="31"/>
        <v>696128.98</v>
      </c>
    </row>
    <row r="223" spans="1:40" x14ac:dyDescent="0.25">
      <c r="A223">
        <v>218</v>
      </c>
      <c r="B223" t="s">
        <v>248</v>
      </c>
      <c r="C223" t="s">
        <v>15</v>
      </c>
      <c r="D223" t="s">
        <v>16</v>
      </c>
      <c r="F223" s="514">
        <f>+'29'!F223+'30'!F223+'31'!F223</f>
        <v>0</v>
      </c>
      <c r="G223" s="12">
        <f>+'29'!G223+'30'!G223+'31'!G223</f>
        <v>0</v>
      </c>
      <c r="H223" s="12">
        <f>+'29'!H223+'30'!H223+'31'!H223</f>
        <v>0</v>
      </c>
      <c r="I223" s="271"/>
      <c r="J223" s="514">
        <f>+'29'!J223+'30'!J223+'31'!J223</f>
        <v>0</v>
      </c>
      <c r="K223" s="12">
        <f>+'29'!K223+'30'!K223+'31'!K223</f>
        <v>0</v>
      </c>
      <c r="L223" s="12">
        <f>+'29'!L223+'30'!L223+'31'!L223</f>
        <v>0</v>
      </c>
      <c r="M223" s="271"/>
      <c r="N223" s="514">
        <f>+'29'!N223+'30'!N223+'31'!N223</f>
        <v>0</v>
      </c>
      <c r="O223" s="12">
        <f>+'29'!O223+'30'!O223+'31'!O223</f>
        <v>0</v>
      </c>
      <c r="P223" s="12">
        <f>+'29'!P223+'30'!P223+'31'!P223</f>
        <v>0</v>
      </c>
      <c r="Q223" s="532"/>
      <c r="R223" s="270">
        <v>0</v>
      </c>
      <c r="S223" s="12">
        <v>0</v>
      </c>
      <c r="T223" s="12">
        <v>0</v>
      </c>
      <c r="U223" s="271"/>
      <c r="V223" s="533">
        <f t="shared" si="25"/>
        <v>0</v>
      </c>
      <c r="W223" s="533">
        <f t="shared" si="26"/>
        <v>0</v>
      </c>
      <c r="X223" s="257"/>
      <c r="Y223" s="261">
        <f t="shared" si="27"/>
        <v>0</v>
      </c>
      <c r="Z223" s="12">
        <f t="shared" si="28"/>
        <v>0</v>
      </c>
      <c r="AB223" s="13">
        <f t="shared" si="24"/>
        <v>0</v>
      </c>
      <c r="AF223" s="13">
        <f t="shared" si="29"/>
        <v>0</v>
      </c>
      <c r="AG223" s="16"/>
      <c r="AM223" s="12">
        <f t="shared" si="30"/>
        <v>0</v>
      </c>
      <c r="AN223" s="13">
        <f t="shared" si="31"/>
        <v>0</v>
      </c>
    </row>
    <row r="224" spans="1:40" x14ac:dyDescent="0.25">
      <c r="A224">
        <v>219</v>
      </c>
      <c r="B224" t="s">
        <v>249</v>
      </c>
      <c r="C224" t="s">
        <v>15</v>
      </c>
      <c r="D224" t="s">
        <v>16</v>
      </c>
      <c r="F224" s="514">
        <f>+'29'!F224+'30'!F224+'31'!F224</f>
        <v>0</v>
      </c>
      <c r="G224" s="12">
        <f>+'29'!G224+'30'!G224+'31'!G224</f>
        <v>0</v>
      </c>
      <c r="H224" s="12">
        <f>+'29'!H224+'30'!H224+'31'!H224</f>
        <v>0</v>
      </c>
      <c r="I224" s="271"/>
      <c r="J224" s="514">
        <f>+'29'!J224+'30'!J224+'31'!J224</f>
        <v>0</v>
      </c>
      <c r="K224" s="12">
        <f>+'29'!K224+'30'!K224+'31'!K224</f>
        <v>0</v>
      </c>
      <c r="L224" s="12">
        <f>+'29'!L224+'30'!L224+'31'!L224</f>
        <v>0</v>
      </c>
      <c r="M224" s="271"/>
      <c r="N224" s="514">
        <f>+'29'!N224+'30'!N224+'31'!N224</f>
        <v>0</v>
      </c>
      <c r="O224" s="12">
        <f>+'29'!O224+'30'!O224+'31'!O224</f>
        <v>0</v>
      </c>
      <c r="P224" s="12">
        <f>+'29'!P224+'30'!P224+'31'!P224</f>
        <v>0</v>
      </c>
      <c r="Q224" s="532"/>
      <c r="R224" s="270">
        <v>0</v>
      </c>
      <c r="S224" s="12">
        <v>0</v>
      </c>
      <c r="T224" s="12">
        <v>0</v>
      </c>
      <c r="U224" s="271"/>
      <c r="V224" s="533">
        <f t="shared" si="25"/>
        <v>0</v>
      </c>
      <c r="W224" s="533">
        <f t="shared" si="26"/>
        <v>0</v>
      </c>
      <c r="X224" s="257"/>
      <c r="Y224" s="261">
        <f t="shared" si="27"/>
        <v>0</v>
      </c>
      <c r="Z224" s="12">
        <f t="shared" si="28"/>
        <v>0</v>
      </c>
      <c r="AB224" s="13">
        <f t="shared" si="24"/>
        <v>0</v>
      </c>
      <c r="AF224" s="13">
        <f t="shared" si="29"/>
        <v>0</v>
      </c>
      <c r="AM224" s="12">
        <f t="shared" si="30"/>
        <v>0</v>
      </c>
      <c r="AN224" s="13">
        <f t="shared" si="31"/>
        <v>0</v>
      </c>
    </row>
    <row r="225" spans="1:40" x14ac:dyDescent="0.25">
      <c r="A225">
        <v>220</v>
      </c>
      <c r="B225" t="s">
        <v>250</v>
      </c>
      <c r="C225" t="s">
        <v>18</v>
      </c>
      <c r="D225" t="s">
        <v>20</v>
      </c>
      <c r="F225" s="514">
        <f>+'29'!F225+'30'!F225+'31'!F225</f>
        <v>123</v>
      </c>
      <c r="G225" s="12">
        <f>+'29'!G225+'30'!G225+'31'!G225</f>
        <v>319499.19</v>
      </c>
      <c r="H225" s="12">
        <f>+'29'!H225+'30'!H225+'31'!H225</f>
        <v>2490</v>
      </c>
      <c r="I225" s="271"/>
      <c r="J225" s="514">
        <f>+'29'!J225+'30'!J225+'31'!J225</f>
        <v>0</v>
      </c>
      <c r="K225" s="12">
        <f>+'29'!K225+'30'!K225+'31'!K225</f>
        <v>0</v>
      </c>
      <c r="L225" s="12">
        <f>+'29'!L225+'30'!L225+'31'!L225</f>
        <v>0</v>
      </c>
      <c r="M225" s="271"/>
      <c r="N225" s="514">
        <f>+'29'!N225+'30'!N225+'31'!N225</f>
        <v>123</v>
      </c>
      <c r="O225" s="12">
        <f>+'29'!O225+'30'!O225+'31'!O225</f>
        <v>319499.19</v>
      </c>
      <c r="P225" s="12">
        <f>+'29'!P225+'30'!P225+'31'!P225</f>
        <v>2490</v>
      </c>
      <c r="Q225" s="532"/>
      <c r="R225" s="270">
        <v>123</v>
      </c>
      <c r="S225" s="12">
        <v>319499.19</v>
      </c>
      <c r="T225" s="12">
        <v>0</v>
      </c>
      <c r="U225" s="271"/>
      <c r="V225" s="533">
        <f t="shared" si="25"/>
        <v>0</v>
      </c>
      <c r="W225" s="533">
        <f t="shared" si="26"/>
        <v>0</v>
      </c>
      <c r="X225" s="257"/>
      <c r="Y225" s="261">
        <f t="shared" si="27"/>
        <v>0</v>
      </c>
      <c r="Z225" s="12">
        <f t="shared" si="28"/>
        <v>0</v>
      </c>
      <c r="AB225" s="13">
        <f t="shared" si="24"/>
        <v>319499.19</v>
      </c>
      <c r="AF225" s="13">
        <f t="shared" si="29"/>
        <v>319499.19</v>
      </c>
      <c r="AG225" s="16"/>
      <c r="AM225" s="12">
        <f t="shared" si="30"/>
        <v>0</v>
      </c>
      <c r="AN225" s="13">
        <f t="shared" si="31"/>
        <v>319499.19</v>
      </c>
    </row>
    <row r="226" spans="1:40" x14ac:dyDescent="0.25">
      <c r="A226">
        <v>221</v>
      </c>
      <c r="B226" t="s">
        <v>251</v>
      </c>
      <c r="C226" t="s">
        <v>15</v>
      </c>
      <c r="D226" t="s">
        <v>16</v>
      </c>
      <c r="F226" s="514">
        <f>+'29'!F226+'30'!F226+'31'!F226</f>
        <v>1</v>
      </c>
      <c r="G226" s="12">
        <f>+'29'!G226+'30'!G226+'31'!G226</f>
        <v>5810</v>
      </c>
      <c r="H226" s="12">
        <f>+'29'!H226+'30'!H226+'31'!H226</f>
        <v>50</v>
      </c>
      <c r="I226" s="271"/>
      <c r="J226" s="514">
        <f>+'29'!J226+'30'!J226+'31'!J226</f>
        <v>0</v>
      </c>
      <c r="K226" s="12">
        <f>+'29'!K226+'30'!K226+'31'!K226</f>
        <v>0</v>
      </c>
      <c r="L226" s="12">
        <f>+'29'!L226+'30'!L226+'31'!L226</f>
        <v>0</v>
      </c>
      <c r="M226" s="271"/>
      <c r="N226" s="514">
        <f>+'29'!N226+'30'!N226+'31'!N226</f>
        <v>1</v>
      </c>
      <c r="O226" s="12">
        <f>+'29'!O226+'30'!O226+'31'!O226</f>
        <v>5810</v>
      </c>
      <c r="P226" s="12">
        <f>+'29'!P226+'30'!P226+'31'!P226</f>
        <v>50</v>
      </c>
      <c r="Q226" s="532"/>
      <c r="R226" s="270">
        <v>1</v>
      </c>
      <c r="S226" s="12">
        <v>5810</v>
      </c>
      <c r="T226" s="12">
        <v>0</v>
      </c>
      <c r="U226" s="271"/>
      <c r="V226" s="533">
        <f t="shared" si="25"/>
        <v>0</v>
      </c>
      <c r="W226" s="533">
        <f t="shared" si="26"/>
        <v>0</v>
      </c>
      <c r="X226" s="257"/>
      <c r="Y226" s="261">
        <f t="shared" si="27"/>
        <v>0</v>
      </c>
      <c r="Z226" s="12">
        <f t="shared" si="28"/>
        <v>0</v>
      </c>
      <c r="AB226" s="13">
        <f t="shared" si="24"/>
        <v>5810</v>
      </c>
      <c r="AD226" s="16"/>
      <c r="AF226" s="13">
        <f t="shared" si="29"/>
        <v>5810</v>
      </c>
      <c r="AG226" s="16"/>
      <c r="AH226" s="33"/>
      <c r="AM226" s="12">
        <f t="shared" si="30"/>
        <v>0</v>
      </c>
      <c r="AN226" s="13">
        <f t="shared" si="31"/>
        <v>5810</v>
      </c>
    </row>
    <row r="227" spans="1:40" x14ac:dyDescent="0.25">
      <c r="A227">
        <v>222</v>
      </c>
      <c r="B227" t="s">
        <v>252</v>
      </c>
      <c r="C227" t="s">
        <v>18</v>
      </c>
      <c r="D227" t="s">
        <v>16</v>
      </c>
      <c r="F227" s="514">
        <f>+'29'!F227+'30'!F227+'31'!F227</f>
        <v>0</v>
      </c>
      <c r="G227" s="12">
        <f>+'29'!G227+'30'!G227+'31'!G227</f>
        <v>0</v>
      </c>
      <c r="H227" s="12">
        <f>+'29'!H227+'30'!H227+'31'!H227</f>
        <v>0</v>
      </c>
      <c r="I227" s="271"/>
      <c r="J227" s="514">
        <f>+'29'!J227+'30'!J227+'31'!J227</f>
        <v>0</v>
      </c>
      <c r="K227" s="12">
        <f>+'29'!K227+'30'!K227+'31'!K227</f>
        <v>0</v>
      </c>
      <c r="L227" s="12">
        <f>+'29'!L227+'30'!L227+'31'!L227</f>
        <v>0</v>
      </c>
      <c r="M227" s="271"/>
      <c r="N227" s="514">
        <f>+'29'!N227+'30'!N227+'31'!N227</f>
        <v>0</v>
      </c>
      <c r="O227" s="12">
        <f>+'29'!O227+'30'!O227+'31'!O227</f>
        <v>0</v>
      </c>
      <c r="P227" s="12">
        <f>+'29'!P227+'30'!P227+'31'!P227</f>
        <v>0</v>
      </c>
      <c r="Q227" s="532"/>
      <c r="R227" s="270">
        <v>0</v>
      </c>
      <c r="S227" s="12">
        <v>0</v>
      </c>
      <c r="T227" s="12">
        <v>0</v>
      </c>
      <c r="U227" s="271"/>
      <c r="V227" s="533">
        <f t="shared" si="25"/>
        <v>0</v>
      </c>
      <c r="W227" s="533">
        <f t="shared" si="26"/>
        <v>0</v>
      </c>
      <c r="X227" s="257"/>
      <c r="Y227" s="261">
        <f t="shared" si="27"/>
        <v>0</v>
      </c>
      <c r="Z227" s="12">
        <f t="shared" si="28"/>
        <v>0</v>
      </c>
      <c r="AB227" s="13">
        <f t="shared" si="24"/>
        <v>0</v>
      </c>
      <c r="AF227" s="13">
        <f t="shared" si="29"/>
        <v>0</v>
      </c>
      <c r="AM227" s="12">
        <f t="shared" si="30"/>
        <v>0</v>
      </c>
      <c r="AN227" s="13">
        <f t="shared" si="31"/>
        <v>0</v>
      </c>
    </row>
    <row r="228" spans="1:40" x14ac:dyDescent="0.25">
      <c r="A228">
        <v>223</v>
      </c>
      <c r="B228" t="s">
        <v>253</v>
      </c>
      <c r="C228" t="s">
        <v>15</v>
      </c>
      <c r="D228" t="s">
        <v>45</v>
      </c>
      <c r="F228" s="514">
        <f>+'29'!F228+'30'!F228+'31'!F228</f>
        <v>16</v>
      </c>
      <c r="G228" s="12">
        <f>+'29'!G228+'30'!G228+'31'!G228</f>
        <v>9440.59</v>
      </c>
      <c r="H228" s="12">
        <f>+'29'!H228+'30'!H228+'31'!H228</f>
        <v>128</v>
      </c>
      <c r="I228" s="271"/>
      <c r="J228" s="514">
        <f>+'29'!J228+'30'!J228+'31'!J228</f>
        <v>0</v>
      </c>
      <c r="K228" s="12">
        <f>+'29'!K228+'30'!K228+'31'!K228</f>
        <v>0</v>
      </c>
      <c r="L228" s="12">
        <f>+'29'!L228+'30'!L228+'31'!L228</f>
        <v>0</v>
      </c>
      <c r="M228" s="271"/>
      <c r="N228" s="514">
        <f>+'29'!N228+'30'!N228+'31'!N228</f>
        <v>16</v>
      </c>
      <c r="O228" s="12">
        <f>+'29'!O228+'30'!O228+'31'!O228</f>
        <v>9440.59</v>
      </c>
      <c r="P228" s="12">
        <f>+'29'!P228+'30'!P228+'31'!P228</f>
        <v>128</v>
      </c>
      <c r="Q228" s="532"/>
      <c r="R228" s="270">
        <v>16</v>
      </c>
      <c r="S228" s="12">
        <v>9440.59</v>
      </c>
      <c r="T228" s="12">
        <v>0</v>
      </c>
      <c r="U228" s="271"/>
      <c r="V228" s="533">
        <f t="shared" si="25"/>
        <v>0</v>
      </c>
      <c r="W228" s="533">
        <f t="shared" si="26"/>
        <v>0</v>
      </c>
      <c r="X228" s="257"/>
      <c r="Y228" s="261">
        <f t="shared" si="27"/>
        <v>0</v>
      </c>
      <c r="Z228" s="12">
        <f t="shared" si="28"/>
        <v>0</v>
      </c>
      <c r="AB228" s="13">
        <f t="shared" si="24"/>
        <v>9440.59</v>
      </c>
      <c r="AF228" s="13">
        <f t="shared" si="29"/>
        <v>9440.59</v>
      </c>
      <c r="AM228" s="12">
        <f t="shared" si="30"/>
        <v>0</v>
      </c>
      <c r="AN228" s="13">
        <f t="shared" si="31"/>
        <v>9440.59</v>
      </c>
    </row>
    <row r="229" spans="1:40" x14ac:dyDescent="0.25">
      <c r="A229">
        <v>224</v>
      </c>
      <c r="B229" t="s">
        <v>254</v>
      </c>
      <c r="C229" t="s">
        <v>255</v>
      </c>
      <c r="D229" t="s">
        <v>16</v>
      </c>
      <c r="F229" s="514">
        <f>+'29'!F229+'30'!F229+'31'!F229</f>
        <v>57</v>
      </c>
      <c r="G229" s="12">
        <f>+'29'!G229+'30'!G229+'31'!G229</f>
        <v>424004.12</v>
      </c>
      <c r="H229" s="12">
        <f>+'29'!H229+'30'!H229+'31'!H229</f>
        <v>855</v>
      </c>
      <c r="I229" s="271"/>
      <c r="J229" s="514">
        <f>+'29'!J229+'30'!J229+'31'!J229</f>
        <v>0</v>
      </c>
      <c r="K229" s="12">
        <f>+'29'!K229+'30'!K229+'31'!K229</f>
        <v>0</v>
      </c>
      <c r="L229" s="12">
        <f>+'29'!L229+'30'!L229+'31'!L229</f>
        <v>0</v>
      </c>
      <c r="M229" s="271"/>
      <c r="N229" s="514">
        <f>+'29'!N229+'30'!N229+'31'!N229</f>
        <v>57</v>
      </c>
      <c r="O229" s="12">
        <f>+'29'!O229+'30'!O229+'31'!O229</f>
        <v>424004.12</v>
      </c>
      <c r="P229" s="12">
        <f>+'29'!P229+'30'!P229+'31'!P229</f>
        <v>855</v>
      </c>
      <c r="Q229" s="532"/>
      <c r="R229" s="270">
        <v>57</v>
      </c>
      <c r="S229" s="12">
        <v>424004.12</v>
      </c>
      <c r="T229" s="12">
        <v>0</v>
      </c>
      <c r="U229" s="271"/>
      <c r="V229" s="533">
        <f t="shared" si="25"/>
        <v>0</v>
      </c>
      <c r="W229" s="533">
        <f t="shared" si="26"/>
        <v>0</v>
      </c>
      <c r="X229" s="257"/>
      <c r="Y229" s="261">
        <f t="shared" si="27"/>
        <v>0</v>
      </c>
      <c r="Z229" s="12">
        <f t="shared" si="28"/>
        <v>0</v>
      </c>
      <c r="AB229" s="13">
        <f t="shared" si="24"/>
        <v>424004.12</v>
      </c>
      <c r="AF229" s="13">
        <f t="shared" si="29"/>
        <v>424004.12</v>
      </c>
      <c r="AM229" s="12">
        <f t="shared" si="30"/>
        <v>0</v>
      </c>
      <c r="AN229" s="13">
        <f t="shared" si="31"/>
        <v>424004.12</v>
      </c>
    </row>
    <row r="230" spans="1:40" x14ac:dyDescent="0.25">
      <c r="A230">
        <v>225</v>
      </c>
      <c r="B230" t="s">
        <v>256</v>
      </c>
      <c r="D230" t="s">
        <v>16</v>
      </c>
      <c r="F230" s="514">
        <f>+'29'!F230+'30'!F230+'31'!F230</f>
        <v>277</v>
      </c>
      <c r="G230" s="12">
        <f>+'29'!G230+'30'!G230+'31'!G230</f>
        <v>443427.83</v>
      </c>
      <c r="H230" s="12">
        <f>+'29'!H230+'30'!H230+'31'!H230</f>
        <v>2770</v>
      </c>
      <c r="I230" s="271"/>
      <c r="J230" s="514">
        <f>+'29'!J230+'30'!J230+'31'!J230</f>
        <v>0</v>
      </c>
      <c r="K230" s="12">
        <f>+'29'!K230+'30'!K230+'31'!K230</f>
        <v>0</v>
      </c>
      <c r="L230" s="12">
        <f>+'29'!L230+'30'!L230+'31'!L230</f>
        <v>0</v>
      </c>
      <c r="M230" s="271"/>
      <c r="N230" s="514">
        <f>+'29'!N230+'30'!N230+'31'!N230</f>
        <v>277</v>
      </c>
      <c r="O230" s="12">
        <f>+'29'!O230+'30'!O230+'31'!O230</f>
        <v>443427.83</v>
      </c>
      <c r="P230" s="12">
        <f>+'29'!P230+'30'!P230+'31'!P230</f>
        <v>2770</v>
      </c>
      <c r="Q230" s="532"/>
      <c r="R230" s="270">
        <v>277</v>
      </c>
      <c r="S230" s="12">
        <v>443427.83</v>
      </c>
      <c r="T230" s="12">
        <v>0</v>
      </c>
      <c r="U230" s="271"/>
      <c r="V230" s="533">
        <f t="shared" si="25"/>
        <v>0</v>
      </c>
      <c r="W230" s="533">
        <f t="shared" si="26"/>
        <v>0</v>
      </c>
      <c r="X230" s="257"/>
      <c r="Y230" s="261">
        <f t="shared" si="27"/>
        <v>0</v>
      </c>
      <c r="Z230" s="12">
        <f t="shared" si="28"/>
        <v>0</v>
      </c>
      <c r="AB230" s="13">
        <f t="shared" si="24"/>
        <v>443427.83</v>
      </c>
      <c r="AF230" s="13">
        <f t="shared" si="29"/>
        <v>443427.83</v>
      </c>
      <c r="AM230" s="12">
        <f t="shared" si="30"/>
        <v>0</v>
      </c>
      <c r="AN230" s="13">
        <f t="shared" si="31"/>
        <v>443427.83</v>
      </c>
    </row>
    <row r="231" spans="1:40" x14ac:dyDescent="0.25">
      <c r="A231">
        <v>226</v>
      </c>
      <c r="B231" t="s">
        <v>2229</v>
      </c>
      <c r="C231" t="s">
        <v>255</v>
      </c>
      <c r="D231" t="s">
        <v>16</v>
      </c>
      <c r="F231" s="514">
        <f>+'29'!F231+'30'!F231+'31'!F231</f>
        <v>0</v>
      </c>
      <c r="G231" s="12">
        <f>+'29'!G231+'30'!G231+'31'!G231</f>
        <v>0</v>
      </c>
      <c r="H231" s="12">
        <f>+'29'!H231+'30'!H231+'31'!H231</f>
        <v>0</v>
      </c>
      <c r="I231" s="271"/>
      <c r="J231" s="514">
        <f>+'29'!J231+'30'!J231+'31'!J231</f>
        <v>0</v>
      </c>
      <c r="K231" s="12">
        <f>+'29'!K231+'30'!K231+'31'!K231</f>
        <v>0</v>
      </c>
      <c r="L231" s="12">
        <f>+'29'!L231+'30'!L231+'31'!L231</f>
        <v>0</v>
      </c>
      <c r="M231" s="271"/>
      <c r="N231" s="514">
        <f>+'29'!N231+'30'!N231+'31'!N231</f>
        <v>0</v>
      </c>
      <c r="O231" s="12">
        <f>+'29'!O231+'30'!O231+'31'!O231</f>
        <v>0</v>
      </c>
      <c r="P231" s="12">
        <f>+'29'!P231+'30'!P231+'31'!P231</f>
        <v>0</v>
      </c>
      <c r="Q231" s="532"/>
      <c r="R231" s="270">
        <v>0</v>
      </c>
      <c r="S231" s="12">
        <v>0</v>
      </c>
      <c r="T231" s="12">
        <v>0</v>
      </c>
      <c r="U231" s="271"/>
      <c r="V231" s="533">
        <f t="shared" si="25"/>
        <v>0</v>
      </c>
      <c r="W231" s="533">
        <f t="shared" si="26"/>
        <v>0</v>
      </c>
      <c r="X231" s="257"/>
      <c r="Y231" s="261">
        <f t="shared" si="27"/>
        <v>0</v>
      </c>
      <c r="Z231" s="12">
        <f t="shared" si="28"/>
        <v>0</v>
      </c>
      <c r="AB231" s="13">
        <f t="shared" si="24"/>
        <v>0</v>
      </c>
      <c r="AF231" s="13">
        <f t="shared" si="29"/>
        <v>0</v>
      </c>
      <c r="AM231" s="12">
        <f t="shared" si="30"/>
        <v>0</v>
      </c>
      <c r="AN231" s="13">
        <f t="shared" si="31"/>
        <v>0</v>
      </c>
    </row>
    <row r="232" spans="1:40" x14ac:dyDescent="0.25">
      <c r="A232">
        <v>227</v>
      </c>
      <c r="B232" t="s">
        <v>257</v>
      </c>
      <c r="C232" t="s">
        <v>258</v>
      </c>
      <c r="D232" t="s">
        <v>16</v>
      </c>
      <c r="F232" s="514">
        <f>+'29'!F232+'30'!F232+'31'!F232</f>
        <v>0</v>
      </c>
      <c r="G232" s="12">
        <f>+'29'!G232+'30'!G232+'31'!G232</f>
        <v>0</v>
      </c>
      <c r="H232" s="12">
        <f>+'29'!H232+'30'!H232+'31'!H232</f>
        <v>0</v>
      </c>
      <c r="I232" s="271"/>
      <c r="J232" s="514">
        <f>+'29'!J232+'30'!J232+'31'!J232</f>
        <v>0</v>
      </c>
      <c r="K232" s="12">
        <f>+'29'!K232+'30'!K232+'31'!K232</f>
        <v>0</v>
      </c>
      <c r="L232" s="12">
        <f>+'29'!L232+'30'!L232+'31'!L232</f>
        <v>0</v>
      </c>
      <c r="M232" s="271"/>
      <c r="N232" s="514">
        <f>+'29'!N232+'30'!N232+'31'!N232</f>
        <v>0</v>
      </c>
      <c r="O232" s="12">
        <f>+'29'!O232+'30'!O232+'31'!O232</f>
        <v>0</v>
      </c>
      <c r="P232" s="12">
        <f>+'29'!P232+'30'!P232+'31'!P232</f>
        <v>0</v>
      </c>
      <c r="Q232" s="532"/>
      <c r="R232" s="270">
        <v>0</v>
      </c>
      <c r="S232" s="12">
        <v>0</v>
      </c>
      <c r="T232" s="12">
        <v>0</v>
      </c>
      <c r="U232" s="271"/>
      <c r="V232" s="533">
        <f t="shared" si="25"/>
        <v>0</v>
      </c>
      <c r="W232" s="533">
        <f t="shared" si="26"/>
        <v>0</v>
      </c>
      <c r="X232" s="257"/>
      <c r="Y232" s="261">
        <f t="shared" si="27"/>
        <v>0</v>
      </c>
      <c r="Z232" s="12">
        <f t="shared" si="28"/>
        <v>0</v>
      </c>
      <c r="AB232" s="13">
        <f t="shared" si="24"/>
        <v>0</v>
      </c>
      <c r="AF232" s="13">
        <f t="shared" si="29"/>
        <v>0</v>
      </c>
      <c r="AM232" s="12">
        <f t="shared" si="30"/>
        <v>0</v>
      </c>
      <c r="AN232" s="13">
        <f t="shared" si="31"/>
        <v>0</v>
      </c>
    </row>
    <row r="233" spans="1:40" x14ac:dyDescent="0.25">
      <c r="A233">
        <v>228</v>
      </c>
      <c r="B233" t="s">
        <v>259</v>
      </c>
      <c r="C233" t="s">
        <v>15</v>
      </c>
      <c r="D233" t="s">
        <v>45</v>
      </c>
      <c r="F233" s="514">
        <f>+'29'!F233+'30'!F233+'31'!F233</f>
        <v>17</v>
      </c>
      <c r="G233" s="12">
        <f>+'29'!G233+'30'!G233+'31'!G233</f>
        <v>8700.7099999999991</v>
      </c>
      <c r="H233" s="12">
        <f>+'29'!H233+'30'!H233+'31'!H233</f>
        <v>136</v>
      </c>
      <c r="I233" s="271"/>
      <c r="J233" s="514">
        <f>+'29'!J233+'30'!J233+'31'!J233</f>
        <v>0</v>
      </c>
      <c r="K233" s="12">
        <f>+'29'!K233+'30'!K233+'31'!K233</f>
        <v>0</v>
      </c>
      <c r="L233" s="12">
        <f>+'29'!L233+'30'!L233+'31'!L233</f>
        <v>0</v>
      </c>
      <c r="M233" s="271"/>
      <c r="N233" s="514">
        <f>+'29'!N233+'30'!N233+'31'!N233</f>
        <v>17</v>
      </c>
      <c r="O233" s="12">
        <f>+'29'!O233+'30'!O233+'31'!O233</f>
        <v>8700.7099999999991</v>
      </c>
      <c r="P233" s="12">
        <f>+'29'!P233+'30'!P233+'31'!P233</f>
        <v>136</v>
      </c>
      <c r="Q233" s="532"/>
      <c r="R233" s="270">
        <v>17</v>
      </c>
      <c r="S233" s="12">
        <v>8700.7099999999991</v>
      </c>
      <c r="T233" s="12">
        <v>0</v>
      </c>
      <c r="U233" s="271"/>
      <c r="V233" s="533">
        <f t="shared" si="25"/>
        <v>0</v>
      </c>
      <c r="W233" s="533">
        <f t="shared" si="26"/>
        <v>0</v>
      </c>
      <c r="X233" s="257"/>
      <c r="Y233" s="261">
        <f t="shared" si="27"/>
        <v>0</v>
      </c>
      <c r="Z233" s="12">
        <f t="shared" si="28"/>
        <v>0</v>
      </c>
      <c r="AB233" s="13">
        <f t="shared" si="24"/>
        <v>8700.7099999999991</v>
      </c>
      <c r="AF233" s="13">
        <f t="shared" si="29"/>
        <v>8700.7099999999991</v>
      </c>
      <c r="AG233" s="16">
        <v>1178.5714285714287</v>
      </c>
      <c r="AM233" s="12">
        <f t="shared" si="30"/>
        <v>1178.5714285714287</v>
      </c>
      <c r="AN233" s="13">
        <f t="shared" si="31"/>
        <v>7522.1385714285707</v>
      </c>
    </row>
    <row r="234" spans="1:40" x14ac:dyDescent="0.25">
      <c r="A234">
        <v>229</v>
      </c>
      <c r="B234" t="s">
        <v>260</v>
      </c>
      <c r="C234" t="s">
        <v>18</v>
      </c>
      <c r="D234" t="s">
        <v>16</v>
      </c>
      <c r="F234" s="514">
        <f>+'29'!F234+'30'!F234+'31'!F234</f>
        <v>1</v>
      </c>
      <c r="G234" s="12">
        <f>+'29'!G234+'30'!G234+'31'!G234</f>
        <v>7400</v>
      </c>
      <c r="H234" s="12">
        <f>+'29'!H234+'30'!H234+'31'!H234</f>
        <v>50</v>
      </c>
      <c r="I234" s="271"/>
      <c r="J234" s="514">
        <f>+'29'!J234+'30'!J234+'31'!J234</f>
        <v>0</v>
      </c>
      <c r="K234" s="12">
        <f>+'29'!K234+'30'!K234+'31'!K234</f>
        <v>0</v>
      </c>
      <c r="L234" s="12">
        <f>+'29'!L234+'30'!L234+'31'!L234</f>
        <v>0</v>
      </c>
      <c r="M234" s="271"/>
      <c r="N234" s="514">
        <f>+'29'!N234+'30'!N234+'31'!N234</f>
        <v>1</v>
      </c>
      <c r="O234" s="12">
        <f>+'29'!O234+'30'!O234+'31'!O234</f>
        <v>7400</v>
      </c>
      <c r="P234" s="12">
        <f>+'29'!P234+'30'!P234+'31'!P234</f>
        <v>50</v>
      </c>
      <c r="Q234" s="532"/>
      <c r="R234" s="270">
        <v>1</v>
      </c>
      <c r="S234" s="12">
        <v>7400</v>
      </c>
      <c r="T234" s="12">
        <v>0</v>
      </c>
      <c r="U234" s="271"/>
      <c r="V234" s="533">
        <f t="shared" si="25"/>
        <v>0</v>
      </c>
      <c r="W234" s="533">
        <f t="shared" si="26"/>
        <v>0</v>
      </c>
      <c r="X234" s="257"/>
      <c r="Y234" s="261">
        <f t="shared" si="27"/>
        <v>0</v>
      </c>
      <c r="Z234" s="12">
        <f t="shared" si="28"/>
        <v>0</v>
      </c>
      <c r="AB234" s="13">
        <f t="shared" si="24"/>
        <v>7400</v>
      </c>
      <c r="AF234" s="13">
        <f t="shared" si="29"/>
        <v>7400</v>
      </c>
      <c r="AM234" s="12">
        <f t="shared" si="30"/>
        <v>0</v>
      </c>
      <c r="AN234" s="13">
        <f t="shared" si="31"/>
        <v>7400</v>
      </c>
    </row>
    <row r="235" spans="1:40" x14ac:dyDescent="0.25">
      <c r="A235">
        <v>230</v>
      </c>
      <c r="B235" t="s">
        <v>261</v>
      </c>
      <c r="C235" t="s">
        <v>25</v>
      </c>
      <c r="D235" t="s">
        <v>16</v>
      </c>
      <c r="F235" s="514">
        <f>+'29'!F235+'30'!F235+'31'!F235</f>
        <v>0</v>
      </c>
      <c r="G235" s="12">
        <f>+'29'!G235+'30'!G235+'31'!G235</f>
        <v>0</v>
      </c>
      <c r="H235" s="12">
        <f>+'29'!H235+'30'!H235+'31'!H235</f>
        <v>0</v>
      </c>
      <c r="I235" s="271"/>
      <c r="J235" s="514">
        <f>+'29'!J235+'30'!J235+'31'!J235</f>
        <v>0</v>
      </c>
      <c r="K235" s="12">
        <f>+'29'!K235+'30'!K235+'31'!K235</f>
        <v>0</v>
      </c>
      <c r="L235" s="12">
        <f>+'29'!L235+'30'!L235+'31'!L235</f>
        <v>0</v>
      </c>
      <c r="M235" s="271"/>
      <c r="N235" s="514">
        <f>+'29'!N235+'30'!N235+'31'!N235</f>
        <v>0</v>
      </c>
      <c r="O235" s="12">
        <f>+'29'!O235+'30'!O235+'31'!O235</f>
        <v>0</v>
      </c>
      <c r="P235" s="12">
        <f>+'29'!P235+'30'!P235+'31'!P235</f>
        <v>0</v>
      </c>
      <c r="Q235" s="532"/>
      <c r="R235" s="270">
        <v>0</v>
      </c>
      <c r="S235" s="12">
        <v>0</v>
      </c>
      <c r="T235" s="12">
        <v>0</v>
      </c>
      <c r="U235" s="271"/>
      <c r="V235" s="533">
        <f t="shared" si="25"/>
        <v>0</v>
      </c>
      <c r="W235" s="533">
        <f t="shared" si="26"/>
        <v>0</v>
      </c>
      <c r="X235" s="257"/>
      <c r="Y235" s="261">
        <f t="shared" si="27"/>
        <v>0</v>
      </c>
      <c r="Z235" s="12">
        <f t="shared" si="28"/>
        <v>0</v>
      </c>
      <c r="AB235" s="13">
        <f t="shared" si="24"/>
        <v>0</v>
      </c>
      <c r="AF235" s="13">
        <f t="shared" si="29"/>
        <v>0</v>
      </c>
      <c r="AM235" s="12">
        <f t="shared" si="30"/>
        <v>0</v>
      </c>
      <c r="AN235" s="13">
        <f t="shared" si="31"/>
        <v>0</v>
      </c>
    </row>
    <row r="236" spans="1:40" x14ac:dyDescent="0.25">
      <c r="A236">
        <v>231</v>
      </c>
      <c r="B236" t="s">
        <v>262</v>
      </c>
      <c r="C236" t="s">
        <v>25</v>
      </c>
      <c r="D236" t="s">
        <v>16</v>
      </c>
      <c r="F236" s="514">
        <f>+'29'!F236+'30'!F236+'31'!F236</f>
        <v>1</v>
      </c>
      <c r="G236" s="12">
        <f>+'29'!G236+'30'!G236+'31'!G236</f>
        <v>443</v>
      </c>
      <c r="H236" s="12">
        <f>+'29'!H236+'30'!H236+'31'!H236</f>
        <v>8</v>
      </c>
      <c r="I236" s="271"/>
      <c r="J236" s="514">
        <f>+'29'!J236+'30'!J236+'31'!J236</f>
        <v>0</v>
      </c>
      <c r="K236" s="12">
        <f>+'29'!K236+'30'!K236+'31'!K236</f>
        <v>0</v>
      </c>
      <c r="L236" s="12">
        <f>+'29'!L236+'30'!L236+'31'!L236</f>
        <v>0</v>
      </c>
      <c r="M236" s="271"/>
      <c r="N236" s="514">
        <f>+'29'!N236+'30'!N236+'31'!N236</f>
        <v>1</v>
      </c>
      <c r="O236" s="12">
        <f>+'29'!O236+'30'!O236+'31'!O236</f>
        <v>443</v>
      </c>
      <c r="P236" s="12">
        <f>+'29'!P236+'30'!P236+'31'!P236</f>
        <v>8</v>
      </c>
      <c r="Q236" s="532"/>
      <c r="R236" s="270">
        <v>1</v>
      </c>
      <c r="S236" s="12">
        <v>443</v>
      </c>
      <c r="T236" s="12">
        <v>0</v>
      </c>
      <c r="U236" s="271"/>
      <c r="V236" s="533">
        <f t="shared" si="25"/>
        <v>0</v>
      </c>
      <c r="W236" s="533">
        <f t="shared" si="26"/>
        <v>0</v>
      </c>
      <c r="X236" s="257"/>
      <c r="Y236" s="261">
        <f t="shared" si="27"/>
        <v>0</v>
      </c>
      <c r="Z236" s="12">
        <f t="shared" si="28"/>
        <v>0</v>
      </c>
      <c r="AB236" s="13">
        <f t="shared" si="24"/>
        <v>443</v>
      </c>
      <c r="AD236" s="16"/>
      <c r="AF236" s="13">
        <f t="shared" si="29"/>
        <v>443</v>
      </c>
      <c r="AG236" s="16"/>
      <c r="AM236" s="12">
        <f t="shared" si="30"/>
        <v>0</v>
      </c>
      <c r="AN236" s="13">
        <f t="shared" si="31"/>
        <v>443</v>
      </c>
    </row>
    <row r="237" spans="1:40" x14ac:dyDescent="0.25">
      <c r="A237">
        <v>232</v>
      </c>
      <c r="B237" t="s">
        <v>263</v>
      </c>
      <c r="C237" t="s">
        <v>25</v>
      </c>
      <c r="D237" t="s">
        <v>16</v>
      </c>
      <c r="F237" s="514">
        <f>+'29'!F237+'30'!F237+'31'!F237</f>
        <v>4</v>
      </c>
      <c r="G237" s="12">
        <f>+'29'!G237+'30'!G237+'31'!G237</f>
        <v>2355</v>
      </c>
      <c r="H237" s="12">
        <f>+'29'!H237+'30'!H237+'31'!H237</f>
        <v>32</v>
      </c>
      <c r="I237" s="271"/>
      <c r="J237" s="514">
        <f>+'29'!J237+'30'!J237+'31'!J237</f>
        <v>0</v>
      </c>
      <c r="K237" s="12">
        <f>+'29'!K237+'30'!K237+'31'!K237</f>
        <v>0</v>
      </c>
      <c r="L237" s="12">
        <f>+'29'!L237+'30'!L237+'31'!L237</f>
        <v>0</v>
      </c>
      <c r="M237" s="271"/>
      <c r="N237" s="514">
        <f>+'29'!N237+'30'!N237+'31'!N237</f>
        <v>4</v>
      </c>
      <c r="O237" s="12">
        <f>+'29'!O237+'30'!O237+'31'!O237</f>
        <v>2355</v>
      </c>
      <c r="P237" s="12">
        <f>+'29'!P237+'30'!P237+'31'!P237</f>
        <v>32</v>
      </c>
      <c r="Q237" s="532"/>
      <c r="R237" s="270">
        <v>4</v>
      </c>
      <c r="S237" s="12">
        <v>2355</v>
      </c>
      <c r="T237" s="12">
        <v>0</v>
      </c>
      <c r="U237" s="271"/>
      <c r="V237" s="533">
        <f t="shared" si="25"/>
        <v>0</v>
      </c>
      <c r="W237" s="533">
        <f t="shared" si="26"/>
        <v>0</v>
      </c>
      <c r="X237" s="257"/>
      <c r="Y237" s="261">
        <f t="shared" si="27"/>
        <v>0</v>
      </c>
      <c r="Z237" s="12">
        <f t="shared" si="28"/>
        <v>0</v>
      </c>
      <c r="AB237" s="13">
        <f t="shared" si="24"/>
        <v>2355</v>
      </c>
      <c r="AF237" s="13">
        <f t="shared" si="29"/>
        <v>2355</v>
      </c>
      <c r="AG237" s="16"/>
      <c r="AH237" s="16"/>
      <c r="AM237" s="12">
        <f t="shared" si="30"/>
        <v>0</v>
      </c>
      <c r="AN237" s="13">
        <f t="shared" si="31"/>
        <v>2355</v>
      </c>
    </row>
    <row r="238" spans="1:40" x14ac:dyDescent="0.25">
      <c r="A238">
        <v>233</v>
      </c>
      <c r="B238" t="s">
        <v>264</v>
      </c>
      <c r="D238" t="s">
        <v>16</v>
      </c>
      <c r="F238" s="514">
        <f>+'29'!F238+'30'!F238+'31'!F238</f>
        <v>1</v>
      </c>
      <c r="G238" s="12">
        <f>+'29'!G238+'30'!G238+'31'!G238</f>
        <v>221</v>
      </c>
      <c r="H238" s="12">
        <f>+'29'!H238+'30'!H238+'31'!H238</f>
        <v>8</v>
      </c>
      <c r="I238" s="271"/>
      <c r="J238" s="514">
        <f>+'29'!J238+'30'!J238+'31'!J238</f>
        <v>0</v>
      </c>
      <c r="K238" s="12">
        <f>+'29'!K238+'30'!K238+'31'!K238</f>
        <v>0</v>
      </c>
      <c r="L238" s="12">
        <f>+'29'!L238+'30'!L238+'31'!L238</f>
        <v>0</v>
      </c>
      <c r="M238" s="271"/>
      <c r="N238" s="514">
        <f>+'29'!N238+'30'!N238+'31'!N238</f>
        <v>1</v>
      </c>
      <c r="O238" s="12">
        <f>+'29'!O238+'30'!O238+'31'!O238</f>
        <v>221</v>
      </c>
      <c r="P238" s="12">
        <f>+'29'!P238+'30'!P238+'31'!P238</f>
        <v>8</v>
      </c>
      <c r="Q238" s="532"/>
      <c r="R238" s="270">
        <v>1</v>
      </c>
      <c r="S238" s="12">
        <v>221</v>
      </c>
      <c r="T238" s="12">
        <v>0</v>
      </c>
      <c r="U238" s="271"/>
      <c r="V238" s="533">
        <f t="shared" si="25"/>
        <v>0</v>
      </c>
      <c r="W238" s="533">
        <f t="shared" si="26"/>
        <v>0</v>
      </c>
      <c r="X238" s="257"/>
      <c r="Y238" s="261">
        <f t="shared" si="27"/>
        <v>0</v>
      </c>
      <c r="Z238" s="12">
        <f t="shared" si="28"/>
        <v>0</v>
      </c>
      <c r="AB238" s="13">
        <f t="shared" si="24"/>
        <v>221</v>
      </c>
      <c r="AF238" s="13">
        <f t="shared" si="29"/>
        <v>221</v>
      </c>
      <c r="AH238" s="33"/>
      <c r="AM238" s="12">
        <f t="shared" si="30"/>
        <v>0</v>
      </c>
      <c r="AN238" s="13">
        <f t="shared" si="31"/>
        <v>221</v>
      </c>
    </row>
    <row r="239" spans="1:40" x14ac:dyDescent="0.25">
      <c r="A239">
        <v>234</v>
      </c>
      <c r="B239" t="s">
        <v>265</v>
      </c>
      <c r="C239" t="s">
        <v>25</v>
      </c>
      <c r="D239" t="s">
        <v>16</v>
      </c>
      <c r="F239" s="514">
        <f>+'29'!F239+'30'!F239+'31'!F239</f>
        <v>0</v>
      </c>
      <c r="G239" s="12">
        <f>+'29'!G239+'30'!G239+'31'!G239</f>
        <v>0</v>
      </c>
      <c r="H239" s="12">
        <f>+'29'!H239+'30'!H239+'31'!H239</f>
        <v>0</v>
      </c>
      <c r="I239" s="271"/>
      <c r="J239" s="514">
        <f>+'29'!J239+'30'!J239+'31'!J239</f>
        <v>0</v>
      </c>
      <c r="K239" s="12">
        <f>+'29'!K239+'30'!K239+'31'!K239</f>
        <v>0</v>
      </c>
      <c r="L239" s="12">
        <f>+'29'!L239+'30'!L239+'31'!L239</f>
        <v>0</v>
      </c>
      <c r="M239" s="271"/>
      <c r="N239" s="514">
        <f>+'29'!N239+'30'!N239+'31'!N239</f>
        <v>0</v>
      </c>
      <c r="O239" s="12">
        <f>+'29'!O239+'30'!O239+'31'!O239</f>
        <v>0</v>
      </c>
      <c r="P239" s="12">
        <f>+'29'!P239+'30'!P239+'31'!P239</f>
        <v>0</v>
      </c>
      <c r="Q239" s="532"/>
      <c r="R239" s="270">
        <v>0</v>
      </c>
      <c r="S239" s="12">
        <v>0</v>
      </c>
      <c r="T239" s="12">
        <v>0</v>
      </c>
      <c r="U239" s="271"/>
      <c r="V239" s="533">
        <f t="shared" si="25"/>
        <v>0</v>
      </c>
      <c r="W239" s="533">
        <f t="shared" si="26"/>
        <v>0</v>
      </c>
      <c r="X239" s="257"/>
      <c r="Y239" s="261">
        <f t="shared" si="27"/>
        <v>0</v>
      </c>
      <c r="Z239" s="12">
        <f t="shared" si="28"/>
        <v>0</v>
      </c>
      <c r="AB239" s="13">
        <f t="shared" si="24"/>
        <v>0</v>
      </c>
      <c r="AF239" s="13">
        <f t="shared" si="29"/>
        <v>0</v>
      </c>
      <c r="AM239" s="12">
        <f t="shared" si="30"/>
        <v>0</v>
      </c>
      <c r="AN239" s="13">
        <f t="shared" si="31"/>
        <v>0</v>
      </c>
    </row>
    <row r="240" spans="1:40" x14ac:dyDescent="0.25">
      <c r="A240">
        <v>235</v>
      </c>
      <c r="B240" t="s">
        <v>266</v>
      </c>
      <c r="C240" t="s">
        <v>25</v>
      </c>
      <c r="D240" t="s">
        <v>16</v>
      </c>
      <c r="F240" s="514">
        <f>+'29'!F240+'30'!F240+'31'!F240</f>
        <v>34</v>
      </c>
      <c r="G240" s="12">
        <f>+'29'!G240+'30'!G240+'31'!G240</f>
        <v>28096.37</v>
      </c>
      <c r="H240" s="12">
        <f>+'29'!H240+'30'!H240+'31'!H240</f>
        <v>272</v>
      </c>
      <c r="I240" s="271"/>
      <c r="J240" s="514">
        <f>+'29'!J240+'30'!J240+'31'!J240</f>
        <v>0</v>
      </c>
      <c r="K240" s="12">
        <f>+'29'!K240+'30'!K240+'31'!K240</f>
        <v>0</v>
      </c>
      <c r="L240" s="12">
        <f>+'29'!L240+'30'!L240+'31'!L240</f>
        <v>0</v>
      </c>
      <c r="M240" s="271"/>
      <c r="N240" s="514">
        <f>+'29'!N240+'30'!N240+'31'!N240</f>
        <v>34</v>
      </c>
      <c r="O240" s="12">
        <f>+'29'!O240+'30'!O240+'31'!O240</f>
        <v>28096.37</v>
      </c>
      <c r="P240" s="12">
        <f>+'29'!P240+'30'!P240+'31'!P240</f>
        <v>272</v>
      </c>
      <c r="Q240" s="532"/>
      <c r="R240" s="270">
        <v>34</v>
      </c>
      <c r="S240" s="12">
        <v>28096.37</v>
      </c>
      <c r="T240" s="12">
        <v>0</v>
      </c>
      <c r="U240" s="271"/>
      <c r="V240" s="533">
        <f t="shared" si="25"/>
        <v>0</v>
      </c>
      <c r="W240" s="533">
        <f t="shared" si="26"/>
        <v>0</v>
      </c>
      <c r="X240" s="257"/>
      <c r="Y240" s="261">
        <f t="shared" si="27"/>
        <v>0</v>
      </c>
      <c r="Z240" s="12">
        <f t="shared" si="28"/>
        <v>0</v>
      </c>
      <c r="AB240" s="13">
        <f t="shared" si="24"/>
        <v>28096.37</v>
      </c>
      <c r="AF240" s="13">
        <f t="shared" si="29"/>
        <v>28096.37</v>
      </c>
      <c r="AM240" s="12">
        <f t="shared" si="30"/>
        <v>0</v>
      </c>
      <c r="AN240" s="13">
        <f t="shared" si="31"/>
        <v>28096.37</v>
      </c>
    </row>
    <row r="241" spans="1:40" x14ac:dyDescent="0.25">
      <c r="A241">
        <v>236</v>
      </c>
      <c r="B241" t="s">
        <v>267</v>
      </c>
      <c r="C241" t="s">
        <v>25</v>
      </c>
      <c r="D241" t="s">
        <v>16</v>
      </c>
      <c r="F241" s="514">
        <f>+'29'!F241+'30'!F241+'31'!F241</f>
        <v>2</v>
      </c>
      <c r="G241" s="12">
        <f>+'29'!G241+'30'!G241+'31'!G241</f>
        <v>2220</v>
      </c>
      <c r="H241" s="12">
        <f>+'29'!H241+'30'!H241+'31'!H241</f>
        <v>16</v>
      </c>
      <c r="I241" s="271"/>
      <c r="J241" s="514">
        <f>+'29'!J241+'30'!J241+'31'!J241</f>
        <v>0</v>
      </c>
      <c r="K241" s="12">
        <f>+'29'!K241+'30'!K241+'31'!K241</f>
        <v>0</v>
      </c>
      <c r="L241" s="12">
        <f>+'29'!L241+'30'!L241+'31'!L241</f>
        <v>0</v>
      </c>
      <c r="M241" s="271"/>
      <c r="N241" s="514">
        <f>+'29'!N241+'30'!N241+'31'!N241</f>
        <v>2</v>
      </c>
      <c r="O241" s="12">
        <f>+'29'!O241+'30'!O241+'31'!O241</f>
        <v>2220</v>
      </c>
      <c r="P241" s="12">
        <f>+'29'!P241+'30'!P241+'31'!P241</f>
        <v>16</v>
      </c>
      <c r="Q241" s="532"/>
      <c r="R241" s="270">
        <v>2</v>
      </c>
      <c r="S241" s="12">
        <v>2220</v>
      </c>
      <c r="T241" s="12">
        <v>0</v>
      </c>
      <c r="U241" s="271"/>
      <c r="V241" s="533">
        <f t="shared" si="25"/>
        <v>0</v>
      </c>
      <c r="W241" s="533">
        <f t="shared" si="26"/>
        <v>0</v>
      </c>
      <c r="X241" s="257"/>
      <c r="Y241" s="261">
        <f t="shared" si="27"/>
        <v>0</v>
      </c>
      <c r="Z241" s="12">
        <f t="shared" si="28"/>
        <v>0</v>
      </c>
      <c r="AB241" s="13">
        <f t="shared" si="24"/>
        <v>2220</v>
      </c>
      <c r="AD241" s="16"/>
      <c r="AF241" s="13">
        <f t="shared" si="29"/>
        <v>2220</v>
      </c>
      <c r="AG241" s="16"/>
      <c r="AM241" s="12">
        <f t="shared" si="30"/>
        <v>0</v>
      </c>
      <c r="AN241" s="13">
        <f t="shared" si="31"/>
        <v>2220</v>
      </c>
    </row>
    <row r="242" spans="1:40" x14ac:dyDescent="0.25">
      <c r="A242">
        <v>237</v>
      </c>
      <c r="B242" t="s">
        <v>268</v>
      </c>
      <c r="C242" t="s">
        <v>25</v>
      </c>
      <c r="D242" t="s">
        <v>16</v>
      </c>
      <c r="F242" s="514">
        <f>+'29'!F242+'30'!F242+'31'!F242</f>
        <v>140</v>
      </c>
      <c r="G242" s="12">
        <f>+'29'!G242+'30'!G242+'31'!G242</f>
        <v>109156.14</v>
      </c>
      <c r="H242" s="12">
        <f>+'29'!H242+'30'!H242+'31'!H242</f>
        <v>1120</v>
      </c>
      <c r="I242" s="271"/>
      <c r="J242" s="514">
        <f>+'29'!J242+'30'!J242+'31'!J242</f>
        <v>0</v>
      </c>
      <c r="K242" s="12">
        <f>+'29'!K242+'30'!K242+'31'!K242</f>
        <v>0</v>
      </c>
      <c r="L242" s="12">
        <f>+'29'!L242+'30'!L242+'31'!L242</f>
        <v>0</v>
      </c>
      <c r="M242" s="271"/>
      <c r="N242" s="514">
        <f>+'29'!N242+'30'!N242+'31'!N242</f>
        <v>140</v>
      </c>
      <c r="O242" s="12">
        <f>+'29'!O242+'30'!O242+'31'!O242</f>
        <v>109156.14</v>
      </c>
      <c r="P242" s="12">
        <f>+'29'!P242+'30'!P242+'31'!P242</f>
        <v>1120</v>
      </c>
      <c r="Q242" s="532"/>
      <c r="R242" s="270">
        <v>140</v>
      </c>
      <c r="S242" s="12">
        <v>109156.14</v>
      </c>
      <c r="T242" s="12">
        <v>0</v>
      </c>
      <c r="U242" s="271"/>
      <c r="V242" s="533">
        <f t="shared" si="25"/>
        <v>0</v>
      </c>
      <c r="W242" s="533">
        <f t="shared" si="26"/>
        <v>0</v>
      </c>
      <c r="X242" s="257"/>
      <c r="Y242" s="261">
        <f t="shared" si="27"/>
        <v>0</v>
      </c>
      <c r="Z242" s="12">
        <f t="shared" si="28"/>
        <v>0</v>
      </c>
      <c r="AB242" s="13">
        <f t="shared" si="24"/>
        <v>109156.14</v>
      </c>
      <c r="AF242" s="13">
        <f t="shared" si="29"/>
        <v>109156.14</v>
      </c>
      <c r="AM242" s="12">
        <f t="shared" si="30"/>
        <v>0</v>
      </c>
      <c r="AN242" s="13">
        <f t="shared" si="31"/>
        <v>109156.14</v>
      </c>
    </row>
    <row r="243" spans="1:40" x14ac:dyDescent="0.25">
      <c r="A243">
        <v>238</v>
      </c>
      <c r="B243" t="s">
        <v>269</v>
      </c>
      <c r="C243" t="s">
        <v>25</v>
      </c>
      <c r="D243" t="s">
        <v>16</v>
      </c>
      <c r="F243" s="514">
        <f>+'29'!F243+'30'!F243+'31'!F243</f>
        <v>19</v>
      </c>
      <c r="G243" s="12">
        <f>+'29'!G243+'30'!G243+'31'!G243</f>
        <v>11300</v>
      </c>
      <c r="H243" s="12">
        <f>+'29'!H243+'30'!H243+'31'!H243</f>
        <v>152</v>
      </c>
      <c r="I243" s="271"/>
      <c r="J243" s="514">
        <f>+'29'!J243+'30'!J243+'31'!J243</f>
        <v>0</v>
      </c>
      <c r="K243" s="12">
        <f>+'29'!K243+'30'!K243+'31'!K243</f>
        <v>0</v>
      </c>
      <c r="L243" s="12">
        <f>+'29'!L243+'30'!L243+'31'!L243</f>
        <v>0</v>
      </c>
      <c r="M243" s="271"/>
      <c r="N243" s="514">
        <f>+'29'!N243+'30'!N243+'31'!N243</f>
        <v>19</v>
      </c>
      <c r="O243" s="12">
        <f>+'29'!O243+'30'!O243+'31'!O243</f>
        <v>11300</v>
      </c>
      <c r="P243" s="12">
        <f>+'29'!P243+'30'!P243+'31'!P243</f>
        <v>152</v>
      </c>
      <c r="Q243" s="532"/>
      <c r="R243" s="270">
        <v>19</v>
      </c>
      <c r="S243" s="12">
        <v>11300</v>
      </c>
      <c r="T243" s="12">
        <v>0</v>
      </c>
      <c r="U243" s="271"/>
      <c r="V243" s="533">
        <f t="shared" si="25"/>
        <v>0</v>
      </c>
      <c r="W243" s="533">
        <f t="shared" si="26"/>
        <v>0</v>
      </c>
      <c r="X243" s="257"/>
      <c r="Y243" s="261">
        <f t="shared" si="27"/>
        <v>0</v>
      </c>
      <c r="Z243" s="12">
        <f t="shared" si="28"/>
        <v>0</v>
      </c>
      <c r="AB243" s="13">
        <f t="shared" si="24"/>
        <v>11300</v>
      </c>
      <c r="AF243" s="13">
        <f t="shared" si="29"/>
        <v>11300</v>
      </c>
      <c r="AM243" s="12">
        <f t="shared" si="30"/>
        <v>0</v>
      </c>
      <c r="AN243" s="13">
        <f t="shared" si="31"/>
        <v>11300</v>
      </c>
    </row>
    <row r="244" spans="1:40" x14ac:dyDescent="0.25">
      <c r="A244">
        <v>239</v>
      </c>
      <c r="B244" t="s">
        <v>270</v>
      </c>
      <c r="C244" t="s">
        <v>25</v>
      </c>
      <c r="D244" t="s">
        <v>16</v>
      </c>
      <c r="F244" s="514">
        <f>+'29'!F244+'30'!F244+'31'!F244</f>
        <v>15</v>
      </c>
      <c r="G244" s="12">
        <f>+'29'!G244+'30'!G244+'31'!G244</f>
        <v>13499</v>
      </c>
      <c r="H244" s="12">
        <f>+'29'!H244+'30'!H244+'31'!H244</f>
        <v>120</v>
      </c>
      <c r="I244" s="271"/>
      <c r="J244" s="514">
        <f>+'29'!J244+'30'!J244+'31'!J244</f>
        <v>0</v>
      </c>
      <c r="K244" s="12">
        <f>+'29'!K244+'30'!K244+'31'!K244</f>
        <v>0</v>
      </c>
      <c r="L244" s="12">
        <f>+'29'!L244+'30'!L244+'31'!L244</f>
        <v>0</v>
      </c>
      <c r="M244" s="271"/>
      <c r="N244" s="514">
        <f>+'29'!N244+'30'!N244+'31'!N244</f>
        <v>15</v>
      </c>
      <c r="O244" s="12">
        <f>+'29'!O244+'30'!O244+'31'!O244</f>
        <v>13499</v>
      </c>
      <c r="P244" s="12">
        <f>+'29'!P244+'30'!P244+'31'!P244</f>
        <v>120</v>
      </c>
      <c r="Q244" s="532"/>
      <c r="R244" s="270">
        <v>15</v>
      </c>
      <c r="S244" s="12">
        <v>13499</v>
      </c>
      <c r="T244" s="12">
        <v>0</v>
      </c>
      <c r="U244" s="271"/>
      <c r="V244" s="533">
        <f t="shared" si="25"/>
        <v>0</v>
      </c>
      <c r="W244" s="533">
        <f t="shared" si="26"/>
        <v>0</v>
      </c>
      <c r="X244" s="257"/>
      <c r="Y244" s="261">
        <f t="shared" si="27"/>
        <v>0</v>
      </c>
      <c r="Z244" s="12">
        <f t="shared" si="28"/>
        <v>0</v>
      </c>
      <c r="AB244" s="13">
        <f t="shared" si="24"/>
        <v>13499</v>
      </c>
      <c r="AF244" s="13">
        <f t="shared" si="29"/>
        <v>13499</v>
      </c>
      <c r="AM244" s="12">
        <f t="shared" si="30"/>
        <v>0</v>
      </c>
      <c r="AN244" s="13">
        <f t="shared" si="31"/>
        <v>13499</v>
      </c>
    </row>
    <row r="245" spans="1:40" x14ac:dyDescent="0.25">
      <c r="A245">
        <v>240</v>
      </c>
      <c r="B245" t="s">
        <v>271</v>
      </c>
      <c r="C245" t="s">
        <v>25</v>
      </c>
      <c r="D245" t="s">
        <v>16</v>
      </c>
      <c r="F245" s="514">
        <f>+'29'!F245+'30'!F245+'31'!F245</f>
        <v>16</v>
      </c>
      <c r="G245" s="12">
        <f>+'29'!G245+'30'!G245+'31'!G245</f>
        <v>7294</v>
      </c>
      <c r="H245" s="12">
        <f>+'29'!H245+'30'!H245+'31'!H245</f>
        <v>128</v>
      </c>
      <c r="I245" s="271"/>
      <c r="J245" s="514">
        <f>+'29'!J245+'30'!J245+'31'!J245</f>
        <v>0</v>
      </c>
      <c r="K245" s="12">
        <f>+'29'!K245+'30'!K245+'31'!K245</f>
        <v>0</v>
      </c>
      <c r="L245" s="12">
        <f>+'29'!L245+'30'!L245+'31'!L245</f>
        <v>0</v>
      </c>
      <c r="M245" s="271"/>
      <c r="N245" s="514">
        <f>+'29'!N245+'30'!N245+'31'!N245</f>
        <v>16</v>
      </c>
      <c r="O245" s="12">
        <f>+'29'!O245+'30'!O245+'31'!O245</f>
        <v>7294</v>
      </c>
      <c r="P245" s="12">
        <f>+'29'!P245+'30'!P245+'31'!P245</f>
        <v>128</v>
      </c>
      <c r="Q245" s="532"/>
      <c r="R245" s="270">
        <v>16</v>
      </c>
      <c r="S245" s="12">
        <v>7294</v>
      </c>
      <c r="T245" s="12">
        <v>0</v>
      </c>
      <c r="U245" s="271"/>
      <c r="V245" s="533">
        <f t="shared" si="25"/>
        <v>0</v>
      </c>
      <c r="W245" s="533">
        <f t="shared" si="26"/>
        <v>0</v>
      </c>
      <c r="X245" s="257"/>
      <c r="Y245" s="261">
        <f t="shared" si="27"/>
        <v>0</v>
      </c>
      <c r="Z245" s="12">
        <f t="shared" si="28"/>
        <v>0</v>
      </c>
      <c r="AB245" s="13">
        <f t="shared" si="24"/>
        <v>7294</v>
      </c>
      <c r="AF245" s="13">
        <f t="shared" si="29"/>
        <v>7294</v>
      </c>
      <c r="AM245" s="12">
        <f t="shared" si="30"/>
        <v>0</v>
      </c>
      <c r="AN245" s="13">
        <f t="shared" si="31"/>
        <v>7294</v>
      </c>
    </row>
    <row r="246" spans="1:40" x14ac:dyDescent="0.25">
      <c r="A246">
        <v>241</v>
      </c>
      <c r="B246" t="s">
        <v>272</v>
      </c>
      <c r="C246" t="s">
        <v>25</v>
      </c>
      <c r="D246" t="s">
        <v>16</v>
      </c>
      <c r="F246" s="514">
        <f>+'29'!F246+'30'!F246+'31'!F246</f>
        <v>3</v>
      </c>
      <c r="G246" s="12">
        <f>+'29'!G246+'30'!G246+'31'!G246</f>
        <v>1519</v>
      </c>
      <c r="H246" s="12">
        <f>+'29'!H246+'30'!H246+'31'!H246</f>
        <v>24</v>
      </c>
      <c r="I246" s="271"/>
      <c r="J246" s="514">
        <f>+'29'!J246+'30'!J246+'31'!J246</f>
        <v>0</v>
      </c>
      <c r="K246" s="12">
        <f>+'29'!K246+'30'!K246+'31'!K246</f>
        <v>0</v>
      </c>
      <c r="L246" s="12">
        <f>+'29'!L246+'30'!L246+'31'!L246</f>
        <v>0</v>
      </c>
      <c r="M246" s="271"/>
      <c r="N246" s="514">
        <f>+'29'!N246+'30'!N246+'31'!N246</f>
        <v>3</v>
      </c>
      <c r="O246" s="12">
        <f>+'29'!O246+'30'!O246+'31'!O246</f>
        <v>1519</v>
      </c>
      <c r="P246" s="12">
        <f>+'29'!P246+'30'!P246+'31'!P246</f>
        <v>24</v>
      </c>
      <c r="Q246" s="532"/>
      <c r="R246" s="270">
        <v>3</v>
      </c>
      <c r="S246" s="12">
        <v>1519</v>
      </c>
      <c r="T246" s="12">
        <v>0</v>
      </c>
      <c r="U246" s="271"/>
      <c r="V246" s="533">
        <f t="shared" si="25"/>
        <v>0</v>
      </c>
      <c r="W246" s="533">
        <f t="shared" si="26"/>
        <v>0</v>
      </c>
      <c r="X246" s="257"/>
      <c r="Y246" s="261">
        <f t="shared" si="27"/>
        <v>0</v>
      </c>
      <c r="Z246" s="12">
        <f t="shared" si="28"/>
        <v>0</v>
      </c>
      <c r="AB246" s="13">
        <f t="shared" si="24"/>
        <v>1519</v>
      </c>
      <c r="AF246" s="13">
        <f t="shared" si="29"/>
        <v>1519</v>
      </c>
      <c r="AM246" s="12">
        <f t="shared" si="30"/>
        <v>0</v>
      </c>
      <c r="AN246" s="13">
        <f t="shared" si="31"/>
        <v>1519</v>
      </c>
    </row>
    <row r="247" spans="1:40" x14ac:dyDescent="0.25">
      <c r="A247">
        <v>242</v>
      </c>
      <c r="B247" t="s">
        <v>273</v>
      </c>
      <c r="C247" t="s">
        <v>25</v>
      </c>
      <c r="D247" t="s">
        <v>16</v>
      </c>
      <c r="F247" s="514">
        <f>+'29'!F247+'30'!F247+'31'!F247</f>
        <v>3</v>
      </c>
      <c r="G247" s="12">
        <f>+'29'!G247+'30'!G247+'31'!G247</f>
        <v>8769</v>
      </c>
      <c r="H247" s="12">
        <f>+'29'!H247+'30'!H247+'31'!H247</f>
        <v>24</v>
      </c>
      <c r="I247" s="271"/>
      <c r="J247" s="514">
        <f>+'29'!J247+'30'!J247+'31'!J247</f>
        <v>0</v>
      </c>
      <c r="K247" s="12">
        <f>+'29'!K247+'30'!K247+'31'!K247</f>
        <v>0</v>
      </c>
      <c r="L247" s="12">
        <f>+'29'!L247+'30'!L247+'31'!L247</f>
        <v>0</v>
      </c>
      <c r="M247" s="271"/>
      <c r="N247" s="514">
        <f>+'29'!N247+'30'!N247+'31'!N247</f>
        <v>3</v>
      </c>
      <c r="O247" s="12">
        <f>+'29'!O247+'30'!O247+'31'!O247</f>
        <v>8769</v>
      </c>
      <c r="P247" s="12">
        <f>+'29'!P247+'30'!P247+'31'!P247</f>
        <v>24</v>
      </c>
      <c r="Q247" s="532"/>
      <c r="R247" s="270">
        <v>3</v>
      </c>
      <c r="S247" s="12">
        <v>8769</v>
      </c>
      <c r="T247" s="12">
        <v>0</v>
      </c>
      <c r="U247" s="271"/>
      <c r="V247" s="533">
        <f t="shared" si="25"/>
        <v>0</v>
      </c>
      <c r="W247" s="533">
        <f t="shared" si="26"/>
        <v>0</v>
      </c>
      <c r="X247" s="257"/>
      <c r="Y247" s="261">
        <f t="shared" si="27"/>
        <v>0</v>
      </c>
      <c r="Z247" s="12">
        <f t="shared" si="28"/>
        <v>0</v>
      </c>
      <c r="AB247" s="13">
        <f t="shared" si="24"/>
        <v>8769</v>
      </c>
      <c r="AF247" s="13">
        <f t="shared" si="29"/>
        <v>8769</v>
      </c>
      <c r="AM247" s="12">
        <f t="shared" si="30"/>
        <v>0</v>
      </c>
      <c r="AN247" s="13">
        <f t="shared" si="31"/>
        <v>8769</v>
      </c>
    </row>
    <row r="248" spans="1:40" x14ac:dyDescent="0.25">
      <c r="A248">
        <v>243</v>
      </c>
      <c r="B248" t="s">
        <v>274</v>
      </c>
      <c r="C248" t="s">
        <v>25</v>
      </c>
      <c r="D248" t="s">
        <v>16</v>
      </c>
      <c r="F248" s="514">
        <f>+'29'!F248+'30'!F248+'31'!F248</f>
        <v>24</v>
      </c>
      <c r="G248" s="12">
        <f>+'29'!G248+'30'!G248+'31'!G248</f>
        <v>14879</v>
      </c>
      <c r="H248" s="12">
        <f>+'29'!H248+'30'!H248+'31'!H248</f>
        <v>192</v>
      </c>
      <c r="I248" s="271"/>
      <c r="J248" s="514">
        <f>+'29'!J248+'30'!J248+'31'!J248</f>
        <v>0</v>
      </c>
      <c r="K248" s="12">
        <f>+'29'!K248+'30'!K248+'31'!K248</f>
        <v>0</v>
      </c>
      <c r="L248" s="12">
        <f>+'29'!L248+'30'!L248+'31'!L248</f>
        <v>0</v>
      </c>
      <c r="M248" s="271"/>
      <c r="N248" s="514">
        <f>+'29'!N248+'30'!N248+'31'!N248</f>
        <v>24</v>
      </c>
      <c r="O248" s="12">
        <f>+'29'!O248+'30'!O248+'31'!O248</f>
        <v>14879</v>
      </c>
      <c r="P248" s="12">
        <f>+'29'!P248+'30'!P248+'31'!P248</f>
        <v>192</v>
      </c>
      <c r="Q248" s="532"/>
      <c r="R248" s="270">
        <v>24</v>
      </c>
      <c r="S248" s="12">
        <v>14879</v>
      </c>
      <c r="T248" s="12">
        <v>0</v>
      </c>
      <c r="U248" s="271"/>
      <c r="V248" s="533">
        <f t="shared" si="25"/>
        <v>0</v>
      </c>
      <c r="W248" s="533">
        <f t="shared" si="26"/>
        <v>0</v>
      </c>
      <c r="X248" s="257"/>
      <c r="Y248" s="261">
        <f t="shared" si="27"/>
        <v>0</v>
      </c>
      <c r="Z248" s="12">
        <f t="shared" si="28"/>
        <v>0</v>
      </c>
      <c r="AB248" s="13">
        <f t="shared" si="24"/>
        <v>14879</v>
      </c>
      <c r="AF248" s="13">
        <f t="shared" si="29"/>
        <v>14879</v>
      </c>
      <c r="AM248" s="12">
        <f t="shared" si="30"/>
        <v>0</v>
      </c>
      <c r="AN248" s="13">
        <f t="shared" si="31"/>
        <v>14879</v>
      </c>
    </row>
    <row r="249" spans="1:40" x14ac:dyDescent="0.25">
      <c r="A249">
        <v>244</v>
      </c>
      <c r="B249" t="s">
        <v>275</v>
      </c>
      <c r="C249" t="s">
        <v>25</v>
      </c>
      <c r="D249" t="s">
        <v>16</v>
      </c>
      <c r="F249" s="514">
        <f>+'29'!F249+'30'!F249+'31'!F249</f>
        <v>0</v>
      </c>
      <c r="G249" s="12">
        <f>+'29'!G249+'30'!G249+'31'!G249</f>
        <v>0</v>
      </c>
      <c r="H249" s="12">
        <f>+'29'!H249+'30'!H249+'31'!H249</f>
        <v>0</v>
      </c>
      <c r="I249" s="271"/>
      <c r="J249" s="514">
        <f>+'29'!J249+'30'!J249+'31'!J249</f>
        <v>0</v>
      </c>
      <c r="K249" s="12">
        <f>+'29'!K249+'30'!K249+'31'!K249</f>
        <v>0</v>
      </c>
      <c r="L249" s="12">
        <f>+'29'!L249+'30'!L249+'31'!L249</f>
        <v>0</v>
      </c>
      <c r="M249" s="271"/>
      <c r="N249" s="514">
        <f>+'29'!N249+'30'!N249+'31'!N249</f>
        <v>0</v>
      </c>
      <c r="O249" s="12">
        <f>+'29'!O249+'30'!O249+'31'!O249</f>
        <v>0</v>
      </c>
      <c r="P249" s="12">
        <f>+'29'!P249+'30'!P249+'31'!P249</f>
        <v>0</v>
      </c>
      <c r="Q249" s="532"/>
      <c r="R249" s="270">
        <v>0</v>
      </c>
      <c r="S249" s="12">
        <v>0</v>
      </c>
      <c r="T249" s="12">
        <v>0</v>
      </c>
      <c r="U249" s="271"/>
      <c r="V249" s="533">
        <f t="shared" si="25"/>
        <v>0</v>
      </c>
      <c r="W249" s="533">
        <f t="shared" si="26"/>
        <v>0</v>
      </c>
      <c r="X249" s="257"/>
      <c r="Y249" s="261">
        <f t="shared" si="27"/>
        <v>0</v>
      </c>
      <c r="Z249" s="12">
        <f t="shared" si="28"/>
        <v>0</v>
      </c>
      <c r="AB249" s="13">
        <f t="shared" si="24"/>
        <v>0</v>
      </c>
      <c r="AF249" s="13">
        <f t="shared" si="29"/>
        <v>0</v>
      </c>
      <c r="AM249" s="12">
        <f t="shared" si="30"/>
        <v>0</v>
      </c>
      <c r="AN249" s="13">
        <f t="shared" si="31"/>
        <v>0</v>
      </c>
    </row>
    <row r="250" spans="1:40" x14ac:dyDescent="0.25">
      <c r="A250">
        <v>245</v>
      </c>
      <c r="B250" t="s">
        <v>276</v>
      </c>
      <c r="C250" t="s">
        <v>154</v>
      </c>
      <c r="D250" t="s">
        <v>20</v>
      </c>
      <c r="F250" s="514">
        <f>+'29'!F250+'30'!F250+'31'!F250</f>
        <v>3</v>
      </c>
      <c r="G250" s="12">
        <f>+'29'!G250+'30'!G250+'31'!G250</f>
        <v>97524</v>
      </c>
      <c r="H250" s="12">
        <f>+'29'!H250+'30'!H250+'31'!H250</f>
        <v>420</v>
      </c>
      <c r="I250" s="271"/>
      <c r="J250" s="514">
        <f>+'29'!J250+'30'!J250+'31'!J250</f>
        <v>0</v>
      </c>
      <c r="K250" s="12">
        <f>+'29'!K250+'30'!K250+'31'!K250</f>
        <v>0</v>
      </c>
      <c r="L250" s="12">
        <f>+'29'!L250+'30'!L250+'31'!L250</f>
        <v>0</v>
      </c>
      <c r="M250" s="271"/>
      <c r="N250" s="514">
        <f>+'29'!N250+'30'!N250+'31'!N250</f>
        <v>3</v>
      </c>
      <c r="O250" s="12">
        <f>+'29'!O250+'30'!O250+'31'!O250</f>
        <v>97524</v>
      </c>
      <c r="P250" s="12">
        <f>+'29'!P250+'30'!P250+'31'!P250</f>
        <v>420</v>
      </c>
      <c r="Q250" s="532"/>
      <c r="R250" s="270">
        <v>3</v>
      </c>
      <c r="S250" s="12">
        <v>97104</v>
      </c>
      <c r="T250" s="12">
        <v>420</v>
      </c>
      <c r="U250" s="271"/>
      <c r="V250" s="533">
        <f t="shared" si="25"/>
        <v>0</v>
      </c>
      <c r="W250" s="533">
        <f t="shared" si="26"/>
        <v>420</v>
      </c>
      <c r="X250" s="257"/>
      <c r="Y250" s="261">
        <f t="shared" si="27"/>
        <v>0</v>
      </c>
      <c r="Z250" s="12">
        <f t="shared" si="28"/>
        <v>420</v>
      </c>
      <c r="AB250" s="13">
        <f t="shared" si="24"/>
        <v>97524</v>
      </c>
      <c r="AF250" s="13">
        <f t="shared" si="29"/>
        <v>97524</v>
      </c>
      <c r="AM250" s="12">
        <f t="shared" si="30"/>
        <v>0</v>
      </c>
      <c r="AN250" s="13">
        <f t="shared" si="31"/>
        <v>97524</v>
      </c>
    </row>
    <row r="251" spans="1:40" x14ac:dyDescent="0.25">
      <c r="A251">
        <v>246</v>
      </c>
      <c r="B251" t="s">
        <v>277</v>
      </c>
      <c r="C251" t="s">
        <v>154</v>
      </c>
      <c r="D251" t="s">
        <v>16</v>
      </c>
      <c r="F251" s="514">
        <f>+'29'!F251+'30'!F251+'31'!F251</f>
        <v>0</v>
      </c>
      <c r="G251" s="12">
        <f>+'29'!G251+'30'!G251+'31'!G251</f>
        <v>0</v>
      </c>
      <c r="H251" s="12">
        <f>+'29'!H251+'30'!H251+'31'!H251</f>
        <v>0</v>
      </c>
      <c r="I251" s="271"/>
      <c r="J251" s="514">
        <f>+'29'!J251+'30'!J251+'31'!J251</f>
        <v>0</v>
      </c>
      <c r="K251" s="12">
        <f>+'29'!K251+'30'!K251+'31'!K251</f>
        <v>0</v>
      </c>
      <c r="L251" s="12">
        <f>+'29'!L251+'30'!L251+'31'!L251</f>
        <v>0</v>
      </c>
      <c r="M251" s="271"/>
      <c r="N251" s="514">
        <f>+'29'!N251+'30'!N251+'31'!N251</f>
        <v>0</v>
      </c>
      <c r="O251" s="12">
        <f>+'29'!O251+'30'!O251+'31'!O251</f>
        <v>0</v>
      </c>
      <c r="P251" s="12">
        <f>+'29'!P251+'30'!P251+'31'!P251</f>
        <v>0</v>
      </c>
      <c r="Q251" s="532"/>
      <c r="R251" s="270">
        <v>0</v>
      </c>
      <c r="S251" s="12">
        <v>0</v>
      </c>
      <c r="T251" s="12">
        <v>0</v>
      </c>
      <c r="U251" s="271"/>
      <c r="V251" s="533">
        <f t="shared" si="25"/>
        <v>0</v>
      </c>
      <c r="W251" s="533">
        <f t="shared" si="26"/>
        <v>0</v>
      </c>
      <c r="X251" s="257"/>
      <c r="Y251" s="261">
        <f t="shared" si="27"/>
        <v>0</v>
      </c>
      <c r="Z251" s="12">
        <f t="shared" si="28"/>
        <v>0</v>
      </c>
      <c r="AB251" s="13">
        <f t="shared" si="24"/>
        <v>0</v>
      </c>
      <c r="AF251" s="13">
        <f t="shared" si="29"/>
        <v>0</v>
      </c>
      <c r="AM251" s="12">
        <f t="shared" si="30"/>
        <v>0</v>
      </c>
      <c r="AN251" s="13">
        <f t="shared" si="31"/>
        <v>0</v>
      </c>
    </row>
    <row r="252" spans="1:40" x14ac:dyDescent="0.25">
      <c r="A252">
        <v>247</v>
      </c>
      <c r="B252" t="s">
        <v>278</v>
      </c>
      <c r="C252" t="s">
        <v>24</v>
      </c>
      <c r="D252" t="s">
        <v>16</v>
      </c>
      <c r="F252" s="514">
        <f>+'29'!F252+'30'!F252+'31'!F252</f>
        <v>130</v>
      </c>
      <c r="G252" s="12">
        <f>+'29'!G252+'30'!G252+'31'!G252</f>
        <v>8211038.1000000006</v>
      </c>
      <c r="H252" s="12">
        <f>+'29'!H252+'30'!H252+'31'!H252</f>
        <v>5475</v>
      </c>
      <c r="I252" s="271"/>
      <c r="J252" s="514">
        <f>+'29'!J252+'30'!J252+'31'!J252</f>
        <v>0</v>
      </c>
      <c r="K252" s="12">
        <f>+'29'!K252+'30'!K252+'31'!K252</f>
        <v>0</v>
      </c>
      <c r="L252" s="12">
        <f>+'29'!L252+'30'!L252+'31'!L252</f>
        <v>0</v>
      </c>
      <c r="M252" s="271"/>
      <c r="N252" s="514">
        <f>+'29'!N252+'30'!N252+'31'!N252</f>
        <v>130</v>
      </c>
      <c r="O252" s="12">
        <f>+'29'!O252+'30'!O252+'31'!O252</f>
        <v>8211038.1000000006</v>
      </c>
      <c r="P252" s="12">
        <f>+'29'!P252+'30'!P252+'31'!P252</f>
        <v>5475</v>
      </c>
      <c r="Q252" s="532"/>
      <c r="R252" s="270">
        <v>130</v>
      </c>
      <c r="S252" s="12">
        <v>8211038.0999999996</v>
      </c>
      <c r="T252" s="12">
        <v>0</v>
      </c>
      <c r="U252" s="271"/>
      <c r="V252" s="533">
        <f t="shared" si="25"/>
        <v>0</v>
      </c>
      <c r="W252" s="533">
        <f t="shared" si="26"/>
        <v>0</v>
      </c>
      <c r="X252" s="257"/>
      <c r="Y252" s="261">
        <f t="shared" si="27"/>
        <v>0</v>
      </c>
      <c r="Z252" s="12">
        <f t="shared" si="28"/>
        <v>0</v>
      </c>
      <c r="AB252" s="13">
        <f t="shared" si="24"/>
        <v>8211038.1000000006</v>
      </c>
      <c r="AF252" s="13">
        <f t="shared" si="29"/>
        <v>8211038.1000000006</v>
      </c>
      <c r="AM252" s="12">
        <f t="shared" si="30"/>
        <v>0</v>
      </c>
      <c r="AN252" s="13">
        <f t="shared" si="31"/>
        <v>8211038.1000000006</v>
      </c>
    </row>
    <row r="253" spans="1:40" x14ac:dyDescent="0.25">
      <c r="A253">
        <v>248</v>
      </c>
      <c r="B253" t="s">
        <v>279</v>
      </c>
      <c r="C253" t="s">
        <v>41</v>
      </c>
      <c r="D253" t="s">
        <v>20</v>
      </c>
      <c r="F253" s="514">
        <f>+'29'!F253+'30'!F253+'31'!F253</f>
        <v>0</v>
      </c>
      <c r="G253" s="12">
        <f>+'29'!G253+'30'!G253+'31'!G253</f>
        <v>0</v>
      </c>
      <c r="H253" s="12">
        <f>+'29'!H253+'30'!H253+'31'!H253</f>
        <v>0</v>
      </c>
      <c r="I253" s="271"/>
      <c r="J253" s="514">
        <f>+'29'!J253+'30'!J253+'31'!J253</f>
        <v>0</v>
      </c>
      <c r="K253" s="12">
        <f>+'29'!K253+'30'!K253+'31'!K253</f>
        <v>0</v>
      </c>
      <c r="L253" s="12">
        <f>+'29'!L253+'30'!L253+'31'!L253</f>
        <v>0</v>
      </c>
      <c r="M253" s="271"/>
      <c r="N253" s="514">
        <f>+'29'!N253+'30'!N253+'31'!N253</f>
        <v>0</v>
      </c>
      <c r="O253" s="12">
        <f>+'29'!O253+'30'!O253+'31'!O253</f>
        <v>0</v>
      </c>
      <c r="P253" s="12">
        <f>+'29'!P253+'30'!P253+'31'!P253</f>
        <v>0</v>
      </c>
      <c r="Q253" s="532"/>
      <c r="R253" s="270">
        <v>0</v>
      </c>
      <c r="S253" s="12">
        <v>0</v>
      </c>
      <c r="T253" s="12">
        <v>0</v>
      </c>
      <c r="U253" s="271"/>
      <c r="V253" s="533">
        <f t="shared" si="25"/>
        <v>0</v>
      </c>
      <c r="W253" s="533">
        <f t="shared" si="26"/>
        <v>0</v>
      </c>
      <c r="X253" s="257"/>
      <c r="Y253" s="261">
        <f t="shared" si="27"/>
        <v>0</v>
      </c>
      <c r="Z253" s="12">
        <f t="shared" si="28"/>
        <v>0</v>
      </c>
      <c r="AB253" s="13">
        <f t="shared" si="24"/>
        <v>0</v>
      </c>
      <c r="AF253" s="13">
        <f t="shared" si="29"/>
        <v>0</v>
      </c>
      <c r="AM253" s="12">
        <f t="shared" si="30"/>
        <v>0</v>
      </c>
      <c r="AN253" s="13">
        <f t="shared" si="31"/>
        <v>0</v>
      </c>
    </row>
    <row r="254" spans="1:40" x14ac:dyDescent="0.25">
      <c r="A254">
        <v>249</v>
      </c>
      <c r="B254" t="s">
        <v>280</v>
      </c>
      <c r="C254" t="s">
        <v>25</v>
      </c>
      <c r="D254" t="s">
        <v>16</v>
      </c>
      <c r="F254" s="514">
        <f>+'29'!F254+'30'!F254+'31'!F254</f>
        <v>0</v>
      </c>
      <c r="G254" s="12">
        <f>+'29'!G254+'30'!G254+'31'!G254</f>
        <v>0</v>
      </c>
      <c r="H254" s="12">
        <f>+'29'!H254+'30'!H254+'31'!H254</f>
        <v>0</v>
      </c>
      <c r="I254" s="271"/>
      <c r="J254" s="514">
        <f>+'29'!J254+'30'!J254+'31'!J254</f>
        <v>0</v>
      </c>
      <c r="K254" s="12">
        <f>+'29'!K254+'30'!K254+'31'!K254</f>
        <v>0</v>
      </c>
      <c r="L254" s="12">
        <f>+'29'!L254+'30'!L254+'31'!L254</f>
        <v>0</v>
      </c>
      <c r="M254" s="271"/>
      <c r="N254" s="514">
        <f>+'29'!N254+'30'!N254+'31'!N254</f>
        <v>0</v>
      </c>
      <c r="O254" s="12">
        <f>+'29'!O254+'30'!O254+'31'!O254</f>
        <v>0</v>
      </c>
      <c r="P254" s="12">
        <f>+'29'!P254+'30'!P254+'31'!P254</f>
        <v>0</v>
      </c>
      <c r="Q254" s="532"/>
      <c r="R254" s="270">
        <v>0</v>
      </c>
      <c r="S254" s="12">
        <v>0</v>
      </c>
      <c r="T254" s="12">
        <v>0</v>
      </c>
      <c r="U254" s="271"/>
      <c r="V254" s="533">
        <f t="shared" si="25"/>
        <v>0</v>
      </c>
      <c r="W254" s="533">
        <f t="shared" si="26"/>
        <v>0</v>
      </c>
      <c r="X254" s="257"/>
      <c r="Y254" s="261">
        <f t="shared" si="27"/>
        <v>0</v>
      </c>
      <c r="Z254" s="12">
        <f t="shared" si="28"/>
        <v>0</v>
      </c>
      <c r="AB254" s="13">
        <f t="shared" si="24"/>
        <v>0</v>
      </c>
      <c r="AF254" s="13">
        <f t="shared" si="29"/>
        <v>0</v>
      </c>
      <c r="AM254" s="12">
        <f t="shared" si="30"/>
        <v>0</v>
      </c>
      <c r="AN254" s="13">
        <f t="shared" si="31"/>
        <v>0</v>
      </c>
    </row>
    <row r="255" spans="1:40" x14ac:dyDescent="0.25">
      <c r="A255">
        <v>250</v>
      </c>
      <c r="B255" t="s">
        <v>281</v>
      </c>
      <c r="C255" t="s">
        <v>148</v>
      </c>
      <c r="D255" t="s">
        <v>16</v>
      </c>
      <c r="F255" s="514">
        <f>+'29'!F255+'30'!F255+'31'!F255</f>
        <v>1</v>
      </c>
      <c r="G255" s="12">
        <f>+'29'!G255+'30'!G255+'31'!G255</f>
        <v>18700</v>
      </c>
      <c r="H255" s="12">
        <f>+'29'!H255+'30'!H255+'31'!H255</f>
        <v>30</v>
      </c>
      <c r="I255" s="271"/>
      <c r="J255" s="514">
        <f>+'29'!J255+'30'!J255+'31'!J255</f>
        <v>0</v>
      </c>
      <c r="K255" s="12">
        <f>+'29'!K255+'30'!K255+'31'!K255</f>
        <v>0</v>
      </c>
      <c r="L255" s="12">
        <f>+'29'!L255+'30'!L255+'31'!L255</f>
        <v>0</v>
      </c>
      <c r="M255" s="271"/>
      <c r="N255" s="514">
        <f>+'29'!N255+'30'!N255+'31'!N255</f>
        <v>1</v>
      </c>
      <c r="O255" s="12">
        <f>+'29'!O255+'30'!O255+'31'!O255</f>
        <v>18700</v>
      </c>
      <c r="P255" s="12">
        <f>+'29'!P255+'30'!P255+'31'!P255</f>
        <v>30</v>
      </c>
      <c r="Q255" s="532"/>
      <c r="R255" s="270">
        <v>1</v>
      </c>
      <c r="S255" s="12">
        <v>18700</v>
      </c>
      <c r="T255" s="12">
        <v>0</v>
      </c>
      <c r="U255" s="271"/>
      <c r="V255" s="533">
        <f t="shared" si="25"/>
        <v>0</v>
      </c>
      <c r="W255" s="533">
        <f t="shared" si="26"/>
        <v>0</v>
      </c>
      <c r="X255" s="257"/>
      <c r="Y255" s="261">
        <f t="shared" si="27"/>
        <v>0</v>
      </c>
      <c r="Z255" s="12">
        <f t="shared" si="28"/>
        <v>0</v>
      </c>
      <c r="AB255" s="13">
        <f t="shared" si="24"/>
        <v>18700</v>
      </c>
      <c r="AF255" s="13">
        <f t="shared" si="29"/>
        <v>18700</v>
      </c>
      <c r="AM255" s="12">
        <f t="shared" si="30"/>
        <v>0</v>
      </c>
      <c r="AN255" s="13">
        <f t="shared" si="31"/>
        <v>18700</v>
      </c>
    </row>
    <row r="256" spans="1:40" x14ac:dyDescent="0.25">
      <c r="A256">
        <v>251</v>
      </c>
      <c r="B256" t="s">
        <v>282</v>
      </c>
      <c r="C256" t="s">
        <v>27</v>
      </c>
      <c r="D256" t="s">
        <v>16</v>
      </c>
      <c r="F256" s="514">
        <f>+'29'!F256+'30'!F256+'31'!F256</f>
        <v>0</v>
      </c>
      <c r="G256" s="12">
        <f>+'29'!G256+'30'!G256+'31'!G256</f>
        <v>0</v>
      </c>
      <c r="H256" s="12">
        <f>+'29'!H256+'30'!H256+'31'!H256</f>
        <v>0</v>
      </c>
      <c r="I256" s="271"/>
      <c r="J256" s="514">
        <f>+'29'!J256+'30'!J256+'31'!J256</f>
        <v>0</v>
      </c>
      <c r="K256" s="12">
        <f>+'29'!K256+'30'!K256+'31'!K256</f>
        <v>0</v>
      </c>
      <c r="L256" s="12">
        <f>+'29'!L256+'30'!L256+'31'!L256</f>
        <v>0</v>
      </c>
      <c r="M256" s="271"/>
      <c r="N256" s="514">
        <f>+'29'!N256+'30'!N256+'31'!N256</f>
        <v>0</v>
      </c>
      <c r="O256" s="12">
        <f>+'29'!O256+'30'!O256+'31'!O256</f>
        <v>0</v>
      </c>
      <c r="P256" s="12">
        <f>+'29'!P256+'30'!P256+'31'!P256</f>
        <v>0</v>
      </c>
      <c r="Q256" s="532"/>
      <c r="R256" s="270">
        <v>0</v>
      </c>
      <c r="S256" s="12">
        <v>0</v>
      </c>
      <c r="T256" s="12">
        <v>0</v>
      </c>
      <c r="U256" s="271"/>
      <c r="V256" s="533">
        <f t="shared" si="25"/>
        <v>0</v>
      </c>
      <c r="W256" s="533">
        <f t="shared" si="26"/>
        <v>0</v>
      </c>
      <c r="X256" s="257"/>
      <c r="Y256" s="261">
        <f t="shared" si="27"/>
        <v>0</v>
      </c>
      <c r="Z256" s="12">
        <f t="shared" si="28"/>
        <v>0</v>
      </c>
      <c r="AB256" s="13">
        <f t="shared" si="24"/>
        <v>0</v>
      </c>
      <c r="AF256" s="13">
        <f t="shared" si="29"/>
        <v>0</v>
      </c>
      <c r="AM256" s="12">
        <f t="shared" si="30"/>
        <v>0</v>
      </c>
      <c r="AN256" s="13">
        <f t="shared" si="31"/>
        <v>0</v>
      </c>
    </row>
    <row r="257" spans="1:40" x14ac:dyDescent="0.25">
      <c r="A257">
        <v>252</v>
      </c>
      <c r="B257" t="s">
        <v>283</v>
      </c>
      <c r="C257" t="s">
        <v>135</v>
      </c>
      <c r="D257" t="s">
        <v>16</v>
      </c>
      <c r="F257" s="514">
        <f>+'29'!F257+'30'!F257+'31'!F257</f>
        <v>0</v>
      </c>
      <c r="G257" s="12">
        <f>+'29'!G257+'30'!G257+'31'!G257</f>
        <v>0</v>
      </c>
      <c r="H257" s="12">
        <f>+'29'!H257+'30'!H257+'31'!H257</f>
        <v>0</v>
      </c>
      <c r="I257" s="271"/>
      <c r="J257" s="514">
        <f>+'29'!J257+'30'!J257+'31'!J257</f>
        <v>0</v>
      </c>
      <c r="K257" s="12">
        <f>+'29'!K257+'30'!K257+'31'!K257</f>
        <v>0</v>
      </c>
      <c r="L257" s="12">
        <f>+'29'!L257+'30'!L257+'31'!L257</f>
        <v>0</v>
      </c>
      <c r="M257" s="271"/>
      <c r="N257" s="514">
        <f>+'29'!N257+'30'!N257+'31'!N257</f>
        <v>0</v>
      </c>
      <c r="O257" s="12">
        <f>+'29'!O257+'30'!O257+'31'!O257</f>
        <v>0</v>
      </c>
      <c r="P257" s="12">
        <f>+'29'!P257+'30'!P257+'31'!P257</f>
        <v>0</v>
      </c>
      <c r="Q257" s="532"/>
      <c r="R257" s="270">
        <v>0</v>
      </c>
      <c r="S257" s="12">
        <v>0</v>
      </c>
      <c r="T257" s="12">
        <v>0</v>
      </c>
      <c r="U257" s="271"/>
      <c r="V257" s="533">
        <f t="shared" si="25"/>
        <v>0</v>
      </c>
      <c r="W257" s="533">
        <f t="shared" si="26"/>
        <v>0</v>
      </c>
      <c r="X257" s="257"/>
      <c r="Y257" s="261">
        <f t="shared" si="27"/>
        <v>0</v>
      </c>
      <c r="Z257" s="12">
        <f t="shared" si="28"/>
        <v>0</v>
      </c>
      <c r="AB257" s="13">
        <f t="shared" si="24"/>
        <v>0</v>
      </c>
      <c r="AF257" s="13">
        <f t="shared" si="29"/>
        <v>0</v>
      </c>
      <c r="AG257" s="16"/>
      <c r="AM257" s="12">
        <f t="shared" si="30"/>
        <v>0</v>
      </c>
      <c r="AN257" s="13">
        <f t="shared" si="31"/>
        <v>0</v>
      </c>
    </row>
    <row r="258" spans="1:40" x14ac:dyDescent="0.25">
      <c r="A258">
        <v>253</v>
      </c>
      <c r="B258" t="s">
        <v>284</v>
      </c>
      <c r="C258" t="s">
        <v>15</v>
      </c>
      <c r="D258" t="s">
        <v>16</v>
      </c>
      <c r="F258" s="514">
        <f>+'29'!F258+'30'!F258+'31'!F258</f>
        <v>10400</v>
      </c>
      <c r="G258" s="12">
        <f>+'29'!G258+'30'!G258+'31'!G258</f>
        <v>27881291.870000005</v>
      </c>
      <c r="H258" s="12">
        <f>+'29'!H258+'30'!H258+'31'!H258</f>
        <v>156000</v>
      </c>
      <c r="I258" s="271"/>
      <c r="J258" s="514">
        <f>+'29'!J258+'30'!J258+'31'!J258</f>
        <v>0</v>
      </c>
      <c r="K258" s="12">
        <f>+'29'!K258+'30'!K258+'31'!K258</f>
        <v>0</v>
      </c>
      <c r="L258" s="12">
        <f>+'29'!L258+'30'!L258+'31'!L258</f>
        <v>0</v>
      </c>
      <c r="M258" s="271"/>
      <c r="N258" s="514">
        <f>+'29'!N258+'30'!N258+'31'!N258</f>
        <v>10400</v>
      </c>
      <c r="O258" s="12">
        <f>+'29'!O258+'30'!O258+'31'!O258</f>
        <v>27881291.870000005</v>
      </c>
      <c r="P258" s="12">
        <f>+'29'!P258+'30'!P258+'31'!P258</f>
        <v>156000</v>
      </c>
      <c r="Q258" s="532"/>
      <c r="R258" s="270">
        <v>10399</v>
      </c>
      <c r="S258" s="12">
        <v>27881291.870000001</v>
      </c>
      <c r="T258" s="12">
        <v>0</v>
      </c>
      <c r="U258" s="271"/>
      <c r="V258" s="533">
        <f t="shared" si="25"/>
        <v>1</v>
      </c>
      <c r="W258" s="533">
        <f t="shared" si="26"/>
        <v>0</v>
      </c>
      <c r="X258" s="257"/>
      <c r="Y258" s="261">
        <f t="shared" si="27"/>
        <v>1</v>
      </c>
      <c r="Z258" s="12">
        <f t="shared" si="28"/>
        <v>0</v>
      </c>
      <c r="AB258" s="13">
        <f t="shared" si="24"/>
        <v>27881291.870000005</v>
      </c>
      <c r="AF258" s="13">
        <f t="shared" si="29"/>
        <v>27881291.870000005</v>
      </c>
      <c r="AM258" s="12">
        <f t="shared" si="30"/>
        <v>0</v>
      </c>
      <c r="AN258" s="13">
        <f t="shared" si="31"/>
        <v>27881291.870000005</v>
      </c>
    </row>
    <row r="259" spans="1:40" x14ac:dyDescent="0.25">
      <c r="A259">
        <v>254</v>
      </c>
      <c r="B259" t="s">
        <v>285</v>
      </c>
      <c r="C259" t="s">
        <v>18</v>
      </c>
      <c r="D259" t="s">
        <v>20</v>
      </c>
      <c r="F259" s="514">
        <f>+'29'!F259+'30'!F259+'31'!F259</f>
        <v>13</v>
      </c>
      <c r="G259" s="12">
        <f>+'29'!G259+'30'!G259+'31'!G259</f>
        <v>132905</v>
      </c>
      <c r="H259" s="12">
        <f>+'29'!H259+'30'!H259+'31'!H259</f>
        <v>370</v>
      </c>
      <c r="I259" s="271"/>
      <c r="J259" s="514">
        <f>+'29'!J259+'30'!J259+'31'!J259</f>
        <v>0</v>
      </c>
      <c r="K259" s="12">
        <f>+'29'!K259+'30'!K259+'31'!K259</f>
        <v>0</v>
      </c>
      <c r="L259" s="12">
        <f>+'29'!L259+'30'!L259+'31'!L259</f>
        <v>0</v>
      </c>
      <c r="M259" s="271"/>
      <c r="N259" s="514">
        <f>+'29'!N259+'30'!N259+'31'!N259</f>
        <v>13</v>
      </c>
      <c r="O259" s="12">
        <f>+'29'!O259+'30'!O259+'31'!O259</f>
        <v>132905</v>
      </c>
      <c r="P259" s="12">
        <f>+'29'!P259+'30'!P259+'31'!P259</f>
        <v>370</v>
      </c>
      <c r="Q259" s="532"/>
      <c r="R259" s="270">
        <v>13</v>
      </c>
      <c r="S259" s="12">
        <v>132905</v>
      </c>
      <c r="T259" s="12">
        <v>0</v>
      </c>
      <c r="U259" s="271"/>
      <c r="V259" s="533">
        <f t="shared" si="25"/>
        <v>0</v>
      </c>
      <c r="W259" s="533">
        <f t="shared" si="26"/>
        <v>0</v>
      </c>
      <c r="X259" s="257"/>
      <c r="Y259" s="261">
        <f t="shared" si="27"/>
        <v>0</v>
      </c>
      <c r="Z259" s="12">
        <f t="shared" si="28"/>
        <v>0</v>
      </c>
      <c r="AB259" s="13">
        <f t="shared" si="24"/>
        <v>132905</v>
      </c>
      <c r="AF259" s="13">
        <f t="shared" si="29"/>
        <v>132905</v>
      </c>
      <c r="AM259" s="12">
        <f t="shared" si="30"/>
        <v>0</v>
      </c>
      <c r="AN259" s="13">
        <f t="shared" si="31"/>
        <v>132905</v>
      </c>
    </row>
    <row r="260" spans="1:40" x14ac:dyDescent="0.25">
      <c r="A260">
        <v>255</v>
      </c>
      <c r="B260" t="s">
        <v>286</v>
      </c>
      <c r="C260" t="s">
        <v>24</v>
      </c>
      <c r="D260" t="s">
        <v>16</v>
      </c>
      <c r="F260" s="514">
        <f>+'29'!F260+'30'!F260+'31'!F260</f>
        <v>19</v>
      </c>
      <c r="G260" s="12">
        <f>+'29'!G260+'30'!G260+'31'!G260</f>
        <v>504531.52</v>
      </c>
      <c r="H260" s="12">
        <f>+'29'!H260+'30'!H260+'31'!H260</f>
        <v>600</v>
      </c>
      <c r="I260" s="271"/>
      <c r="J260" s="514">
        <f>+'29'!J260+'30'!J260+'31'!J260</f>
        <v>0</v>
      </c>
      <c r="K260" s="12">
        <f>+'29'!K260+'30'!K260+'31'!K260</f>
        <v>0</v>
      </c>
      <c r="L260" s="12">
        <f>+'29'!L260+'30'!L260+'31'!L260</f>
        <v>0</v>
      </c>
      <c r="M260" s="271"/>
      <c r="N260" s="514">
        <f>+'29'!N260+'30'!N260+'31'!N260</f>
        <v>19</v>
      </c>
      <c r="O260" s="12">
        <f>+'29'!O260+'30'!O260+'31'!O260</f>
        <v>504531.52</v>
      </c>
      <c r="P260" s="12">
        <f>+'29'!P260+'30'!P260+'31'!P260</f>
        <v>600</v>
      </c>
      <c r="Q260" s="532"/>
      <c r="R260" s="270">
        <v>19</v>
      </c>
      <c r="S260" s="12">
        <v>504531.52</v>
      </c>
      <c r="T260" s="12">
        <v>0</v>
      </c>
      <c r="U260" s="271"/>
      <c r="V260" s="533">
        <f t="shared" si="25"/>
        <v>0</v>
      </c>
      <c r="W260" s="533">
        <f t="shared" si="26"/>
        <v>0</v>
      </c>
      <c r="X260" s="257"/>
      <c r="Y260" s="261">
        <f t="shared" si="27"/>
        <v>0</v>
      </c>
      <c r="Z260" s="12">
        <f t="shared" si="28"/>
        <v>0</v>
      </c>
      <c r="AB260" s="13">
        <f t="shared" si="24"/>
        <v>504531.52</v>
      </c>
      <c r="AF260" s="13">
        <f t="shared" si="29"/>
        <v>504531.52</v>
      </c>
      <c r="AM260" s="12">
        <f t="shared" si="30"/>
        <v>0</v>
      </c>
      <c r="AN260" s="13">
        <f t="shared" si="31"/>
        <v>504531.52</v>
      </c>
    </row>
    <row r="261" spans="1:40" x14ac:dyDescent="0.25">
      <c r="A261">
        <v>256</v>
      </c>
      <c r="B261" t="s">
        <v>287</v>
      </c>
      <c r="C261" t="s">
        <v>15</v>
      </c>
      <c r="D261" t="s">
        <v>16</v>
      </c>
      <c r="F261" s="514">
        <f>+'29'!F261+'30'!F261+'31'!F261</f>
        <v>9</v>
      </c>
      <c r="G261" s="12">
        <f>+'29'!G261+'30'!G261+'31'!G261</f>
        <v>12293.15</v>
      </c>
      <c r="H261" s="12">
        <f>+'29'!H261+'30'!H261+'31'!H261</f>
        <v>72</v>
      </c>
      <c r="I261" s="271"/>
      <c r="J261" s="514">
        <f>+'29'!J261+'30'!J261+'31'!J261</f>
        <v>0</v>
      </c>
      <c r="K261" s="12">
        <f>+'29'!K261+'30'!K261+'31'!K261</f>
        <v>0</v>
      </c>
      <c r="L261" s="12">
        <f>+'29'!L261+'30'!L261+'31'!L261</f>
        <v>0</v>
      </c>
      <c r="M261" s="271"/>
      <c r="N261" s="514">
        <f>+'29'!N261+'30'!N261+'31'!N261</f>
        <v>9</v>
      </c>
      <c r="O261" s="12">
        <f>+'29'!O261+'30'!O261+'31'!O261</f>
        <v>12293.15</v>
      </c>
      <c r="P261" s="12">
        <f>+'29'!P261+'30'!P261+'31'!P261</f>
        <v>72</v>
      </c>
      <c r="Q261" s="532"/>
      <c r="R261" s="270">
        <v>9</v>
      </c>
      <c r="S261" s="12">
        <v>12293.15</v>
      </c>
      <c r="T261" s="12">
        <v>0</v>
      </c>
      <c r="U261" s="271"/>
      <c r="V261" s="533">
        <f t="shared" si="25"/>
        <v>0</v>
      </c>
      <c r="W261" s="533">
        <f t="shared" si="26"/>
        <v>0</v>
      </c>
      <c r="X261" s="257"/>
      <c r="Y261" s="261">
        <f t="shared" si="27"/>
        <v>0</v>
      </c>
      <c r="Z261" s="12">
        <f t="shared" si="28"/>
        <v>0</v>
      </c>
      <c r="AB261" s="13">
        <f t="shared" si="24"/>
        <v>12293.15</v>
      </c>
      <c r="AF261" s="13">
        <f t="shared" si="29"/>
        <v>12293.15</v>
      </c>
      <c r="AM261" s="12">
        <f t="shared" si="30"/>
        <v>0</v>
      </c>
      <c r="AN261" s="13">
        <f t="shared" si="31"/>
        <v>12293.15</v>
      </c>
    </row>
    <row r="262" spans="1:40" x14ac:dyDescent="0.25">
      <c r="A262">
        <v>257</v>
      </c>
      <c r="B262" t="s">
        <v>288</v>
      </c>
      <c r="C262" t="s">
        <v>15</v>
      </c>
      <c r="D262" t="s">
        <v>16</v>
      </c>
      <c r="F262" s="514">
        <f>+'29'!F262+'30'!F262+'31'!F262</f>
        <v>8</v>
      </c>
      <c r="G262" s="12">
        <f>+'29'!G262+'30'!G262+'31'!G262</f>
        <v>10556.55</v>
      </c>
      <c r="H262" s="12">
        <f>+'29'!H262+'30'!H262+'31'!H262</f>
        <v>64</v>
      </c>
      <c r="I262" s="271"/>
      <c r="J262" s="514">
        <f>+'29'!J262+'30'!J262+'31'!J262</f>
        <v>0</v>
      </c>
      <c r="K262" s="12">
        <f>+'29'!K262+'30'!K262+'31'!K262</f>
        <v>0</v>
      </c>
      <c r="L262" s="12">
        <f>+'29'!L262+'30'!L262+'31'!L262</f>
        <v>0</v>
      </c>
      <c r="M262" s="271"/>
      <c r="N262" s="514">
        <f>+'29'!N262+'30'!N262+'31'!N262</f>
        <v>8</v>
      </c>
      <c r="O262" s="12">
        <f>+'29'!O262+'30'!O262+'31'!O262</f>
        <v>10556.55</v>
      </c>
      <c r="P262" s="12">
        <f>+'29'!P262+'30'!P262+'31'!P262</f>
        <v>64</v>
      </c>
      <c r="Q262" s="532"/>
      <c r="R262" s="270">
        <v>8</v>
      </c>
      <c r="S262" s="12">
        <v>10556.55</v>
      </c>
      <c r="T262" s="12">
        <v>0</v>
      </c>
      <c r="U262" s="271"/>
      <c r="V262" s="533">
        <f t="shared" si="25"/>
        <v>0</v>
      </c>
      <c r="W262" s="533">
        <f t="shared" si="26"/>
        <v>0</v>
      </c>
      <c r="X262" s="257"/>
      <c r="Y262" s="261">
        <f t="shared" si="27"/>
        <v>0</v>
      </c>
      <c r="Z262" s="12">
        <f t="shared" si="28"/>
        <v>0</v>
      </c>
      <c r="AB262" s="13">
        <f t="shared" ref="AB262:AB325" si="32">O262</f>
        <v>10556.55</v>
      </c>
      <c r="AF262" s="13">
        <f t="shared" si="29"/>
        <v>10556.55</v>
      </c>
      <c r="AM262" s="12">
        <f t="shared" si="30"/>
        <v>0</v>
      </c>
      <c r="AN262" s="13">
        <f t="shared" si="31"/>
        <v>10556.55</v>
      </c>
    </row>
    <row r="263" spans="1:40" x14ac:dyDescent="0.25">
      <c r="A263">
        <v>258</v>
      </c>
      <c r="B263" t="s">
        <v>289</v>
      </c>
      <c r="C263" t="s">
        <v>15</v>
      </c>
      <c r="D263" t="s">
        <v>16</v>
      </c>
      <c r="F263" s="514">
        <f>+'29'!F263+'30'!F263+'31'!F263</f>
        <v>102</v>
      </c>
      <c r="G263" s="12">
        <f>+'29'!G263+'30'!G263+'31'!G263</f>
        <v>182884.05</v>
      </c>
      <c r="H263" s="12">
        <f>+'29'!H263+'30'!H263+'31'!H263</f>
        <v>816</v>
      </c>
      <c r="I263" s="271"/>
      <c r="J263" s="514">
        <f>+'29'!J263+'30'!J263+'31'!J263</f>
        <v>0</v>
      </c>
      <c r="K263" s="12">
        <f>+'29'!K263+'30'!K263+'31'!K263</f>
        <v>0</v>
      </c>
      <c r="L263" s="12">
        <f>+'29'!L263+'30'!L263+'31'!L263</f>
        <v>0</v>
      </c>
      <c r="M263" s="271"/>
      <c r="N263" s="514">
        <f>+'29'!N263+'30'!N263+'31'!N263</f>
        <v>102</v>
      </c>
      <c r="O263" s="12">
        <f>+'29'!O263+'30'!O263+'31'!O263</f>
        <v>182884.05</v>
      </c>
      <c r="P263" s="12">
        <f>+'29'!P263+'30'!P263+'31'!P263</f>
        <v>816</v>
      </c>
      <c r="Q263" s="532"/>
      <c r="R263" s="270">
        <v>102</v>
      </c>
      <c r="S263" s="12">
        <v>182884.05</v>
      </c>
      <c r="T263" s="12">
        <v>0</v>
      </c>
      <c r="U263" s="271"/>
      <c r="V263" s="533">
        <f t="shared" ref="V263:V326" si="33">N263-R263</f>
        <v>0</v>
      </c>
      <c r="W263" s="533">
        <f t="shared" ref="W263:W326" si="34">O263-S263</f>
        <v>0</v>
      </c>
      <c r="X263" s="257"/>
      <c r="Y263" s="261">
        <f t="shared" ref="Y263:Y326" si="35">V263</f>
        <v>0</v>
      </c>
      <c r="Z263" s="12">
        <f t="shared" ref="Z263:Z326" si="36">W263</f>
        <v>0</v>
      </c>
      <c r="AB263" s="13">
        <f t="shared" si="32"/>
        <v>182884.05</v>
      </c>
      <c r="AF263" s="13">
        <f t="shared" ref="AF263:AF326" si="37">AB263-AD263</f>
        <v>182884.05</v>
      </c>
      <c r="AM263" s="12">
        <f t="shared" ref="AM263:AM326" si="38">SUM(AG263:AL263)</f>
        <v>0</v>
      </c>
      <c r="AN263" s="13">
        <f t="shared" ref="AN263:AN326" si="39">AF263-AM263</f>
        <v>182884.05</v>
      </c>
    </row>
    <row r="264" spans="1:40" x14ac:dyDescent="0.25">
      <c r="A264">
        <v>259</v>
      </c>
      <c r="B264" t="s">
        <v>290</v>
      </c>
      <c r="C264" t="s">
        <v>15</v>
      </c>
      <c r="D264" t="s">
        <v>16</v>
      </c>
      <c r="F264" s="514">
        <f>+'29'!F264+'30'!F264+'31'!F264</f>
        <v>16</v>
      </c>
      <c r="G264" s="12">
        <f>+'29'!G264+'30'!G264+'31'!G264</f>
        <v>23955.91</v>
      </c>
      <c r="H264" s="12">
        <f>+'29'!H264+'30'!H264+'31'!H264</f>
        <v>128</v>
      </c>
      <c r="I264" s="271"/>
      <c r="J264" s="514">
        <f>+'29'!J264+'30'!J264+'31'!J264</f>
        <v>0</v>
      </c>
      <c r="K264" s="12">
        <f>+'29'!K264+'30'!K264+'31'!K264</f>
        <v>0</v>
      </c>
      <c r="L264" s="12">
        <f>+'29'!L264+'30'!L264+'31'!L264</f>
        <v>0</v>
      </c>
      <c r="M264" s="271"/>
      <c r="N264" s="514">
        <f>+'29'!N264+'30'!N264+'31'!N264</f>
        <v>16</v>
      </c>
      <c r="O264" s="12">
        <f>+'29'!O264+'30'!O264+'31'!O264</f>
        <v>23955.91</v>
      </c>
      <c r="P264" s="12">
        <f>+'29'!P264+'30'!P264+'31'!P264</f>
        <v>128</v>
      </c>
      <c r="Q264" s="532"/>
      <c r="R264" s="270">
        <v>16</v>
      </c>
      <c r="S264" s="12">
        <v>23955.91</v>
      </c>
      <c r="T264" s="12">
        <v>0</v>
      </c>
      <c r="U264" s="271"/>
      <c r="V264" s="533">
        <f t="shared" si="33"/>
        <v>0</v>
      </c>
      <c r="W264" s="533">
        <f t="shared" si="34"/>
        <v>0</v>
      </c>
      <c r="X264" s="257"/>
      <c r="Y264" s="261">
        <f t="shared" si="35"/>
        <v>0</v>
      </c>
      <c r="Z264" s="12">
        <f t="shared" si="36"/>
        <v>0</v>
      </c>
      <c r="AB264" s="13">
        <f t="shared" si="32"/>
        <v>23955.91</v>
      </c>
      <c r="AF264" s="13">
        <f t="shared" si="37"/>
        <v>23955.91</v>
      </c>
      <c r="AM264" s="12">
        <f t="shared" si="38"/>
        <v>0</v>
      </c>
      <c r="AN264" s="13">
        <f t="shared" si="39"/>
        <v>23955.91</v>
      </c>
    </row>
    <row r="265" spans="1:40" x14ac:dyDescent="0.25">
      <c r="A265">
        <v>260</v>
      </c>
      <c r="B265" t="s">
        <v>3303</v>
      </c>
      <c r="C265" t="s">
        <v>136</v>
      </c>
      <c r="D265" t="s">
        <v>16</v>
      </c>
      <c r="F265" s="514">
        <f>+'29'!F265+'30'!F265+'31'!F265</f>
        <v>1</v>
      </c>
      <c r="G265" s="12">
        <f>+'29'!G265+'30'!G265+'31'!G265</f>
        <v>2520.2800000000002</v>
      </c>
      <c r="H265" s="12">
        <f>+'29'!H265+'30'!H265+'31'!H265</f>
        <v>10</v>
      </c>
      <c r="I265" s="271"/>
      <c r="J265" s="514">
        <f>+'29'!J265+'30'!J265+'31'!J265</f>
        <v>0</v>
      </c>
      <c r="K265" s="12">
        <f>+'29'!K265+'30'!K265+'31'!K265</f>
        <v>0</v>
      </c>
      <c r="L265" s="12">
        <f>+'29'!L265+'30'!L265+'31'!L265</f>
        <v>0</v>
      </c>
      <c r="M265" s="271"/>
      <c r="N265" s="514">
        <f>+'29'!N265+'30'!N265+'31'!N265</f>
        <v>1</v>
      </c>
      <c r="O265" s="12">
        <f>+'29'!O265+'30'!O265+'31'!O265</f>
        <v>2520.2800000000002</v>
      </c>
      <c r="P265" s="12">
        <f>+'29'!P265+'30'!P265+'31'!P265</f>
        <v>10</v>
      </c>
      <c r="Q265" s="532"/>
      <c r="R265" s="270">
        <v>1</v>
      </c>
      <c r="S265" s="12">
        <v>2520.2800000000002</v>
      </c>
      <c r="T265" s="12">
        <v>0</v>
      </c>
      <c r="U265" s="271"/>
      <c r="V265" s="533">
        <f t="shared" si="33"/>
        <v>0</v>
      </c>
      <c r="W265" s="533">
        <f t="shared" si="34"/>
        <v>0</v>
      </c>
      <c r="X265" s="257"/>
      <c r="Y265" s="261">
        <f t="shared" si="35"/>
        <v>0</v>
      </c>
      <c r="Z265" s="12">
        <f t="shared" si="36"/>
        <v>0</v>
      </c>
      <c r="AB265" s="13">
        <f t="shared" si="32"/>
        <v>2520.2800000000002</v>
      </c>
      <c r="AF265" s="13">
        <f t="shared" si="37"/>
        <v>2520.2800000000002</v>
      </c>
      <c r="AG265" s="16"/>
      <c r="AM265" s="12">
        <f t="shared" si="38"/>
        <v>0</v>
      </c>
      <c r="AN265" s="13">
        <f t="shared" si="39"/>
        <v>2520.2800000000002</v>
      </c>
    </row>
    <row r="266" spans="1:40" x14ac:dyDescent="0.25">
      <c r="A266">
        <v>261</v>
      </c>
      <c r="B266" t="s">
        <v>291</v>
      </c>
      <c r="C266" t="s">
        <v>25</v>
      </c>
      <c r="D266" t="s">
        <v>16</v>
      </c>
      <c r="F266" s="514">
        <f>+'29'!F266+'30'!F266+'31'!F266</f>
        <v>367</v>
      </c>
      <c r="G266" s="12">
        <f>+'29'!G266+'30'!G266+'31'!G266</f>
        <v>512651.11000000016</v>
      </c>
      <c r="H266" s="12">
        <f>+'29'!H266+'30'!H266+'31'!H266</f>
        <v>2569</v>
      </c>
      <c r="I266" s="271"/>
      <c r="J266" s="514">
        <f>+'29'!J266+'30'!J266+'31'!J266</f>
        <v>0</v>
      </c>
      <c r="K266" s="12">
        <f>+'29'!K266+'30'!K266+'31'!K266</f>
        <v>0</v>
      </c>
      <c r="L266" s="12">
        <f>+'29'!L266+'30'!L266+'31'!L266</f>
        <v>0</v>
      </c>
      <c r="M266" s="271"/>
      <c r="N266" s="514">
        <f>+'29'!N266+'30'!N266+'31'!N266</f>
        <v>367</v>
      </c>
      <c r="O266" s="12">
        <f>+'29'!O266+'30'!O266+'31'!O266</f>
        <v>512651.11000000016</v>
      </c>
      <c r="P266" s="12">
        <f>+'29'!P266+'30'!P266+'31'!P266</f>
        <v>2569</v>
      </c>
      <c r="Q266" s="532"/>
      <c r="R266" s="270">
        <v>367</v>
      </c>
      <c r="S266" s="12">
        <v>512651.11</v>
      </c>
      <c r="T266" s="12">
        <v>0</v>
      </c>
      <c r="U266" s="271"/>
      <c r="V266" s="533">
        <f t="shared" si="33"/>
        <v>0</v>
      </c>
      <c r="W266" s="533">
        <f t="shared" si="34"/>
        <v>0</v>
      </c>
      <c r="X266" s="257"/>
      <c r="Y266" s="261">
        <f t="shared" si="35"/>
        <v>0</v>
      </c>
      <c r="Z266" s="12">
        <f t="shared" si="36"/>
        <v>0</v>
      </c>
      <c r="AB266" s="13">
        <f t="shared" si="32"/>
        <v>512651.11000000016</v>
      </c>
      <c r="AF266" s="13">
        <f t="shared" si="37"/>
        <v>512651.11000000016</v>
      </c>
      <c r="AI266" s="33">
        <v>729.38</v>
      </c>
      <c r="AM266" s="12">
        <f t="shared" si="38"/>
        <v>729.38</v>
      </c>
      <c r="AN266" s="13">
        <f t="shared" si="39"/>
        <v>511921.73000000016</v>
      </c>
    </row>
    <row r="267" spans="1:40" x14ac:dyDescent="0.25">
      <c r="A267">
        <v>262</v>
      </c>
      <c r="B267" t="s">
        <v>3088</v>
      </c>
      <c r="C267" t="s">
        <v>255</v>
      </c>
      <c r="D267" t="s">
        <v>16</v>
      </c>
      <c r="F267" s="514">
        <f>+'29'!F267+'30'!F267+'31'!F267</f>
        <v>119</v>
      </c>
      <c r="G267" s="12">
        <f>+'29'!G267+'30'!G267+'31'!G267</f>
        <v>244362.93000000002</v>
      </c>
      <c r="H267" s="12">
        <f>+'29'!H267+'30'!H267+'31'!H267</f>
        <v>1190</v>
      </c>
      <c r="I267" s="271"/>
      <c r="J267" s="514">
        <f>+'29'!J267+'30'!J267+'31'!J267</f>
        <v>0</v>
      </c>
      <c r="K267" s="12">
        <f>+'29'!K267+'30'!K267+'31'!K267</f>
        <v>0</v>
      </c>
      <c r="L267" s="12">
        <f>+'29'!L267+'30'!L267+'31'!L267</f>
        <v>0</v>
      </c>
      <c r="M267" s="271"/>
      <c r="N267" s="514">
        <f>+'29'!N267+'30'!N267+'31'!N267</f>
        <v>119</v>
      </c>
      <c r="O267" s="12">
        <f>+'29'!O267+'30'!O267+'31'!O267</f>
        <v>244362.93000000002</v>
      </c>
      <c r="P267" s="12">
        <f>+'29'!P267+'30'!P267+'31'!P267</f>
        <v>1190</v>
      </c>
      <c r="Q267" s="532"/>
      <c r="R267" s="270">
        <v>119</v>
      </c>
      <c r="S267" s="12">
        <v>244362.93</v>
      </c>
      <c r="T267" s="12">
        <v>0</v>
      </c>
      <c r="U267" s="271"/>
      <c r="V267" s="533">
        <f t="shared" si="33"/>
        <v>0</v>
      </c>
      <c r="W267" s="533">
        <f t="shared" si="34"/>
        <v>0</v>
      </c>
      <c r="X267" s="257"/>
      <c r="Y267" s="261">
        <f t="shared" si="35"/>
        <v>0</v>
      </c>
      <c r="Z267" s="12">
        <f t="shared" si="36"/>
        <v>0</v>
      </c>
      <c r="AB267" s="13">
        <f t="shared" si="32"/>
        <v>244362.93000000002</v>
      </c>
      <c r="AF267" s="13">
        <f t="shared" si="37"/>
        <v>244362.93000000002</v>
      </c>
      <c r="AM267" s="12">
        <f t="shared" si="38"/>
        <v>0</v>
      </c>
      <c r="AN267" s="13">
        <f t="shared" si="39"/>
        <v>244362.93000000002</v>
      </c>
    </row>
    <row r="268" spans="1:40" x14ac:dyDescent="0.25">
      <c r="A268">
        <v>263</v>
      </c>
      <c r="B268" t="s">
        <v>292</v>
      </c>
      <c r="C268" t="s">
        <v>41</v>
      </c>
      <c r="D268" t="s">
        <v>16</v>
      </c>
      <c r="F268" s="514">
        <f>+'29'!F268+'30'!F268+'31'!F268</f>
        <v>13</v>
      </c>
      <c r="G268" s="12">
        <f>+'29'!G268+'30'!G268+'31'!G268</f>
        <v>22070</v>
      </c>
      <c r="H268" s="12">
        <f>+'29'!H268+'30'!H268+'31'!H268</f>
        <v>195</v>
      </c>
      <c r="I268" s="271"/>
      <c r="J268" s="514">
        <f>+'29'!J268+'30'!J268+'31'!J268</f>
        <v>0</v>
      </c>
      <c r="K268" s="12">
        <f>+'29'!K268+'30'!K268+'31'!K268</f>
        <v>0</v>
      </c>
      <c r="L268" s="12">
        <f>+'29'!L268+'30'!L268+'31'!L268</f>
        <v>0</v>
      </c>
      <c r="M268" s="271"/>
      <c r="N268" s="514">
        <f>+'29'!N268+'30'!N268+'31'!N268</f>
        <v>13</v>
      </c>
      <c r="O268" s="12">
        <f>+'29'!O268+'30'!O268+'31'!O268</f>
        <v>22070</v>
      </c>
      <c r="P268" s="12">
        <f>+'29'!P268+'30'!P268+'31'!P268</f>
        <v>195</v>
      </c>
      <c r="Q268" s="532"/>
      <c r="R268" s="270">
        <v>13</v>
      </c>
      <c r="S268" s="12">
        <v>22070</v>
      </c>
      <c r="T268" s="12">
        <v>0</v>
      </c>
      <c r="U268" s="271"/>
      <c r="V268" s="533">
        <f t="shared" si="33"/>
        <v>0</v>
      </c>
      <c r="W268" s="533">
        <f t="shared" si="34"/>
        <v>0</v>
      </c>
      <c r="X268" s="257"/>
      <c r="Y268" s="261">
        <f t="shared" si="35"/>
        <v>0</v>
      </c>
      <c r="Z268" s="12">
        <f t="shared" si="36"/>
        <v>0</v>
      </c>
      <c r="AB268" s="13">
        <f t="shared" si="32"/>
        <v>22070</v>
      </c>
      <c r="AF268" s="13">
        <f t="shared" si="37"/>
        <v>22070</v>
      </c>
      <c r="AM268" s="12">
        <f t="shared" si="38"/>
        <v>0</v>
      </c>
      <c r="AN268" s="13">
        <f t="shared" si="39"/>
        <v>22070</v>
      </c>
    </row>
    <row r="269" spans="1:40" x14ac:dyDescent="0.25">
      <c r="A269">
        <v>264</v>
      </c>
      <c r="B269" t="s">
        <v>293</v>
      </c>
      <c r="C269" t="s">
        <v>294</v>
      </c>
      <c r="D269" t="s">
        <v>87</v>
      </c>
      <c r="F269" s="514">
        <f>+'29'!F269+'30'!F269+'31'!F269</f>
        <v>0</v>
      </c>
      <c r="G269" s="12">
        <f>+'29'!G269+'30'!G269+'31'!G269</f>
        <v>0</v>
      </c>
      <c r="H269" s="12">
        <f>+'29'!H269+'30'!H269+'31'!H269</f>
        <v>0</v>
      </c>
      <c r="I269" s="271"/>
      <c r="J269" s="514">
        <f>+'29'!J269+'30'!J269+'31'!J269</f>
        <v>0</v>
      </c>
      <c r="K269" s="12">
        <f>+'29'!K269+'30'!K269+'31'!K269</f>
        <v>0</v>
      </c>
      <c r="L269" s="12">
        <f>+'29'!L269+'30'!L269+'31'!L269</f>
        <v>0</v>
      </c>
      <c r="M269" s="271"/>
      <c r="N269" s="514">
        <f>+'29'!N269+'30'!N269+'31'!N269</f>
        <v>0</v>
      </c>
      <c r="O269" s="12">
        <f>+'29'!O269+'30'!O269+'31'!O269</f>
        <v>0</v>
      </c>
      <c r="P269" s="12">
        <f>+'29'!P269+'30'!P269+'31'!P269</f>
        <v>0</v>
      </c>
      <c r="Q269" s="532"/>
      <c r="R269" s="270">
        <v>0</v>
      </c>
      <c r="S269" s="12">
        <v>0</v>
      </c>
      <c r="T269" s="12">
        <v>0</v>
      </c>
      <c r="U269" s="271"/>
      <c r="V269" s="533">
        <f t="shared" si="33"/>
        <v>0</v>
      </c>
      <c r="W269" s="533">
        <f t="shared" si="34"/>
        <v>0</v>
      </c>
      <c r="X269" s="257"/>
      <c r="Y269" s="261">
        <f t="shared" si="35"/>
        <v>0</v>
      </c>
      <c r="Z269" s="12">
        <f t="shared" si="36"/>
        <v>0</v>
      </c>
      <c r="AB269" s="13">
        <f t="shared" si="32"/>
        <v>0</v>
      </c>
      <c r="AF269" s="13">
        <f t="shared" si="37"/>
        <v>0</v>
      </c>
      <c r="AM269" s="12">
        <f t="shared" si="38"/>
        <v>0</v>
      </c>
      <c r="AN269" s="13">
        <f t="shared" si="39"/>
        <v>0</v>
      </c>
    </row>
    <row r="270" spans="1:40" x14ac:dyDescent="0.25">
      <c r="A270">
        <v>265</v>
      </c>
      <c r="B270" t="s">
        <v>295</v>
      </c>
      <c r="C270" t="s">
        <v>158</v>
      </c>
      <c r="D270" t="s">
        <v>16</v>
      </c>
      <c r="F270" s="514">
        <f>+'29'!F270+'30'!F270+'31'!F270</f>
        <v>4</v>
      </c>
      <c r="G270" s="12">
        <f>+'29'!G270+'30'!G270+'31'!G270</f>
        <v>150418</v>
      </c>
      <c r="H270" s="12">
        <f>+'29'!H270+'30'!H270+'31'!H270</f>
        <v>160</v>
      </c>
      <c r="I270" s="271"/>
      <c r="J270" s="514">
        <f>+'29'!J270+'30'!J270+'31'!J270</f>
        <v>0</v>
      </c>
      <c r="K270" s="12">
        <f>+'29'!K270+'30'!K270+'31'!K270</f>
        <v>0</v>
      </c>
      <c r="L270" s="12">
        <f>+'29'!L270+'30'!L270+'31'!L270</f>
        <v>0</v>
      </c>
      <c r="M270" s="271"/>
      <c r="N270" s="514">
        <f>+'29'!N270+'30'!N270+'31'!N270</f>
        <v>4</v>
      </c>
      <c r="O270" s="12">
        <f>+'29'!O270+'30'!O270+'31'!O270</f>
        <v>150418</v>
      </c>
      <c r="P270" s="12">
        <f>+'29'!P270+'30'!P270+'31'!P270</f>
        <v>160</v>
      </c>
      <c r="Q270" s="532"/>
      <c r="R270" s="270">
        <v>4</v>
      </c>
      <c r="S270" s="12">
        <v>150418</v>
      </c>
      <c r="T270" s="12">
        <v>0</v>
      </c>
      <c r="U270" s="271"/>
      <c r="V270" s="533">
        <f t="shared" si="33"/>
        <v>0</v>
      </c>
      <c r="W270" s="533">
        <f t="shared" si="34"/>
        <v>0</v>
      </c>
      <c r="X270" s="257"/>
      <c r="Y270" s="261">
        <f t="shared" si="35"/>
        <v>0</v>
      </c>
      <c r="Z270" s="12">
        <f t="shared" si="36"/>
        <v>0</v>
      </c>
      <c r="AB270" s="13">
        <f t="shared" si="32"/>
        <v>150418</v>
      </c>
      <c r="AF270" s="13">
        <f t="shared" si="37"/>
        <v>150418</v>
      </c>
      <c r="AM270" s="12">
        <f t="shared" si="38"/>
        <v>0</v>
      </c>
      <c r="AN270" s="13">
        <f t="shared" si="39"/>
        <v>150418</v>
      </c>
    </row>
    <row r="271" spans="1:40" x14ac:dyDescent="0.25">
      <c r="A271">
        <v>266</v>
      </c>
      <c r="B271" t="s">
        <v>296</v>
      </c>
      <c r="C271" t="s">
        <v>15</v>
      </c>
      <c r="D271" t="s">
        <v>43</v>
      </c>
      <c r="F271" s="514">
        <f>+'29'!F271+'30'!F271+'31'!F271</f>
        <v>928</v>
      </c>
      <c r="G271" s="12">
        <f>+'29'!G271+'30'!G271+'31'!G271</f>
        <v>1643222.6300000001</v>
      </c>
      <c r="H271" s="12">
        <f>+'29'!H271+'30'!H271+'31'!H271</f>
        <v>9280</v>
      </c>
      <c r="I271" s="271"/>
      <c r="J271" s="514">
        <f>+'29'!J271+'30'!J271+'31'!J271</f>
        <v>0</v>
      </c>
      <c r="K271" s="12">
        <f>+'29'!K271+'30'!K271+'31'!K271</f>
        <v>0</v>
      </c>
      <c r="L271" s="12">
        <f>+'29'!L271+'30'!L271+'31'!L271</f>
        <v>0</v>
      </c>
      <c r="M271" s="271"/>
      <c r="N271" s="514">
        <f>+'29'!N271+'30'!N271+'31'!N271</f>
        <v>928</v>
      </c>
      <c r="O271" s="12">
        <f>+'29'!O271+'30'!O271+'31'!O271</f>
        <v>1643222.6300000001</v>
      </c>
      <c r="P271" s="12">
        <f>+'29'!P271+'30'!P271+'31'!P271</f>
        <v>9280</v>
      </c>
      <c r="Q271" s="532"/>
      <c r="R271" s="270">
        <v>928</v>
      </c>
      <c r="S271" s="12">
        <v>1643222.63</v>
      </c>
      <c r="T271" s="12">
        <v>0</v>
      </c>
      <c r="U271" s="271"/>
      <c r="V271" s="533">
        <f t="shared" si="33"/>
        <v>0</v>
      </c>
      <c r="W271" s="533">
        <f t="shared" si="34"/>
        <v>0</v>
      </c>
      <c r="X271" s="257"/>
      <c r="Y271" s="261">
        <f t="shared" si="35"/>
        <v>0</v>
      </c>
      <c r="Z271" s="12">
        <f t="shared" si="36"/>
        <v>0</v>
      </c>
      <c r="AB271" s="13">
        <f t="shared" si="32"/>
        <v>1643222.6300000001</v>
      </c>
      <c r="AF271" s="13">
        <f t="shared" si="37"/>
        <v>1643222.6300000001</v>
      </c>
      <c r="AI271" s="33"/>
      <c r="AM271" s="12">
        <f t="shared" si="38"/>
        <v>0</v>
      </c>
      <c r="AN271" s="13">
        <f t="shared" si="39"/>
        <v>1643222.6300000001</v>
      </c>
    </row>
    <row r="272" spans="1:40" x14ac:dyDescent="0.25">
      <c r="A272">
        <v>267</v>
      </c>
      <c r="B272" t="s">
        <v>297</v>
      </c>
      <c r="C272" t="s">
        <v>24</v>
      </c>
      <c r="D272" t="s">
        <v>16</v>
      </c>
      <c r="F272" s="514">
        <f>+'29'!F272+'30'!F272+'31'!F272</f>
        <v>2</v>
      </c>
      <c r="G272" s="12">
        <f>+'29'!G272+'30'!G272+'31'!G272</f>
        <v>26129.5</v>
      </c>
      <c r="H272" s="12">
        <f>+'29'!H272+'30'!H272+'31'!H272</f>
        <v>80</v>
      </c>
      <c r="I272" s="271"/>
      <c r="J272" s="514">
        <f>+'29'!J272+'30'!J272+'31'!J272</f>
        <v>0</v>
      </c>
      <c r="K272" s="12">
        <f>+'29'!K272+'30'!K272+'31'!K272</f>
        <v>0</v>
      </c>
      <c r="L272" s="12">
        <f>+'29'!L272+'30'!L272+'31'!L272</f>
        <v>0</v>
      </c>
      <c r="M272" s="271"/>
      <c r="N272" s="514">
        <f>+'29'!N272+'30'!N272+'31'!N272</f>
        <v>2</v>
      </c>
      <c r="O272" s="12">
        <f>+'29'!O272+'30'!O272+'31'!O272</f>
        <v>26129.5</v>
      </c>
      <c r="P272" s="12">
        <f>+'29'!P272+'30'!P272+'31'!P272</f>
        <v>80</v>
      </c>
      <c r="Q272" s="532"/>
      <c r="R272" s="270">
        <v>2</v>
      </c>
      <c r="S272" s="12">
        <v>26129.5</v>
      </c>
      <c r="T272" s="12">
        <v>0</v>
      </c>
      <c r="U272" s="271"/>
      <c r="V272" s="533">
        <f t="shared" si="33"/>
        <v>0</v>
      </c>
      <c r="W272" s="533">
        <f t="shared" si="34"/>
        <v>0</v>
      </c>
      <c r="X272" s="257"/>
      <c r="Y272" s="261">
        <f t="shared" si="35"/>
        <v>0</v>
      </c>
      <c r="Z272" s="12">
        <f t="shared" si="36"/>
        <v>0</v>
      </c>
      <c r="AB272" s="13">
        <f t="shared" si="32"/>
        <v>26129.5</v>
      </c>
      <c r="AF272" s="13">
        <f t="shared" si="37"/>
        <v>26129.5</v>
      </c>
      <c r="AM272" s="12">
        <f t="shared" si="38"/>
        <v>0</v>
      </c>
      <c r="AN272" s="13">
        <f t="shared" si="39"/>
        <v>26129.5</v>
      </c>
    </row>
    <row r="273" spans="1:40" x14ac:dyDescent="0.25">
      <c r="A273">
        <v>268</v>
      </c>
      <c r="B273" t="s">
        <v>298</v>
      </c>
      <c r="C273" t="s">
        <v>24</v>
      </c>
      <c r="D273" t="s">
        <v>16</v>
      </c>
      <c r="F273" s="514">
        <f>+'29'!F273+'30'!F273+'31'!F273</f>
        <v>2</v>
      </c>
      <c r="G273" s="12">
        <f>+'29'!G273+'30'!G273+'31'!G273</f>
        <v>4120.51</v>
      </c>
      <c r="H273" s="12">
        <f>+'29'!H273+'30'!H273+'31'!H273</f>
        <v>80</v>
      </c>
      <c r="I273" s="271"/>
      <c r="J273" s="514">
        <f>+'29'!J273+'30'!J273+'31'!J273</f>
        <v>0</v>
      </c>
      <c r="K273" s="12">
        <f>+'29'!K273+'30'!K273+'31'!K273</f>
        <v>0</v>
      </c>
      <c r="L273" s="12">
        <f>+'29'!L273+'30'!L273+'31'!L273</f>
        <v>0</v>
      </c>
      <c r="M273" s="271"/>
      <c r="N273" s="514">
        <f>+'29'!N273+'30'!N273+'31'!N273</f>
        <v>2</v>
      </c>
      <c r="O273" s="12">
        <f>+'29'!O273+'30'!O273+'31'!O273</f>
        <v>4120.51</v>
      </c>
      <c r="P273" s="12">
        <f>+'29'!P273+'30'!P273+'31'!P273</f>
        <v>80</v>
      </c>
      <c r="Q273" s="532"/>
      <c r="R273" s="270">
        <v>2</v>
      </c>
      <c r="S273" s="12">
        <v>4120.51</v>
      </c>
      <c r="T273" s="12">
        <v>0</v>
      </c>
      <c r="U273" s="271"/>
      <c r="V273" s="533">
        <f t="shared" si="33"/>
        <v>0</v>
      </c>
      <c r="W273" s="533">
        <f t="shared" si="34"/>
        <v>0</v>
      </c>
      <c r="X273" s="257"/>
      <c r="Y273" s="261">
        <f t="shared" si="35"/>
        <v>0</v>
      </c>
      <c r="Z273" s="12">
        <f t="shared" si="36"/>
        <v>0</v>
      </c>
      <c r="AB273" s="13">
        <f t="shared" si="32"/>
        <v>4120.51</v>
      </c>
      <c r="AF273" s="13">
        <f t="shared" si="37"/>
        <v>4120.51</v>
      </c>
      <c r="AM273" s="12">
        <f t="shared" si="38"/>
        <v>0</v>
      </c>
      <c r="AN273" s="13">
        <f t="shared" si="39"/>
        <v>4120.51</v>
      </c>
    </row>
    <row r="274" spans="1:40" x14ac:dyDescent="0.25">
      <c r="A274">
        <v>269</v>
      </c>
      <c r="B274" t="s">
        <v>299</v>
      </c>
      <c r="C274" t="s">
        <v>24</v>
      </c>
      <c r="D274" t="s">
        <v>16</v>
      </c>
      <c r="F274" s="514">
        <f>+'29'!F274+'30'!F274+'31'!F274</f>
        <v>53</v>
      </c>
      <c r="G274" s="12">
        <f>+'29'!G274+'30'!G274+'31'!G274</f>
        <v>4273592.5</v>
      </c>
      <c r="H274" s="12">
        <f>+'29'!H274+'30'!H274+'31'!H274</f>
        <v>4160</v>
      </c>
      <c r="I274" s="271"/>
      <c r="J274" s="514">
        <f>+'29'!J274+'30'!J274+'31'!J274</f>
        <v>0</v>
      </c>
      <c r="K274" s="12">
        <f>+'29'!K274+'30'!K274+'31'!K274</f>
        <v>0</v>
      </c>
      <c r="L274" s="12">
        <f>+'29'!L274+'30'!L274+'31'!L274</f>
        <v>0</v>
      </c>
      <c r="M274" s="271"/>
      <c r="N274" s="514">
        <f>+'29'!N274+'30'!N274+'31'!N274</f>
        <v>53</v>
      </c>
      <c r="O274" s="12">
        <f>+'29'!O274+'30'!O274+'31'!O274</f>
        <v>4273592.5</v>
      </c>
      <c r="P274" s="12">
        <f>+'29'!P274+'30'!P274+'31'!P274</f>
        <v>4160</v>
      </c>
      <c r="Q274" s="532"/>
      <c r="R274" s="270">
        <v>53</v>
      </c>
      <c r="S274" s="12">
        <v>4273592.5</v>
      </c>
      <c r="T274" s="12">
        <v>0</v>
      </c>
      <c r="U274" s="271"/>
      <c r="V274" s="533">
        <f t="shared" si="33"/>
        <v>0</v>
      </c>
      <c r="W274" s="533">
        <f t="shared" si="34"/>
        <v>0</v>
      </c>
      <c r="X274" s="257"/>
      <c r="Y274" s="261">
        <f t="shared" si="35"/>
        <v>0</v>
      </c>
      <c r="Z274" s="12">
        <f t="shared" si="36"/>
        <v>0</v>
      </c>
      <c r="AB274" s="13">
        <f t="shared" si="32"/>
        <v>4273592.5</v>
      </c>
      <c r="AF274" s="13">
        <f t="shared" si="37"/>
        <v>4273592.5</v>
      </c>
      <c r="AM274" s="12">
        <f t="shared" si="38"/>
        <v>0</v>
      </c>
      <c r="AN274" s="13">
        <f t="shared" si="39"/>
        <v>4273592.5</v>
      </c>
    </row>
    <row r="275" spans="1:40" x14ac:dyDescent="0.25">
      <c r="A275">
        <v>270</v>
      </c>
      <c r="B275" t="s">
        <v>300</v>
      </c>
      <c r="C275" t="s">
        <v>24</v>
      </c>
      <c r="D275" t="s">
        <v>16</v>
      </c>
      <c r="F275" s="514">
        <f>+'29'!F275+'30'!F275+'31'!F275</f>
        <v>2</v>
      </c>
      <c r="G275" s="12">
        <f>+'29'!G275+'30'!G275+'31'!G275</f>
        <v>57019.659999999996</v>
      </c>
      <c r="H275" s="12">
        <f>+'29'!H275+'30'!H275+'31'!H275</f>
        <v>80</v>
      </c>
      <c r="I275" s="271"/>
      <c r="J275" s="514">
        <f>+'29'!J275+'30'!J275+'31'!J275</f>
        <v>0</v>
      </c>
      <c r="K275" s="12">
        <f>+'29'!K275+'30'!K275+'31'!K275</f>
        <v>0</v>
      </c>
      <c r="L275" s="12">
        <f>+'29'!L275+'30'!L275+'31'!L275</f>
        <v>0</v>
      </c>
      <c r="M275" s="271"/>
      <c r="N275" s="514">
        <f>+'29'!N275+'30'!N275+'31'!N275</f>
        <v>2</v>
      </c>
      <c r="O275" s="12">
        <f>+'29'!O275+'30'!O275+'31'!O275</f>
        <v>57019.659999999996</v>
      </c>
      <c r="P275" s="12">
        <f>+'29'!P275+'30'!P275+'31'!P275</f>
        <v>80</v>
      </c>
      <c r="Q275" s="532"/>
      <c r="R275" s="270">
        <v>2</v>
      </c>
      <c r="S275" s="12">
        <v>57019.66</v>
      </c>
      <c r="T275" s="12">
        <v>0</v>
      </c>
      <c r="U275" s="271"/>
      <c r="V275" s="533">
        <f t="shared" si="33"/>
        <v>0</v>
      </c>
      <c r="W275" s="533">
        <f t="shared" si="34"/>
        <v>0</v>
      </c>
      <c r="X275" s="257"/>
      <c r="Y275" s="261">
        <f t="shared" si="35"/>
        <v>0</v>
      </c>
      <c r="Z275" s="12">
        <f t="shared" si="36"/>
        <v>0</v>
      </c>
      <c r="AB275" s="13">
        <f t="shared" si="32"/>
        <v>57019.659999999996</v>
      </c>
      <c r="AF275" s="13">
        <f t="shared" si="37"/>
        <v>57019.659999999996</v>
      </c>
      <c r="AI275" s="33"/>
      <c r="AM275" s="12">
        <f t="shared" si="38"/>
        <v>0</v>
      </c>
      <c r="AN275" s="13">
        <f t="shared" si="39"/>
        <v>57019.659999999996</v>
      </c>
    </row>
    <row r="276" spans="1:40" x14ac:dyDescent="0.25">
      <c r="A276">
        <v>271</v>
      </c>
      <c r="B276" t="s">
        <v>301</v>
      </c>
      <c r="C276" t="s">
        <v>24</v>
      </c>
      <c r="D276" t="s">
        <v>16</v>
      </c>
      <c r="F276" s="514">
        <f>+'29'!F276+'30'!F276+'31'!F276</f>
        <v>0</v>
      </c>
      <c r="G276" s="12">
        <f>+'29'!G276+'30'!G276+'31'!G276</f>
        <v>0</v>
      </c>
      <c r="H276" s="12">
        <f>+'29'!H276+'30'!H276+'31'!H276</f>
        <v>0</v>
      </c>
      <c r="I276" s="271"/>
      <c r="J276" s="514">
        <f>+'29'!J276+'30'!J276+'31'!J276</f>
        <v>0</v>
      </c>
      <c r="K276" s="12">
        <f>+'29'!K276+'30'!K276+'31'!K276</f>
        <v>0</v>
      </c>
      <c r="L276" s="12">
        <f>+'29'!L276+'30'!L276+'31'!L276</f>
        <v>0</v>
      </c>
      <c r="M276" s="271"/>
      <c r="N276" s="514">
        <f>+'29'!N276+'30'!N276+'31'!N276</f>
        <v>0</v>
      </c>
      <c r="O276" s="12">
        <f>+'29'!O276+'30'!O276+'31'!O276</f>
        <v>0</v>
      </c>
      <c r="P276" s="12">
        <f>+'29'!P276+'30'!P276+'31'!P276</f>
        <v>0</v>
      </c>
      <c r="Q276" s="532"/>
      <c r="R276" s="270">
        <v>0</v>
      </c>
      <c r="S276" s="12">
        <v>0</v>
      </c>
      <c r="T276" s="12">
        <v>0</v>
      </c>
      <c r="U276" s="271"/>
      <c r="V276" s="533">
        <f t="shared" si="33"/>
        <v>0</v>
      </c>
      <c r="W276" s="533">
        <f t="shared" si="34"/>
        <v>0</v>
      </c>
      <c r="X276" s="257"/>
      <c r="Y276" s="261">
        <f t="shared" si="35"/>
        <v>0</v>
      </c>
      <c r="Z276" s="12">
        <f t="shared" si="36"/>
        <v>0</v>
      </c>
      <c r="AB276" s="13">
        <f t="shared" si="32"/>
        <v>0</v>
      </c>
      <c r="AF276" s="13">
        <f t="shared" si="37"/>
        <v>0</v>
      </c>
      <c r="AM276" s="12">
        <f t="shared" si="38"/>
        <v>0</v>
      </c>
      <c r="AN276" s="13">
        <f t="shared" si="39"/>
        <v>0</v>
      </c>
    </row>
    <row r="277" spans="1:40" x14ac:dyDescent="0.25">
      <c r="A277">
        <v>272</v>
      </c>
      <c r="B277" t="s">
        <v>302</v>
      </c>
      <c r="C277" t="s">
        <v>24</v>
      </c>
      <c r="D277" t="s">
        <v>16</v>
      </c>
      <c r="F277" s="514">
        <f>+'29'!F277+'30'!F277+'31'!F277</f>
        <v>0</v>
      </c>
      <c r="G277" s="12">
        <f>+'29'!G277+'30'!G277+'31'!G277</f>
        <v>0</v>
      </c>
      <c r="H277" s="12">
        <f>+'29'!H277+'30'!H277+'31'!H277</f>
        <v>0</v>
      </c>
      <c r="I277" s="271"/>
      <c r="J277" s="514">
        <f>+'29'!J277+'30'!J277+'31'!J277</f>
        <v>0</v>
      </c>
      <c r="K277" s="12">
        <f>+'29'!K277+'30'!K277+'31'!K277</f>
        <v>0</v>
      </c>
      <c r="L277" s="12">
        <f>+'29'!L277+'30'!L277+'31'!L277</f>
        <v>0</v>
      </c>
      <c r="M277" s="271"/>
      <c r="N277" s="514">
        <f>+'29'!N277+'30'!N277+'31'!N277</f>
        <v>0</v>
      </c>
      <c r="O277" s="12">
        <f>+'29'!O277+'30'!O277+'31'!O277</f>
        <v>0</v>
      </c>
      <c r="P277" s="12">
        <f>+'29'!P277+'30'!P277+'31'!P277</f>
        <v>0</v>
      </c>
      <c r="Q277" s="532"/>
      <c r="R277" s="270">
        <v>0</v>
      </c>
      <c r="S277" s="12">
        <v>0</v>
      </c>
      <c r="T277" s="12">
        <v>0</v>
      </c>
      <c r="U277" s="271"/>
      <c r="V277" s="533">
        <f t="shared" si="33"/>
        <v>0</v>
      </c>
      <c r="W277" s="533">
        <f t="shared" si="34"/>
        <v>0</v>
      </c>
      <c r="X277" s="257"/>
      <c r="Y277" s="261">
        <f t="shared" si="35"/>
        <v>0</v>
      </c>
      <c r="Z277" s="12">
        <f t="shared" si="36"/>
        <v>0</v>
      </c>
      <c r="AB277" s="13">
        <f t="shared" si="32"/>
        <v>0</v>
      </c>
      <c r="AF277" s="13">
        <f t="shared" si="37"/>
        <v>0</v>
      </c>
      <c r="AM277" s="12">
        <f t="shared" si="38"/>
        <v>0</v>
      </c>
      <c r="AN277" s="13">
        <f t="shared" si="39"/>
        <v>0</v>
      </c>
    </row>
    <row r="278" spans="1:40" x14ac:dyDescent="0.25">
      <c r="A278">
        <v>273</v>
      </c>
      <c r="B278" t="s">
        <v>303</v>
      </c>
      <c r="C278" t="s">
        <v>24</v>
      </c>
      <c r="D278" t="s">
        <v>16</v>
      </c>
      <c r="F278" s="514">
        <f>+'29'!F278+'30'!F278+'31'!F278</f>
        <v>0</v>
      </c>
      <c r="G278" s="12">
        <f>+'29'!G278+'30'!G278+'31'!G278</f>
        <v>0</v>
      </c>
      <c r="H278" s="12">
        <f>+'29'!H278+'30'!H278+'31'!H278</f>
        <v>0</v>
      </c>
      <c r="I278" s="271"/>
      <c r="J278" s="514">
        <f>+'29'!J278+'30'!J278+'31'!J278</f>
        <v>0</v>
      </c>
      <c r="K278" s="12">
        <f>+'29'!K278+'30'!K278+'31'!K278</f>
        <v>0</v>
      </c>
      <c r="L278" s="12">
        <f>+'29'!L278+'30'!L278+'31'!L278</f>
        <v>0</v>
      </c>
      <c r="M278" s="271"/>
      <c r="N278" s="514">
        <f>+'29'!N278+'30'!N278+'31'!N278</f>
        <v>0</v>
      </c>
      <c r="O278" s="12">
        <f>+'29'!O278+'30'!O278+'31'!O278</f>
        <v>0</v>
      </c>
      <c r="P278" s="12">
        <f>+'29'!P278+'30'!P278+'31'!P278</f>
        <v>0</v>
      </c>
      <c r="Q278" s="532"/>
      <c r="R278" s="270">
        <v>0</v>
      </c>
      <c r="S278" s="12">
        <v>0</v>
      </c>
      <c r="T278" s="12">
        <v>0</v>
      </c>
      <c r="U278" s="271"/>
      <c r="V278" s="533">
        <f t="shared" si="33"/>
        <v>0</v>
      </c>
      <c r="W278" s="533">
        <f t="shared" si="34"/>
        <v>0</v>
      </c>
      <c r="X278" s="257"/>
      <c r="Y278" s="261">
        <f t="shared" si="35"/>
        <v>0</v>
      </c>
      <c r="Z278" s="12">
        <f t="shared" si="36"/>
        <v>0</v>
      </c>
      <c r="AB278" s="13">
        <f t="shared" si="32"/>
        <v>0</v>
      </c>
      <c r="AF278" s="13">
        <f t="shared" si="37"/>
        <v>0</v>
      </c>
      <c r="AM278" s="12">
        <f t="shared" si="38"/>
        <v>0</v>
      </c>
      <c r="AN278" s="13">
        <f t="shared" si="39"/>
        <v>0</v>
      </c>
    </row>
    <row r="279" spans="1:40" x14ac:dyDescent="0.25">
      <c r="A279">
        <v>274</v>
      </c>
      <c r="B279" t="s">
        <v>304</v>
      </c>
      <c r="C279" t="s">
        <v>24</v>
      </c>
      <c r="D279" t="s">
        <v>16</v>
      </c>
      <c r="F279" s="514">
        <f>+'29'!F279+'30'!F279+'31'!F279</f>
        <v>0</v>
      </c>
      <c r="G279" s="12">
        <f>+'29'!G279+'30'!G279+'31'!G279</f>
        <v>0</v>
      </c>
      <c r="H279" s="12">
        <f>+'29'!H279+'30'!H279+'31'!H279</f>
        <v>0</v>
      </c>
      <c r="I279" s="271"/>
      <c r="J279" s="514">
        <f>+'29'!J279+'30'!J279+'31'!J279</f>
        <v>0</v>
      </c>
      <c r="K279" s="12">
        <f>+'29'!K279+'30'!K279+'31'!K279</f>
        <v>0</v>
      </c>
      <c r="L279" s="12">
        <f>+'29'!L279+'30'!L279+'31'!L279</f>
        <v>0</v>
      </c>
      <c r="M279" s="271"/>
      <c r="N279" s="514">
        <f>+'29'!N279+'30'!N279+'31'!N279</f>
        <v>0</v>
      </c>
      <c r="O279" s="12">
        <f>+'29'!O279+'30'!O279+'31'!O279</f>
        <v>0</v>
      </c>
      <c r="P279" s="12">
        <f>+'29'!P279+'30'!P279+'31'!P279</f>
        <v>0</v>
      </c>
      <c r="Q279" s="532"/>
      <c r="R279" s="270">
        <v>0</v>
      </c>
      <c r="S279" s="12">
        <v>0</v>
      </c>
      <c r="T279" s="12">
        <v>0</v>
      </c>
      <c r="U279" s="271"/>
      <c r="V279" s="533">
        <f t="shared" si="33"/>
        <v>0</v>
      </c>
      <c r="W279" s="533">
        <f t="shared" si="34"/>
        <v>0</v>
      </c>
      <c r="X279" s="257"/>
      <c r="Y279" s="261">
        <f t="shared" si="35"/>
        <v>0</v>
      </c>
      <c r="Z279" s="12">
        <f t="shared" si="36"/>
        <v>0</v>
      </c>
      <c r="AB279" s="13">
        <f t="shared" si="32"/>
        <v>0</v>
      </c>
      <c r="AF279" s="13">
        <f t="shared" si="37"/>
        <v>0</v>
      </c>
      <c r="AM279" s="12">
        <f t="shared" si="38"/>
        <v>0</v>
      </c>
      <c r="AN279" s="13">
        <f t="shared" si="39"/>
        <v>0</v>
      </c>
    </row>
    <row r="280" spans="1:40" x14ac:dyDescent="0.25">
      <c r="A280">
        <v>275</v>
      </c>
      <c r="B280" t="s">
        <v>305</v>
      </c>
      <c r="C280" t="s">
        <v>24</v>
      </c>
      <c r="D280" t="s">
        <v>16</v>
      </c>
      <c r="F280" s="514">
        <f>+'29'!F280+'30'!F280+'31'!F280</f>
        <v>0</v>
      </c>
      <c r="G280" s="12">
        <f>+'29'!G280+'30'!G280+'31'!G280</f>
        <v>0</v>
      </c>
      <c r="H280" s="12">
        <f>+'29'!H280+'30'!H280+'31'!H280</f>
        <v>0</v>
      </c>
      <c r="I280" s="271"/>
      <c r="J280" s="514">
        <f>+'29'!J280+'30'!J280+'31'!J280</f>
        <v>0</v>
      </c>
      <c r="K280" s="12">
        <f>+'29'!K280+'30'!K280+'31'!K280</f>
        <v>0</v>
      </c>
      <c r="L280" s="12">
        <f>+'29'!L280+'30'!L280+'31'!L280</f>
        <v>0</v>
      </c>
      <c r="M280" s="271"/>
      <c r="N280" s="514">
        <f>+'29'!N280+'30'!N280+'31'!N280</f>
        <v>0</v>
      </c>
      <c r="O280" s="12">
        <f>+'29'!O280+'30'!O280+'31'!O280</f>
        <v>0</v>
      </c>
      <c r="P280" s="12">
        <f>+'29'!P280+'30'!P280+'31'!P280</f>
        <v>0</v>
      </c>
      <c r="Q280" s="532"/>
      <c r="R280" s="270">
        <v>0</v>
      </c>
      <c r="S280" s="12">
        <v>0</v>
      </c>
      <c r="T280" s="12">
        <v>0</v>
      </c>
      <c r="U280" s="271"/>
      <c r="V280" s="533">
        <f t="shared" si="33"/>
        <v>0</v>
      </c>
      <c r="W280" s="533">
        <f t="shared" si="34"/>
        <v>0</v>
      </c>
      <c r="X280" s="257"/>
      <c r="Y280" s="261">
        <f t="shared" si="35"/>
        <v>0</v>
      </c>
      <c r="Z280" s="12">
        <f t="shared" si="36"/>
        <v>0</v>
      </c>
      <c r="AB280" s="13">
        <f t="shared" si="32"/>
        <v>0</v>
      </c>
      <c r="AF280" s="13">
        <f t="shared" si="37"/>
        <v>0</v>
      </c>
      <c r="AM280" s="12">
        <f t="shared" si="38"/>
        <v>0</v>
      </c>
      <c r="AN280" s="13">
        <f t="shared" si="39"/>
        <v>0</v>
      </c>
    </row>
    <row r="281" spans="1:40" x14ac:dyDescent="0.25">
      <c r="A281">
        <v>276</v>
      </c>
      <c r="B281" t="s">
        <v>306</v>
      </c>
      <c r="C281" t="s">
        <v>24</v>
      </c>
      <c r="D281" t="s">
        <v>16</v>
      </c>
      <c r="F281" s="514">
        <f>+'29'!F281+'30'!F281+'31'!F281</f>
        <v>0</v>
      </c>
      <c r="G281" s="12">
        <f>+'29'!G281+'30'!G281+'31'!G281</f>
        <v>0</v>
      </c>
      <c r="H281" s="12">
        <f>+'29'!H281+'30'!H281+'31'!H281</f>
        <v>0</v>
      </c>
      <c r="I281" s="271"/>
      <c r="J281" s="514">
        <f>+'29'!J281+'30'!J281+'31'!J281</f>
        <v>0</v>
      </c>
      <c r="K281" s="12">
        <f>+'29'!K281+'30'!K281+'31'!K281</f>
        <v>0</v>
      </c>
      <c r="L281" s="12">
        <f>+'29'!L281+'30'!L281+'31'!L281</f>
        <v>0</v>
      </c>
      <c r="M281" s="271"/>
      <c r="N281" s="514">
        <f>+'29'!N281+'30'!N281+'31'!N281</f>
        <v>0</v>
      </c>
      <c r="O281" s="12">
        <f>+'29'!O281+'30'!O281+'31'!O281</f>
        <v>0</v>
      </c>
      <c r="P281" s="12">
        <f>+'29'!P281+'30'!P281+'31'!P281</f>
        <v>0</v>
      </c>
      <c r="Q281" s="532"/>
      <c r="R281" s="270">
        <v>0</v>
      </c>
      <c r="S281" s="12">
        <v>0</v>
      </c>
      <c r="T281" s="12">
        <v>0</v>
      </c>
      <c r="U281" s="271"/>
      <c r="V281" s="533">
        <f t="shared" si="33"/>
        <v>0</v>
      </c>
      <c r="W281" s="533">
        <f t="shared" si="34"/>
        <v>0</v>
      </c>
      <c r="X281" s="257"/>
      <c r="Y281" s="261">
        <f t="shared" si="35"/>
        <v>0</v>
      </c>
      <c r="Z281" s="12">
        <f t="shared" si="36"/>
        <v>0</v>
      </c>
      <c r="AB281" s="13">
        <f t="shared" si="32"/>
        <v>0</v>
      </c>
      <c r="AF281" s="13">
        <f t="shared" si="37"/>
        <v>0</v>
      </c>
      <c r="AM281" s="12">
        <f t="shared" si="38"/>
        <v>0</v>
      </c>
      <c r="AN281" s="13">
        <f t="shared" si="39"/>
        <v>0</v>
      </c>
    </row>
    <row r="282" spans="1:40" x14ac:dyDescent="0.25">
      <c r="A282">
        <v>277</v>
      </c>
      <c r="B282" t="s">
        <v>307</v>
      </c>
      <c r="C282" t="s">
        <v>24</v>
      </c>
      <c r="D282" t="s">
        <v>16</v>
      </c>
      <c r="F282" s="514">
        <f>+'29'!F282+'30'!F282+'31'!F282</f>
        <v>2</v>
      </c>
      <c r="G282" s="12">
        <f>+'29'!G282+'30'!G282+'31'!G282</f>
        <v>16672.2</v>
      </c>
      <c r="H282" s="12">
        <f>+'29'!H282+'30'!H282+'31'!H282</f>
        <v>80</v>
      </c>
      <c r="I282" s="271"/>
      <c r="J282" s="514">
        <f>+'29'!J282+'30'!J282+'31'!J282</f>
        <v>0</v>
      </c>
      <c r="K282" s="12">
        <f>+'29'!K282+'30'!K282+'31'!K282</f>
        <v>0</v>
      </c>
      <c r="L282" s="12">
        <f>+'29'!L282+'30'!L282+'31'!L282</f>
        <v>0</v>
      </c>
      <c r="M282" s="271"/>
      <c r="N282" s="514">
        <f>+'29'!N282+'30'!N282+'31'!N282</f>
        <v>2</v>
      </c>
      <c r="O282" s="12">
        <f>+'29'!O282+'30'!O282+'31'!O282</f>
        <v>16672.2</v>
      </c>
      <c r="P282" s="12">
        <f>+'29'!P282+'30'!P282+'31'!P282</f>
        <v>80</v>
      </c>
      <c r="Q282" s="532"/>
      <c r="R282" s="270">
        <v>2</v>
      </c>
      <c r="S282" s="12">
        <v>16672.2</v>
      </c>
      <c r="T282" s="12">
        <v>0</v>
      </c>
      <c r="U282" s="271"/>
      <c r="V282" s="533">
        <f t="shared" si="33"/>
        <v>0</v>
      </c>
      <c r="W282" s="533">
        <f t="shared" si="34"/>
        <v>0</v>
      </c>
      <c r="X282" s="257"/>
      <c r="Y282" s="261">
        <f t="shared" si="35"/>
        <v>0</v>
      </c>
      <c r="Z282" s="12">
        <f t="shared" si="36"/>
        <v>0</v>
      </c>
      <c r="AB282" s="13">
        <f t="shared" si="32"/>
        <v>16672.2</v>
      </c>
      <c r="AF282" s="13">
        <f t="shared" si="37"/>
        <v>16672.2</v>
      </c>
      <c r="AM282" s="12">
        <f t="shared" si="38"/>
        <v>0</v>
      </c>
      <c r="AN282" s="13">
        <f t="shared" si="39"/>
        <v>16672.2</v>
      </c>
    </row>
    <row r="283" spans="1:40" x14ac:dyDescent="0.25">
      <c r="A283">
        <v>278</v>
      </c>
      <c r="B283" t="s">
        <v>308</v>
      </c>
      <c r="C283" t="s">
        <v>255</v>
      </c>
      <c r="D283" t="s">
        <v>16</v>
      </c>
      <c r="F283" s="514">
        <f>+'29'!F283+'30'!F283+'31'!F283</f>
        <v>0</v>
      </c>
      <c r="G283" s="12">
        <f>+'29'!G283+'30'!G283+'31'!G283</f>
        <v>0</v>
      </c>
      <c r="H283" s="12">
        <f>+'29'!H283+'30'!H283+'31'!H283</f>
        <v>0</v>
      </c>
      <c r="I283" s="271"/>
      <c r="J283" s="514">
        <f>+'29'!J283+'30'!J283+'31'!J283</f>
        <v>0</v>
      </c>
      <c r="K283" s="12">
        <f>+'29'!K283+'30'!K283+'31'!K283</f>
        <v>0</v>
      </c>
      <c r="L283" s="12">
        <f>+'29'!L283+'30'!L283+'31'!L283</f>
        <v>0</v>
      </c>
      <c r="M283" s="271"/>
      <c r="N283" s="514">
        <f>+'29'!N283+'30'!N283+'31'!N283</f>
        <v>0</v>
      </c>
      <c r="O283" s="12">
        <f>+'29'!O283+'30'!O283+'31'!O283</f>
        <v>0</v>
      </c>
      <c r="P283" s="12">
        <f>+'29'!P283+'30'!P283+'31'!P283</f>
        <v>0</v>
      </c>
      <c r="Q283" s="532"/>
      <c r="R283" s="270">
        <v>0</v>
      </c>
      <c r="S283" s="12">
        <v>0</v>
      </c>
      <c r="T283" s="12">
        <v>0</v>
      </c>
      <c r="U283" s="271"/>
      <c r="V283" s="533">
        <f t="shared" si="33"/>
        <v>0</v>
      </c>
      <c r="W283" s="533">
        <f t="shared" si="34"/>
        <v>0</v>
      </c>
      <c r="X283" s="257"/>
      <c r="Y283" s="261">
        <f t="shared" si="35"/>
        <v>0</v>
      </c>
      <c r="Z283" s="12">
        <f t="shared" si="36"/>
        <v>0</v>
      </c>
      <c r="AB283" s="13">
        <f t="shared" si="32"/>
        <v>0</v>
      </c>
      <c r="AF283" s="13">
        <f t="shared" si="37"/>
        <v>0</v>
      </c>
      <c r="AM283" s="12">
        <f t="shared" si="38"/>
        <v>0</v>
      </c>
      <c r="AN283" s="13">
        <f t="shared" si="39"/>
        <v>0</v>
      </c>
    </row>
    <row r="284" spans="1:40" x14ac:dyDescent="0.25">
      <c r="A284">
        <v>279</v>
      </c>
      <c r="B284" t="s">
        <v>309</v>
      </c>
      <c r="C284" t="s">
        <v>18</v>
      </c>
      <c r="D284" t="s">
        <v>20</v>
      </c>
      <c r="F284" s="514">
        <f>+'29'!F284+'30'!F284+'31'!F284</f>
        <v>78</v>
      </c>
      <c r="G284" s="12">
        <f>+'29'!G284+'30'!G284+'31'!G284</f>
        <v>433597.15</v>
      </c>
      <c r="H284" s="12">
        <f>+'29'!H284+'30'!H284+'31'!H284</f>
        <v>2025</v>
      </c>
      <c r="I284" s="271"/>
      <c r="J284" s="514">
        <f>+'29'!J284+'30'!J284+'31'!J284</f>
        <v>0</v>
      </c>
      <c r="K284" s="12">
        <f>+'29'!K284+'30'!K284+'31'!K284</f>
        <v>0</v>
      </c>
      <c r="L284" s="12">
        <f>+'29'!L284+'30'!L284+'31'!L284</f>
        <v>0</v>
      </c>
      <c r="M284" s="271"/>
      <c r="N284" s="514">
        <f>+'29'!N284+'30'!N284+'31'!N284</f>
        <v>78</v>
      </c>
      <c r="O284" s="12">
        <f>+'29'!O284+'30'!O284+'31'!O284</f>
        <v>433597.15</v>
      </c>
      <c r="P284" s="12">
        <f>+'29'!P284+'30'!P284+'31'!P284</f>
        <v>2025</v>
      </c>
      <c r="Q284" s="532"/>
      <c r="R284" s="270">
        <v>78</v>
      </c>
      <c r="S284" s="12">
        <v>431572.15</v>
      </c>
      <c r="T284" s="12">
        <v>2025</v>
      </c>
      <c r="U284" s="271"/>
      <c r="V284" s="533">
        <f t="shared" si="33"/>
        <v>0</v>
      </c>
      <c r="W284" s="533">
        <f t="shared" si="34"/>
        <v>2025</v>
      </c>
      <c r="X284" s="257"/>
      <c r="Y284" s="261">
        <f t="shared" si="35"/>
        <v>0</v>
      </c>
      <c r="Z284" s="12">
        <f t="shared" si="36"/>
        <v>2025</v>
      </c>
      <c r="AB284" s="13">
        <f t="shared" si="32"/>
        <v>433597.15</v>
      </c>
      <c r="AF284" s="13">
        <f t="shared" si="37"/>
        <v>433597.15</v>
      </c>
      <c r="AM284" s="12">
        <f t="shared" si="38"/>
        <v>0</v>
      </c>
      <c r="AN284" s="13">
        <f t="shared" si="39"/>
        <v>433597.15</v>
      </c>
    </row>
    <row r="285" spans="1:40" x14ac:dyDescent="0.25">
      <c r="A285">
        <v>280</v>
      </c>
      <c r="B285" t="s">
        <v>311</v>
      </c>
      <c r="C285" t="s">
        <v>18</v>
      </c>
      <c r="D285" t="s">
        <v>16</v>
      </c>
      <c r="F285" s="514">
        <f>+'29'!F285+'30'!F285+'31'!F285</f>
        <v>0</v>
      </c>
      <c r="G285" s="12">
        <f>+'29'!G285+'30'!G285+'31'!G285</f>
        <v>0</v>
      </c>
      <c r="H285" s="12">
        <f>+'29'!H285+'30'!H285+'31'!H285</f>
        <v>0</v>
      </c>
      <c r="I285" s="271"/>
      <c r="J285" s="514">
        <f>+'29'!J285+'30'!J285+'31'!J285</f>
        <v>0</v>
      </c>
      <c r="K285" s="12">
        <f>+'29'!K285+'30'!K285+'31'!K285</f>
        <v>0</v>
      </c>
      <c r="L285" s="12">
        <f>+'29'!L285+'30'!L285+'31'!L285</f>
        <v>0</v>
      </c>
      <c r="M285" s="271"/>
      <c r="N285" s="514">
        <f>+'29'!N285+'30'!N285+'31'!N285</f>
        <v>0</v>
      </c>
      <c r="O285" s="12">
        <f>+'29'!O285+'30'!O285+'31'!O285</f>
        <v>0</v>
      </c>
      <c r="P285" s="12">
        <f>+'29'!P285+'30'!P285+'31'!P285</f>
        <v>0</v>
      </c>
      <c r="Q285" s="532"/>
      <c r="R285" s="270">
        <v>0</v>
      </c>
      <c r="S285" s="12">
        <v>0</v>
      </c>
      <c r="T285" s="12">
        <v>0</v>
      </c>
      <c r="U285" s="271"/>
      <c r="V285" s="533">
        <f t="shared" si="33"/>
        <v>0</v>
      </c>
      <c r="W285" s="533">
        <f t="shared" si="34"/>
        <v>0</v>
      </c>
      <c r="X285" s="257"/>
      <c r="Y285" s="261">
        <f t="shared" si="35"/>
        <v>0</v>
      </c>
      <c r="Z285" s="12">
        <f t="shared" si="36"/>
        <v>0</v>
      </c>
      <c r="AB285" s="13">
        <f t="shared" si="32"/>
        <v>0</v>
      </c>
      <c r="AF285" s="13">
        <f t="shared" si="37"/>
        <v>0</v>
      </c>
      <c r="AM285" s="12">
        <f t="shared" si="38"/>
        <v>0</v>
      </c>
      <c r="AN285" s="13">
        <f t="shared" si="39"/>
        <v>0</v>
      </c>
    </row>
    <row r="286" spans="1:40" x14ac:dyDescent="0.25">
      <c r="A286">
        <v>281</v>
      </c>
      <c r="B286" t="s">
        <v>310</v>
      </c>
      <c r="C286" t="s">
        <v>18</v>
      </c>
      <c r="D286" t="s">
        <v>16</v>
      </c>
      <c r="F286" s="514">
        <f>+'29'!F286+'30'!F286+'31'!F286</f>
        <v>0</v>
      </c>
      <c r="G286" s="12">
        <f>+'29'!G286+'30'!G286+'31'!G286</f>
        <v>0</v>
      </c>
      <c r="H286" s="12">
        <f>+'29'!H286+'30'!H286+'31'!H286</f>
        <v>0</v>
      </c>
      <c r="I286" s="271"/>
      <c r="J286" s="514">
        <f>+'29'!J286+'30'!J286+'31'!J286</f>
        <v>0</v>
      </c>
      <c r="K286" s="12">
        <f>+'29'!K286+'30'!K286+'31'!K286</f>
        <v>0</v>
      </c>
      <c r="L286" s="12">
        <f>+'29'!L286+'30'!L286+'31'!L286</f>
        <v>0</v>
      </c>
      <c r="M286" s="271"/>
      <c r="N286" s="514">
        <f>+'29'!N286+'30'!N286+'31'!N286</f>
        <v>0</v>
      </c>
      <c r="O286" s="12">
        <f>+'29'!O286+'30'!O286+'31'!O286</f>
        <v>0</v>
      </c>
      <c r="P286" s="12">
        <f>+'29'!P286+'30'!P286+'31'!P286</f>
        <v>0</v>
      </c>
      <c r="Q286" s="532"/>
      <c r="R286" s="270">
        <v>0</v>
      </c>
      <c r="S286" s="12">
        <v>0</v>
      </c>
      <c r="T286" s="12">
        <v>0</v>
      </c>
      <c r="U286" s="271"/>
      <c r="V286" s="533">
        <f t="shared" si="33"/>
        <v>0</v>
      </c>
      <c r="W286" s="533">
        <f t="shared" si="34"/>
        <v>0</v>
      </c>
      <c r="X286" s="257"/>
      <c r="Y286" s="261">
        <f t="shared" si="35"/>
        <v>0</v>
      </c>
      <c r="Z286" s="12">
        <f t="shared" si="36"/>
        <v>0</v>
      </c>
      <c r="AB286" s="13">
        <f t="shared" si="32"/>
        <v>0</v>
      </c>
      <c r="AF286" s="13">
        <f t="shared" si="37"/>
        <v>0</v>
      </c>
      <c r="AM286" s="12">
        <f t="shared" si="38"/>
        <v>0</v>
      </c>
      <c r="AN286" s="13">
        <f t="shared" si="39"/>
        <v>0</v>
      </c>
    </row>
    <row r="287" spans="1:40" x14ac:dyDescent="0.25">
      <c r="A287">
        <v>282</v>
      </c>
      <c r="B287" t="s">
        <v>312</v>
      </c>
      <c r="C287" t="s">
        <v>313</v>
      </c>
      <c r="D287" t="s">
        <v>16</v>
      </c>
      <c r="F287" s="514">
        <f>+'29'!F287+'30'!F287+'31'!F287</f>
        <v>0</v>
      </c>
      <c r="G287" s="12">
        <f>+'29'!G287+'30'!G287+'31'!G287</f>
        <v>0</v>
      </c>
      <c r="H287" s="12">
        <f>+'29'!H287+'30'!H287+'31'!H287</f>
        <v>0</v>
      </c>
      <c r="I287" s="271"/>
      <c r="J287" s="514">
        <f>+'29'!J287+'30'!J287+'31'!J287</f>
        <v>0</v>
      </c>
      <c r="K287" s="12">
        <f>+'29'!K287+'30'!K287+'31'!K287</f>
        <v>0</v>
      </c>
      <c r="L287" s="12">
        <f>+'29'!L287+'30'!L287+'31'!L287</f>
        <v>0</v>
      </c>
      <c r="M287" s="271"/>
      <c r="N287" s="514">
        <f>+'29'!N287+'30'!N287+'31'!N287</f>
        <v>0</v>
      </c>
      <c r="O287" s="12">
        <f>+'29'!O287+'30'!O287+'31'!O287</f>
        <v>0</v>
      </c>
      <c r="P287" s="12">
        <f>+'29'!P287+'30'!P287+'31'!P287</f>
        <v>0</v>
      </c>
      <c r="Q287" s="532"/>
      <c r="R287" s="270">
        <v>0</v>
      </c>
      <c r="S287" s="12">
        <v>0</v>
      </c>
      <c r="T287" s="12">
        <v>0</v>
      </c>
      <c r="U287" s="271"/>
      <c r="V287" s="533">
        <f t="shared" si="33"/>
        <v>0</v>
      </c>
      <c r="W287" s="533">
        <f t="shared" si="34"/>
        <v>0</v>
      </c>
      <c r="X287" s="257"/>
      <c r="Y287" s="261">
        <f t="shared" si="35"/>
        <v>0</v>
      </c>
      <c r="Z287" s="12">
        <f t="shared" si="36"/>
        <v>0</v>
      </c>
      <c r="AB287" s="13">
        <f t="shared" si="32"/>
        <v>0</v>
      </c>
      <c r="AF287" s="13">
        <f t="shared" si="37"/>
        <v>0</v>
      </c>
      <c r="AM287" s="12">
        <f t="shared" si="38"/>
        <v>0</v>
      </c>
      <c r="AN287" s="13">
        <f t="shared" si="39"/>
        <v>0</v>
      </c>
    </row>
    <row r="288" spans="1:40" x14ac:dyDescent="0.25">
      <c r="A288">
        <v>283</v>
      </c>
      <c r="B288" t="s">
        <v>314</v>
      </c>
      <c r="C288" t="s">
        <v>15</v>
      </c>
      <c r="D288" t="s">
        <v>20</v>
      </c>
      <c r="F288" s="514">
        <f>+'29'!F288+'30'!F288+'31'!F288</f>
        <v>0</v>
      </c>
      <c r="G288" s="12">
        <f>+'29'!G288+'30'!G288+'31'!G288</f>
        <v>0</v>
      </c>
      <c r="H288" s="12">
        <f>+'29'!H288+'30'!H288+'31'!H288</f>
        <v>0</v>
      </c>
      <c r="I288" s="271"/>
      <c r="J288" s="514">
        <f>+'29'!J288+'30'!J288+'31'!J288</f>
        <v>0</v>
      </c>
      <c r="K288" s="12">
        <f>+'29'!K288+'30'!K288+'31'!K288</f>
        <v>0</v>
      </c>
      <c r="L288" s="12">
        <f>+'29'!L288+'30'!L288+'31'!L288</f>
        <v>0</v>
      </c>
      <c r="M288" s="271"/>
      <c r="N288" s="514">
        <f>+'29'!N288+'30'!N288+'31'!N288</f>
        <v>0</v>
      </c>
      <c r="O288" s="12">
        <f>+'29'!O288+'30'!O288+'31'!O288</f>
        <v>0</v>
      </c>
      <c r="P288" s="12">
        <f>+'29'!P288+'30'!P288+'31'!P288</f>
        <v>0</v>
      </c>
      <c r="Q288" s="532"/>
      <c r="R288" s="270">
        <v>0</v>
      </c>
      <c r="S288" s="12">
        <v>0</v>
      </c>
      <c r="T288" s="12">
        <v>0</v>
      </c>
      <c r="U288" s="271"/>
      <c r="V288" s="533">
        <f t="shared" si="33"/>
        <v>0</v>
      </c>
      <c r="W288" s="533">
        <f t="shared" si="34"/>
        <v>0</v>
      </c>
      <c r="X288" s="257"/>
      <c r="Y288" s="261">
        <f t="shared" si="35"/>
        <v>0</v>
      </c>
      <c r="Z288" s="12">
        <f t="shared" si="36"/>
        <v>0</v>
      </c>
      <c r="AB288" s="13">
        <f t="shared" si="32"/>
        <v>0</v>
      </c>
      <c r="AF288" s="13">
        <f t="shared" si="37"/>
        <v>0</v>
      </c>
      <c r="AM288" s="12">
        <f t="shared" si="38"/>
        <v>0</v>
      </c>
      <c r="AN288" s="13">
        <f t="shared" si="39"/>
        <v>0</v>
      </c>
    </row>
    <row r="289" spans="1:40" x14ac:dyDescent="0.25">
      <c r="A289">
        <v>284</v>
      </c>
      <c r="B289" t="s">
        <v>315</v>
      </c>
      <c r="C289" t="s">
        <v>15</v>
      </c>
      <c r="D289" t="s">
        <v>16</v>
      </c>
      <c r="F289" s="514">
        <f>+'29'!F289+'30'!F289+'31'!F289</f>
        <v>1</v>
      </c>
      <c r="G289" s="12">
        <f>+'29'!G289+'30'!G289+'31'!G289</f>
        <v>13357</v>
      </c>
      <c r="H289" s="12">
        <f>+'29'!H289+'30'!H289+'31'!H289</f>
        <v>25</v>
      </c>
      <c r="I289" s="271"/>
      <c r="J289" s="514">
        <f>+'29'!J289+'30'!J289+'31'!J289</f>
        <v>0</v>
      </c>
      <c r="K289" s="12">
        <f>+'29'!K289+'30'!K289+'31'!K289</f>
        <v>0</v>
      </c>
      <c r="L289" s="12">
        <f>+'29'!L289+'30'!L289+'31'!L289</f>
        <v>0</v>
      </c>
      <c r="M289" s="271"/>
      <c r="N289" s="514">
        <f>+'29'!N289+'30'!N289+'31'!N289</f>
        <v>1</v>
      </c>
      <c r="O289" s="12">
        <f>+'29'!O289+'30'!O289+'31'!O289</f>
        <v>13357</v>
      </c>
      <c r="P289" s="12">
        <f>+'29'!P289+'30'!P289+'31'!P289</f>
        <v>25</v>
      </c>
      <c r="Q289" s="532"/>
      <c r="R289" s="270">
        <v>1</v>
      </c>
      <c r="S289" s="12">
        <v>13357</v>
      </c>
      <c r="T289" s="12">
        <v>0</v>
      </c>
      <c r="U289" s="271"/>
      <c r="V289" s="533">
        <f t="shared" si="33"/>
        <v>0</v>
      </c>
      <c r="W289" s="533">
        <f t="shared" si="34"/>
        <v>0</v>
      </c>
      <c r="X289" s="257"/>
      <c r="Y289" s="261">
        <f t="shared" si="35"/>
        <v>0</v>
      </c>
      <c r="Z289" s="12">
        <f t="shared" si="36"/>
        <v>0</v>
      </c>
      <c r="AB289" s="13">
        <f t="shared" si="32"/>
        <v>13357</v>
      </c>
      <c r="AF289" s="13">
        <f t="shared" si="37"/>
        <v>13357</v>
      </c>
      <c r="AM289" s="12">
        <f t="shared" si="38"/>
        <v>0</v>
      </c>
      <c r="AN289" s="13">
        <f t="shared" si="39"/>
        <v>13357</v>
      </c>
    </row>
    <row r="290" spans="1:40" x14ac:dyDescent="0.25">
      <c r="A290">
        <v>285</v>
      </c>
      <c r="B290" t="s">
        <v>316</v>
      </c>
      <c r="C290" t="s">
        <v>18</v>
      </c>
      <c r="D290" t="s">
        <v>16</v>
      </c>
      <c r="F290" s="514">
        <f>+'29'!F290+'30'!F290+'31'!F290</f>
        <v>6</v>
      </c>
      <c r="G290" s="12">
        <f>+'29'!G290+'30'!G290+'31'!G290</f>
        <v>70500</v>
      </c>
      <c r="H290" s="12">
        <f>+'29'!H290+'30'!H290+'31'!H290</f>
        <v>150</v>
      </c>
      <c r="I290" s="271"/>
      <c r="J290" s="514">
        <f>+'29'!J290+'30'!J290+'31'!J290</f>
        <v>0</v>
      </c>
      <c r="K290" s="12">
        <f>+'29'!K290+'30'!K290+'31'!K290</f>
        <v>0</v>
      </c>
      <c r="L290" s="12">
        <f>+'29'!L290+'30'!L290+'31'!L290</f>
        <v>0</v>
      </c>
      <c r="M290" s="271"/>
      <c r="N290" s="514">
        <f>+'29'!N290+'30'!N290+'31'!N290</f>
        <v>6</v>
      </c>
      <c r="O290" s="12">
        <f>+'29'!O290+'30'!O290+'31'!O290</f>
        <v>70500</v>
      </c>
      <c r="P290" s="12">
        <f>+'29'!P290+'30'!P290+'31'!P290</f>
        <v>150</v>
      </c>
      <c r="Q290" s="532"/>
      <c r="R290" s="270">
        <v>6</v>
      </c>
      <c r="S290" s="12">
        <v>70500</v>
      </c>
      <c r="T290" s="12">
        <v>0</v>
      </c>
      <c r="U290" s="271"/>
      <c r="V290" s="533">
        <f t="shared" si="33"/>
        <v>0</v>
      </c>
      <c r="W290" s="533">
        <f t="shared" si="34"/>
        <v>0</v>
      </c>
      <c r="X290" s="257"/>
      <c r="Y290" s="261">
        <f t="shared" si="35"/>
        <v>0</v>
      </c>
      <c r="Z290" s="12">
        <f t="shared" si="36"/>
        <v>0</v>
      </c>
      <c r="AB290" s="13">
        <f t="shared" si="32"/>
        <v>70500</v>
      </c>
      <c r="AF290" s="13">
        <f t="shared" si="37"/>
        <v>70500</v>
      </c>
      <c r="AM290" s="12">
        <f t="shared" si="38"/>
        <v>0</v>
      </c>
      <c r="AN290" s="13">
        <f t="shared" si="39"/>
        <v>70500</v>
      </c>
    </row>
    <row r="291" spans="1:40" x14ac:dyDescent="0.25">
      <c r="A291">
        <v>286</v>
      </c>
      <c r="B291" t="s">
        <v>317</v>
      </c>
      <c r="C291" t="s">
        <v>148</v>
      </c>
      <c r="D291" t="s">
        <v>16</v>
      </c>
      <c r="F291" s="514">
        <f>+'29'!F291+'30'!F291+'31'!F291</f>
        <v>0</v>
      </c>
      <c r="G291" s="12">
        <f>+'29'!G291+'30'!G291+'31'!G291</f>
        <v>0</v>
      </c>
      <c r="H291" s="12">
        <f>+'29'!H291+'30'!H291+'31'!H291</f>
        <v>0</v>
      </c>
      <c r="I291" s="271"/>
      <c r="J291" s="514">
        <f>+'29'!J291+'30'!J291+'31'!J291</f>
        <v>0</v>
      </c>
      <c r="K291" s="12">
        <f>+'29'!K291+'30'!K291+'31'!K291</f>
        <v>0</v>
      </c>
      <c r="L291" s="12">
        <f>+'29'!L291+'30'!L291+'31'!L291</f>
        <v>0</v>
      </c>
      <c r="M291" s="271"/>
      <c r="N291" s="514">
        <f>+'29'!N291+'30'!N291+'31'!N291</f>
        <v>0</v>
      </c>
      <c r="O291" s="12">
        <f>+'29'!O291+'30'!O291+'31'!O291</f>
        <v>0</v>
      </c>
      <c r="P291" s="12">
        <f>+'29'!P291+'30'!P291+'31'!P291</f>
        <v>0</v>
      </c>
      <c r="Q291" s="532"/>
      <c r="R291" s="270">
        <v>0</v>
      </c>
      <c r="S291" s="12">
        <v>0</v>
      </c>
      <c r="T291" s="12">
        <v>0</v>
      </c>
      <c r="U291" s="271"/>
      <c r="V291" s="533">
        <f t="shared" si="33"/>
        <v>0</v>
      </c>
      <c r="W291" s="533">
        <f t="shared" si="34"/>
        <v>0</v>
      </c>
      <c r="X291" s="257"/>
      <c r="Y291" s="261">
        <f t="shared" si="35"/>
        <v>0</v>
      </c>
      <c r="Z291" s="12">
        <f t="shared" si="36"/>
        <v>0</v>
      </c>
      <c r="AB291" s="13">
        <f t="shared" si="32"/>
        <v>0</v>
      </c>
      <c r="AF291" s="13">
        <f t="shared" si="37"/>
        <v>0</v>
      </c>
      <c r="AI291" s="33"/>
      <c r="AM291" s="12">
        <f t="shared" si="38"/>
        <v>0</v>
      </c>
      <c r="AN291" s="13">
        <f t="shared" si="39"/>
        <v>0</v>
      </c>
    </row>
    <row r="292" spans="1:40" x14ac:dyDescent="0.25">
      <c r="A292">
        <v>287</v>
      </c>
      <c r="B292" t="s">
        <v>318</v>
      </c>
      <c r="C292" t="s">
        <v>18</v>
      </c>
      <c r="D292" t="s">
        <v>16</v>
      </c>
      <c r="F292" s="514">
        <f>+'29'!F292+'30'!F292+'31'!F292</f>
        <v>0</v>
      </c>
      <c r="G292" s="12">
        <f>+'29'!G292+'30'!G292+'31'!G292</f>
        <v>0</v>
      </c>
      <c r="H292" s="12">
        <f>+'29'!H292+'30'!H292+'31'!H292</f>
        <v>0</v>
      </c>
      <c r="I292" s="271"/>
      <c r="J292" s="514">
        <f>+'29'!J292+'30'!J292+'31'!J292</f>
        <v>0</v>
      </c>
      <c r="K292" s="12">
        <f>+'29'!K292+'30'!K292+'31'!K292</f>
        <v>0</v>
      </c>
      <c r="L292" s="12">
        <f>+'29'!L292+'30'!L292+'31'!L292</f>
        <v>0</v>
      </c>
      <c r="M292" s="271"/>
      <c r="N292" s="514">
        <f>+'29'!N292+'30'!N292+'31'!N292</f>
        <v>0</v>
      </c>
      <c r="O292" s="12">
        <f>+'29'!O292+'30'!O292+'31'!O292</f>
        <v>0</v>
      </c>
      <c r="P292" s="12">
        <f>+'29'!P292+'30'!P292+'31'!P292</f>
        <v>0</v>
      </c>
      <c r="Q292" s="532"/>
      <c r="R292" s="270">
        <v>0</v>
      </c>
      <c r="S292" s="12">
        <v>0</v>
      </c>
      <c r="T292" s="12">
        <v>0</v>
      </c>
      <c r="U292" s="271"/>
      <c r="V292" s="533">
        <f t="shared" si="33"/>
        <v>0</v>
      </c>
      <c r="W292" s="533">
        <f t="shared" si="34"/>
        <v>0</v>
      </c>
      <c r="X292" s="257"/>
      <c r="Y292" s="261">
        <f t="shared" si="35"/>
        <v>0</v>
      </c>
      <c r="Z292" s="12">
        <f t="shared" si="36"/>
        <v>0</v>
      </c>
      <c r="AB292" s="13">
        <f t="shared" si="32"/>
        <v>0</v>
      </c>
      <c r="AF292" s="13">
        <f t="shared" si="37"/>
        <v>0</v>
      </c>
      <c r="AM292" s="12">
        <f t="shared" si="38"/>
        <v>0</v>
      </c>
      <c r="AN292" s="13">
        <f t="shared" si="39"/>
        <v>0</v>
      </c>
    </row>
    <row r="293" spans="1:40" x14ac:dyDescent="0.25">
      <c r="A293">
        <v>288</v>
      </c>
      <c r="B293" t="s">
        <v>319</v>
      </c>
      <c r="C293" t="s">
        <v>18</v>
      </c>
      <c r="D293" t="s">
        <v>20</v>
      </c>
      <c r="F293" s="514">
        <f>+'29'!F293+'30'!F293+'31'!F293</f>
        <v>24</v>
      </c>
      <c r="G293" s="12">
        <f>+'29'!G293+'30'!G293+'31'!G293</f>
        <v>243119.80000000005</v>
      </c>
      <c r="H293" s="12">
        <f>+'29'!H293+'30'!H293+'31'!H293</f>
        <v>1200</v>
      </c>
      <c r="I293" s="271"/>
      <c r="J293" s="514">
        <f>+'29'!J293+'30'!J293+'31'!J293</f>
        <v>0</v>
      </c>
      <c r="K293" s="12">
        <f>+'29'!K293+'30'!K293+'31'!K293</f>
        <v>0</v>
      </c>
      <c r="L293" s="12">
        <f>+'29'!L293+'30'!L293+'31'!L293</f>
        <v>0</v>
      </c>
      <c r="M293" s="271"/>
      <c r="N293" s="514">
        <f>+'29'!N293+'30'!N293+'31'!N293</f>
        <v>24</v>
      </c>
      <c r="O293" s="12">
        <f>+'29'!O293+'30'!O293+'31'!O293</f>
        <v>243119.80000000005</v>
      </c>
      <c r="P293" s="12">
        <f>+'29'!P293+'30'!P293+'31'!P293</f>
        <v>1200</v>
      </c>
      <c r="Q293" s="532"/>
      <c r="R293" s="270">
        <v>24</v>
      </c>
      <c r="S293" s="12">
        <v>243119.8</v>
      </c>
      <c r="T293" s="12">
        <v>0</v>
      </c>
      <c r="U293" s="271"/>
      <c r="V293" s="533">
        <f t="shared" si="33"/>
        <v>0</v>
      </c>
      <c r="W293" s="533">
        <f t="shared" si="34"/>
        <v>0</v>
      </c>
      <c r="X293" s="257"/>
      <c r="Y293" s="261">
        <f t="shared" si="35"/>
        <v>0</v>
      </c>
      <c r="Z293" s="12">
        <f t="shared" si="36"/>
        <v>0</v>
      </c>
      <c r="AB293" s="13">
        <f t="shared" si="32"/>
        <v>243119.80000000005</v>
      </c>
      <c r="AF293" s="13">
        <f t="shared" si="37"/>
        <v>243119.80000000005</v>
      </c>
      <c r="AM293" s="12">
        <f t="shared" si="38"/>
        <v>0</v>
      </c>
      <c r="AN293" s="13">
        <f t="shared" si="39"/>
        <v>243119.80000000005</v>
      </c>
    </row>
    <row r="294" spans="1:40" x14ac:dyDescent="0.25">
      <c r="A294">
        <v>289</v>
      </c>
      <c r="B294" t="s">
        <v>320</v>
      </c>
      <c r="C294" t="s">
        <v>18</v>
      </c>
      <c r="D294" t="s">
        <v>20</v>
      </c>
      <c r="F294" s="514">
        <f>+'29'!F294+'30'!F294+'31'!F294</f>
        <v>0</v>
      </c>
      <c r="G294" s="12">
        <f>+'29'!G294+'30'!G294+'31'!G294</f>
        <v>0</v>
      </c>
      <c r="H294" s="12">
        <f>+'29'!H294+'30'!H294+'31'!H294</f>
        <v>0</v>
      </c>
      <c r="I294" s="271"/>
      <c r="J294" s="514">
        <f>+'29'!J294+'30'!J294+'31'!J294</f>
        <v>0</v>
      </c>
      <c r="K294" s="12">
        <f>+'29'!K294+'30'!K294+'31'!K294</f>
        <v>0</v>
      </c>
      <c r="L294" s="12">
        <f>+'29'!L294+'30'!L294+'31'!L294</f>
        <v>0</v>
      </c>
      <c r="M294" s="271"/>
      <c r="N294" s="514">
        <f>+'29'!N294+'30'!N294+'31'!N294</f>
        <v>0</v>
      </c>
      <c r="O294" s="12">
        <f>+'29'!O294+'30'!O294+'31'!O294</f>
        <v>0</v>
      </c>
      <c r="P294" s="12">
        <f>+'29'!P294+'30'!P294+'31'!P294</f>
        <v>0</v>
      </c>
      <c r="Q294" s="532"/>
      <c r="R294" s="270">
        <v>0</v>
      </c>
      <c r="S294" s="12">
        <v>0</v>
      </c>
      <c r="T294" s="12">
        <v>0</v>
      </c>
      <c r="U294" s="271"/>
      <c r="V294" s="533">
        <f t="shared" si="33"/>
        <v>0</v>
      </c>
      <c r="W294" s="533">
        <f t="shared" si="34"/>
        <v>0</v>
      </c>
      <c r="X294" s="257"/>
      <c r="Y294" s="261">
        <f t="shared" si="35"/>
        <v>0</v>
      </c>
      <c r="Z294" s="12">
        <f t="shared" si="36"/>
        <v>0</v>
      </c>
      <c r="AB294" s="13">
        <f t="shared" si="32"/>
        <v>0</v>
      </c>
      <c r="AF294" s="13">
        <f t="shared" si="37"/>
        <v>0</v>
      </c>
      <c r="AM294" s="12">
        <f t="shared" si="38"/>
        <v>0</v>
      </c>
      <c r="AN294" s="13">
        <f t="shared" si="39"/>
        <v>0</v>
      </c>
    </row>
    <row r="295" spans="1:40" x14ac:dyDescent="0.25">
      <c r="A295">
        <v>290</v>
      </c>
      <c r="B295" t="s">
        <v>321</v>
      </c>
      <c r="C295" t="s">
        <v>18</v>
      </c>
      <c r="D295" t="s">
        <v>20</v>
      </c>
      <c r="F295" s="514">
        <f>+'29'!F295+'30'!F295+'31'!F295</f>
        <v>27</v>
      </c>
      <c r="G295" s="12">
        <f>+'29'!G295+'30'!G295+'31'!G295</f>
        <v>507429.02</v>
      </c>
      <c r="H295" s="12">
        <f>+'29'!H295+'30'!H295+'31'!H295</f>
        <v>1350</v>
      </c>
      <c r="I295" s="271"/>
      <c r="J295" s="514">
        <f>+'29'!J295+'30'!J295+'31'!J295</f>
        <v>0</v>
      </c>
      <c r="K295" s="12">
        <f>+'29'!K295+'30'!K295+'31'!K295</f>
        <v>0</v>
      </c>
      <c r="L295" s="12">
        <f>+'29'!L295+'30'!L295+'31'!L295</f>
        <v>0</v>
      </c>
      <c r="M295" s="271"/>
      <c r="N295" s="514">
        <f>+'29'!N295+'30'!N295+'31'!N295</f>
        <v>27</v>
      </c>
      <c r="O295" s="12">
        <f>+'29'!O295+'30'!O295+'31'!O295</f>
        <v>507429.02</v>
      </c>
      <c r="P295" s="12">
        <f>+'29'!P295+'30'!P295+'31'!P295</f>
        <v>1350</v>
      </c>
      <c r="Q295" s="532"/>
      <c r="R295" s="270">
        <v>27</v>
      </c>
      <c r="S295" s="12">
        <v>507429.02</v>
      </c>
      <c r="T295" s="12">
        <v>0</v>
      </c>
      <c r="U295" s="271"/>
      <c r="V295" s="533">
        <f t="shared" si="33"/>
        <v>0</v>
      </c>
      <c r="W295" s="533">
        <f t="shared" si="34"/>
        <v>0</v>
      </c>
      <c r="X295" s="257"/>
      <c r="Y295" s="261">
        <f t="shared" si="35"/>
        <v>0</v>
      </c>
      <c r="Z295" s="12">
        <f t="shared" si="36"/>
        <v>0</v>
      </c>
      <c r="AB295" s="13">
        <f t="shared" si="32"/>
        <v>507429.02</v>
      </c>
      <c r="AF295" s="13">
        <f t="shared" si="37"/>
        <v>507429.02</v>
      </c>
      <c r="AM295" s="12">
        <f t="shared" si="38"/>
        <v>0</v>
      </c>
      <c r="AN295" s="13">
        <f t="shared" si="39"/>
        <v>507429.02</v>
      </c>
    </row>
    <row r="296" spans="1:40" x14ac:dyDescent="0.25">
      <c r="A296">
        <v>291</v>
      </c>
      <c r="B296" t="s">
        <v>322</v>
      </c>
      <c r="C296" t="s">
        <v>18</v>
      </c>
      <c r="D296" t="s">
        <v>20</v>
      </c>
      <c r="F296" s="514">
        <f>+'29'!F296+'30'!F296+'31'!F296</f>
        <v>15</v>
      </c>
      <c r="G296" s="12">
        <f>+'29'!G296+'30'!G296+'31'!G296</f>
        <v>281902.34000000003</v>
      </c>
      <c r="H296" s="12">
        <f>+'29'!H296+'30'!H296+'31'!H296</f>
        <v>750</v>
      </c>
      <c r="I296" s="271"/>
      <c r="J296" s="514">
        <f>+'29'!J296+'30'!J296+'31'!J296</f>
        <v>0</v>
      </c>
      <c r="K296" s="12">
        <f>+'29'!K296+'30'!K296+'31'!K296</f>
        <v>0</v>
      </c>
      <c r="L296" s="12">
        <f>+'29'!L296+'30'!L296+'31'!L296</f>
        <v>0</v>
      </c>
      <c r="M296" s="271"/>
      <c r="N296" s="514">
        <f>+'29'!N296+'30'!N296+'31'!N296</f>
        <v>15</v>
      </c>
      <c r="O296" s="12">
        <f>+'29'!O296+'30'!O296+'31'!O296</f>
        <v>281902.34000000003</v>
      </c>
      <c r="P296" s="12">
        <f>+'29'!P296+'30'!P296+'31'!P296</f>
        <v>750</v>
      </c>
      <c r="Q296" s="532"/>
      <c r="R296" s="270">
        <v>15</v>
      </c>
      <c r="S296" s="12">
        <v>281902.34000000003</v>
      </c>
      <c r="T296" s="12">
        <v>0</v>
      </c>
      <c r="U296" s="271"/>
      <c r="V296" s="533">
        <f t="shared" si="33"/>
        <v>0</v>
      </c>
      <c r="W296" s="533">
        <f t="shared" si="34"/>
        <v>0</v>
      </c>
      <c r="X296" s="257"/>
      <c r="Y296" s="261">
        <f t="shared" si="35"/>
        <v>0</v>
      </c>
      <c r="Z296" s="12">
        <f t="shared" si="36"/>
        <v>0</v>
      </c>
      <c r="AB296" s="13">
        <f t="shared" si="32"/>
        <v>281902.34000000003</v>
      </c>
      <c r="AF296" s="13">
        <f t="shared" si="37"/>
        <v>281902.34000000003</v>
      </c>
      <c r="AM296" s="12">
        <f t="shared" si="38"/>
        <v>0</v>
      </c>
      <c r="AN296" s="13">
        <f t="shared" si="39"/>
        <v>281902.34000000003</v>
      </c>
    </row>
    <row r="297" spans="1:40" x14ac:dyDescent="0.25">
      <c r="A297">
        <v>292</v>
      </c>
      <c r="B297" t="s">
        <v>323</v>
      </c>
      <c r="C297" t="s">
        <v>18</v>
      </c>
      <c r="D297" t="s">
        <v>20</v>
      </c>
      <c r="F297" s="514">
        <f>+'29'!F297+'30'!F297+'31'!F297</f>
        <v>18</v>
      </c>
      <c r="G297" s="12">
        <f>+'29'!G297+'30'!G297+'31'!G297</f>
        <v>333532</v>
      </c>
      <c r="H297" s="12">
        <f>+'29'!H297+'30'!H297+'31'!H297</f>
        <v>900</v>
      </c>
      <c r="I297" s="271"/>
      <c r="J297" s="514">
        <f>+'29'!J297+'30'!J297+'31'!J297</f>
        <v>0</v>
      </c>
      <c r="K297" s="12">
        <f>+'29'!K297+'30'!K297+'31'!K297</f>
        <v>0</v>
      </c>
      <c r="L297" s="12">
        <f>+'29'!L297+'30'!L297+'31'!L297</f>
        <v>0</v>
      </c>
      <c r="M297" s="271"/>
      <c r="N297" s="514">
        <f>+'29'!N297+'30'!N297+'31'!N297</f>
        <v>18</v>
      </c>
      <c r="O297" s="12">
        <f>+'29'!O297+'30'!O297+'31'!O297</f>
        <v>333532</v>
      </c>
      <c r="P297" s="12">
        <f>+'29'!P297+'30'!P297+'31'!P297</f>
        <v>900</v>
      </c>
      <c r="Q297" s="532"/>
      <c r="R297" s="270">
        <v>18</v>
      </c>
      <c r="S297" s="12">
        <v>333532</v>
      </c>
      <c r="T297" s="12">
        <v>0</v>
      </c>
      <c r="U297" s="271"/>
      <c r="V297" s="533">
        <f t="shared" si="33"/>
        <v>0</v>
      </c>
      <c r="W297" s="533">
        <f t="shared" si="34"/>
        <v>0</v>
      </c>
      <c r="X297" s="257"/>
      <c r="Y297" s="261">
        <f t="shared" si="35"/>
        <v>0</v>
      </c>
      <c r="Z297" s="12">
        <f t="shared" si="36"/>
        <v>0</v>
      </c>
      <c r="AB297" s="13">
        <f t="shared" si="32"/>
        <v>333532</v>
      </c>
      <c r="AF297" s="13">
        <f t="shared" si="37"/>
        <v>333532</v>
      </c>
      <c r="AM297" s="12">
        <f t="shared" si="38"/>
        <v>0</v>
      </c>
      <c r="AN297" s="13">
        <f t="shared" si="39"/>
        <v>333532</v>
      </c>
    </row>
    <row r="298" spans="1:40" x14ac:dyDescent="0.25">
      <c r="A298">
        <v>293</v>
      </c>
      <c r="B298" t="s">
        <v>324</v>
      </c>
      <c r="C298" t="s">
        <v>18</v>
      </c>
      <c r="D298" t="s">
        <v>20</v>
      </c>
      <c r="F298" s="514">
        <f>+'29'!F298+'30'!F298+'31'!F298</f>
        <v>0</v>
      </c>
      <c r="G298" s="12">
        <f>+'29'!G298+'30'!G298+'31'!G298</f>
        <v>0</v>
      </c>
      <c r="H298" s="12">
        <f>+'29'!H298+'30'!H298+'31'!H298</f>
        <v>0</v>
      </c>
      <c r="I298" s="271"/>
      <c r="J298" s="514">
        <f>+'29'!J298+'30'!J298+'31'!J298</f>
        <v>0</v>
      </c>
      <c r="K298" s="12">
        <f>+'29'!K298+'30'!K298+'31'!K298</f>
        <v>0</v>
      </c>
      <c r="L298" s="12">
        <f>+'29'!L298+'30'!L298+'31'!L298</f>
        <v>0</v>
      </c>
      <c r="M298" s="271"/>
      <c r="N298" s="514">
        <f>+'29'!N298+'30'!N298+'31'!N298</f>
        <v>0</v>
      </c>
      <c r="O298" s="12">
        <f>+'29'!O298+'30'!O298+'31'!O298</f>
        <v>0</v>
      </c>
      <c r="P298" s="12">
        <f>+'29'!P298+'30'!P298+'31'!P298</f>
        <v>0</v>
      </c>
      <c r="Q298" s="532"/>
      <c r="R298" s="270">
        <v>0</v>
      </c>
      <c r="S298" s="12">
        <v>0</v>
      </c>
      <c r="T298" s="12">
        <v>0</v>
      </c>
      <c r="U298" s="271"/>
      <c r="V298" s="533">
        <f t="shared" si="33"/>
        <v>0</v>
      </c>
      <c r="W298" s="533">
        <f t="shared" si="34"/>
        <v>0</v>
      </c>
      <c r="X298" s="257"/>
      <c r="Y298" s="261">
        <f t="shared" si="35"/>
        <v>0</v>
      </c>
      <c r="Z298" s="12">
        <f t="shared" si="36"/>
        <v>0</v>
      </c>
      <c r="AB298" s="13">
        <f t="shared" si="32"/>
        <v>0</v>
      </c>
      <c r="AF298" s="13">
        <f t="shared" si="37"/>
        <v>0</v>
      </c>
      <c r="AM298" s="12">
        <f t="shared" si="38"/>
        <v>0</v>
      </c>
      <c r="AN298" s="13">
        <f t="shared" si="39"/>
        <v>0</v>
      </c>
    </row>
    <row r="299" spans="1:40" x14ac:dyDescent="0.25">
      <c r="A299">
        <v>294</v>
      </c>
      <c r="B299" t="s">
        <v>325</v>
      </c>
      <c r="C299" t="s">
        <v>326</v>
      </c>
      <c r="D299" t="s">
        <v>327</v>
      </c>
      <c r="F299" s="514">
        <f>+'29'!F299+'30'!F299+'31'!F299</f>
        <v>2737</v>
      </c>
      <c r="G299" s="12">
        <f>+'29'!G299+'30'!G299+'31'!G299</f>
        <v>238623686.70999998</v>
      </c>
      <c r="H299" s="12">
        <f>+'29'!H299+'30'!H299+'31'!H299</f>
        <v>164220</v>
      </c>
      <c r="I299" s="271"/>
      <c r="J299" s="514">
        <f>+'29'!J299+'30'!J299+'31'!J299</f>
        <v>-1</v>
      </c>
      <c r="K299" s="12">
        <f>+'29'!K299+'30'!K299+'31'!K299</f>
        <v>-201890</v>
      </c>
      <c r="L299" s="12">
        <f>+'29'!L299+'30'!L299+'31'!L299</f>
        <v>-60</v>
      </c>
      <c r="M299" s="271"/>
      <c r="N299" s="514">
        <f>+'29'!N299+'30'!N299+'31'!N299</f>
        <v>2736</v>
      </c>
      <c r="O299" s="12">
        <f>+'29'!O299+'30'!O299+'31'!O299</f>
        <v>238421796.70999998</v>
      </c>
      <c r="P299" s="12">
        <f>+'29'!P299+'30'!P299+'31'!P299</f>
        <v>164160</v>
      </c>
      <c r="Q299" s="532"/>
      <c r="R299" s="270">
        <v>4369</v>
      </c>
      <c r="S299" s="12">
        <v>408983338.47000003</v>
      </c>
      <c r="T299" s="12">
        <v>0</v>
      </c>
      <c r="U299" s="271"/>
      <c r="V299" s="533">
        <f t="shared" si="33"/>
        <v>-1633</v>
      </c>
      <c r="W299" s="533">
        <f t="shared" si="34"/>
        <v>-170561541.76000005</v>
      </c>
      <c r="X299" s="257"/>
      <c r="Y299" s="261">
        <f t="shared" si="35"/>
        <v>-1633</v>
      </c>
      <c r="Z299" s="12">
        <f t="shared" si="36"/>
        <v>-170561541.76000005</v>
      </c>
      <c r="AB299" s="13">
        <f t="shared" si="32"/>
        <v>238421796.70999998</v>
      </c>
      <c r="AD299" s="16">
        <v>1773084</v>
      </c>
      <c r="AF299" s="13">
        <f t="shared" si="37"/>
        <v>236648712.70999998</v>
      </c>
      <c r="AG299" s="16">
        <v>2496096</v>
      </c>
      <c r="AM299" s="12">
        <f t="shared" si="38"/>
        <v>2496096</v>
      </c>
      <c r="AN299" s="13">
        <f t="shared" si="39"/>
        <v>234152616.70999998</v>
      </c>
    </row>
    <row r="300" spans="1:40" x14ac:dyDescent="0.25">
      <c r="A300">
        <v>295</v>
      </c>
      <c r="B300" t="s">
        <v>3079</v>
      </c>
      <c r="C300" t="s">
        <v>136</v>
      </c>
      <c r="D300" t="s">
        <v>516</v>
      </c>
      <c r="F300" s="514">
        <f>+'29'!F300+'30'!F300+'31'!F300</f>
        <v>11</v>
      </c>
      <c r="G300" s="12">
        <f>+'29'!G300+'30'!G300+'31'!G300</f>
        <v>218077</v>
      </c>
      <c r="H300" s="12">
        <f>+'29'!H300+'30'!H300+'31'!H300</f>
        <v>330</v>
      </c>
      <c r="I300" s="271"/>
      <c r="J300" s="514">
        <f>+'29'!J300+'30'!J300+'31'!J300</f>
        <v>0</v>
      </c>
      <c r="K300" s="12">
        <f>+'29'!K300+'30'!K300+'31'!K300</f>
        <v>0</v>
      </c>
      <c r="L300" s="12">
        <f>+'29'!L300+'30'!L300+'31'!L300</f>
        <v>0</v>
      </c>
      <c r="M300" s="271"/>
      <c r="N300" s="514">
        <f>+'29'!N300+'30'!N300+'31'!N300</f>
        <v>11</v>
      </c>
      <c r="O300" s="12">
        <f>+'29'!O300+'30'!O300+'31'!O300</f>
        <v>218077</v>
      </c>
      <c r="P300" s="12">
        <f>+'29'!P300+'30'!P300+'31'!P300</f>
        <v>330</v>
      </c>
      <c r="Q300" s="532"/>
      <c r="R300" s="270">
        <v>11</v>
      </c>
      <c r="S300" s="12">
        <v>217747</v>
      </c>
      <c r="T300" s="12">
        <v>330</v>
      </c>
      <c r="U300" s="271"/>
      <c r="V300" s="533">
        <f t="shared" si="33"/>
        <v>0</v>
      </c>
      <c r="W300" s="533">
        <f t="shared" si="34"/>
        <v>330</v>
      </c>
      <c r="X300" s="257"/>
      <c r="Y300" s="261">
        <f t="shared" si="35"/>
        <v>0</v>
      </c>
      <c r="Z300" s="12">
        <f t="shared" si="36"/>
        <v>330</v>
      </c>
      <c r="AB300" s="13">
        <f t="shared" si="32"/>
        <v>218077</v>
      </c>
      <c r="AF300" s="13">
        <f t="shared" si="37"/>
        <v>218077</v>
      </c>
      <c r="AM300" s="12">
        <f t="shared" si="38"/>
        <v>0</v>
      </c>
      <c r="AN300" s="13">
        <f t="shared" si="39"/>
        <v>218077</v>
      </c>
    </row>
    <row r="301" spans="1:40" x14ac:dyDescent="0.25">
      <c r="A301">
        <v>296</v>
      </c>
      <c r="B301" t="s">
        <v>330</v>
      </c>
      <c r="D301" t="s">
        <v>16</v>
      </c>
      <c r="F301" s="514">
        <f>+'29'!F301+'30'!F301+'31'!F301</f>
        <v>0</v>
      </c>
      <c r="G301" s="12">
        <f>+'29'!G301+'30'!G301+'31'!G301</f>
        <v>0</v>
      </c>
      <c r="H301" s="12">
        <f>+'29'!H301+'30'!H301+'31'!H301</f>
        <v>0</v>
      </c>
      <c r="I301" s="271"/>
      <c r="J301" s="514">
        <f>+'29'!J301+'30'!J301+'31'!J301</f>
        <v>0</v>
      </c>
      <c r="K301" s="12">
        <f>+'29'!K301+'30'!K301+'31'!K301</f>
        <v>0</v>
      </c>
      <c r="L301" s="12">
        <f>+'29'!L301+'30'!L301+'31'!L301</f>
        <v>0</v>
      </c>
      <c r="M301" s="271"/>
      <c r="N301" s="514">
        <f>+'29'!N301+'30'!N301+'31'!N301</f>
        <v>0</v>
      </c>
      <c r="O301" s="12">
        <f>+'29'!O301+'30'!O301+'31'!O301</f>
        <v>0</v>
      </c>
      <c r="P301" s="12">
        <f>+'29'!P301+'30'!P301+'31'!P301</f>
        <v>0</v>
      </c>
      <c r="Q301" s="532"/>
      <c r="R301" s="270">
        <v>0</v>
      </c>
      <c r="S301" s="12">
        <v>0</v>
      </c>
      <c r="T301" s="12">
        <v>0</v>
      </c>
      <c r="U301" s="271"/>
      <c r="V301" s="533">
        <f t="shared" si="33"/>
        <v>0</v>
      </c>
      <c r="W301" s="533">
        <f t="shared" si="34"/>
        <v>0</v>
      </c>
      <c r="X301" s="257"/>
      <c r="Y301" s="261">
        <f t="shared" si="35"/>
        <v>0</v>
      </c>
      <c r="Z301" s="12">
        <f t="shared" si="36"/>
        <v>0</v>
      </c>
      <c r="AB301" s="13">
        <f t="shared" si="32"/>
        <v>0</v>
      </c>
      <c r="AF301" s="13">
        <f t="shared" si="37"/>
        <v>0</v>
      </c>
      <c r="AM301" s="12">
        <f t="shared" si="38"/>
        <v>0</v>
      </c>
      <c r="AN301" s="13">
        <f t="shared" si="39"/>
        <v>0</v>
      </c>
    </row>
    <row r="302" spans="1:40" x14ac:dyDescent="0.25">
      <c r="A302">
        <v>297</v>
      </c>
      <c r="B302" t="s">
        <v>331</v>
      </c>
      <c r="C302" t="s">
        <v>242</v>
      </c>
      <c r="D302" t="s">
        <v>332</v>
      </c>
      <c r="F302" s="514">
        <f>+'29'!F302+'30'!F302+'31'!F302</f>
        <v>5</v>
      </c>
      <c r="G302" s="12">
        <f>+'29'!G302+'30'!G302+'31'!G302</f>
        <v>1354.53</v>
      </c>
      <c r="H302" s="12">
        <f>+'29'!H302+'30'!H302+'31'!H302</f>
        <v>50</v>
      </c>
      <c r="I302" s="271"/>
      <c r="J302" s="514">
        <f>+'29'!J302+'30'!J302+'31'!J302</f>
        <v>0</v>
      </c>
      <c r="K302" s="12">
        <f>+'29'!K302+'30'!K302+'31'!K302</f>
        <v>0</v>
      </c>
      <c r="L302" s="12">
        <f>+'29'!L302+'30'!L302+'31'!L302</f>
        <v>0</v>
      </c>
      <c r="M302" s="271"/>
      <c r="N302" s="514">
        <f>+'29'!N302+'30'!N302+'31'!N302</f>
        <v>5</v>
      </c>
      <c r="O302" s="12">
        <f>+'29'!O302+'30'!O302+'31'!O302</f>
        <v>1354.53</v>
      </c>
      <c r="P302" s="12">
        <f>+'29'!P302+'30'!P302+'31'!P302</f>
        <v>50</v>
      </c>
      <c r="Q302" s="532"/>
      <c r="R302" s="270">
        <v>5</v>
      </c>
      <c r="S302" s="12">
        <v>1354.53</v>
      </c>
      <c r="T302" s="12">
        <v>0</v>
      </c>
      <c r="U302" s="271"/>
      <c r="V302" s="533">
        <f t="shared" si="33"/>
        <v>0</v>
      </c>
      <c r="W302" s="533">
        <f t="shared" si="34"/>
        <v>0</v>
      </c>
      <c r="X302" s="257"/>
      <c r="Y302" s="261">
        <f t="shared" si="35"/>
        <v>0</v>
      </c>
      <c r="Z302" s="12">
        <f t="shared" si="36"/>
        <v>0</v>
      </c>
      <c r="AB302" s="13">
        <f t="shared" si="32"/>
        <v>1354.53</v>
      </c>
      <c r="AF302" s="13">
        <f t="shared" si="37"/>
        <v>1354.53</v>
      </c>
      <c r="AM302" s="12">
        <f t="shared" si="38"/>
        <v>0</v>
      </c>
      <c r="AN302" s="13">
        <f t="shared" si="39"/>
        <v>1354.53</v>
      </c>
    </row>
    <row r="303" spans="1:40" x14ac:dyDescent="0.25">
      <c r="A303">
        <v>298</v>
      </c>
      <c r="B303" t="s">
        <v>328</v>
      </c>
      <c r="C303" t="s">
        <v>329</v>
      </c>
      <c r="D303" t="s">
        <v>16</v>
      </c>
      <c r="F303" s="514">
        <f>+'29'!F303+'30'!F303+'31'!F303</f>
        <v>0</v>
      </c>
      <c r="G303" s="12">
        <f>+'29'!G303+'30'!G303+'31'!G303</f>
        <v>0</v>
      </c>
      <c r="H303" s="12">
        <f>+'29'!H303+'30'!H303+'31'!H303</f>
        <v>0</v>
      </c>
      <c r="I303" s="271"/>
      <c r="J303" s="514">
        <f>+'29'!J303+'30'!J303+'31'!J303</f>
        <v>0</v>
      </c>
      <c r="K303" s="12">
        <f>+'29'!K303+'30'!K303+'31'!K303</f>
        <v>0</v>
      </c>
      <c r="L303" s="12">
        <f>+'29'!L303+'30'!L303+'31'!L303</f>
        <v>0</v>
      </c>
      <c r="M303" s="271"/>
      <c r="N303" s="514">
        <f>+'29'!N303+'30'!N303+'31'!N303</f>
        <v>0</v>
      </c>
      <c r="O303" s="12">
        <f>+'29'!O303+'30'!O303+'31'!O303</f>
        <v>0</v>
      </c>
      <c r="P303" s="12">
        <f>+'29'!P303+'30'!P303+'31'!P303</f>
        <v>0</v>
      </c>
      <c r="Q303" s="532"/>
      <c r="R303" s="270">
        <v>0</v>
      </c>
      <c r="S303" s="12">
        <v>0</v>
      </c>
      <c r="T303" s="12">
        <v>0</v>
      </c>
      <c r="U303" s="271"/>
      <c r="V303" s="533">
        <f t="shared" si="33"/>
        <v>0</v>
      </c>
      <c r="W303" s="533">
        <f t="shared" si="34"/>
        <v>0</v>
      </c>
      <c r="X303" s="257"/>
      <c r="Y303" s="261">
        <f t="shared" si="35"/>
        <v>0</v>
      </c>
      <c r="Z303" s="12">
        <f t="shared" si="36"/>
        <v>0</v>
      </c>
      <c r="AB303" s="13">
        <f t="shared" si="32"/>
        <v>0</v>
      </c>
      <c r="AF303" s="13">
        <f t="shared" si="37"/>
        <v>0</v>
      </c>
      <c r="AM303" s="12">
        <f t="shared" si="38"/>
        <v>0</v>
      </c>
      <c r="AN303" s="13">
        <f t="shared" si="39"/>
        <v>0</v>
      </c>
    </row>
    <row r="304" spans="1:40" x14ac:dyDescent="0.25">
      <c r="A304">
        <v>299</v>
      </c>
      <c r="B304" t="s">
        <v>333</v>
      </c>
      <c r="F304" s="514">
        <f>+'29'!F304+'30'!F304+'31'!F304</f>
        <v>5</v>
      </c>
      <c r="G304" s="12">
        <f>+'29'!G304+'30'!G304+'31'!G304</f>
        <v>5596</v>
      </c>
      <c r="H304" s="12">
        <f>+'29'!H304+'30'!H304+'31'!H304</f>
        <v>75</v>
      </c>
      <c r="I304" s="271"/>
      <c r="J304" s="514">
        <f>+'29'!J304+'30'!J304+'31'!J304</f>
        <v>0</v>
      </c>
      <c r="K304" s="12">
        <f>+'29'!K304+'30'!K304+'31'!K304</f>
        <v>0</v>
      </c>
      <c r="L304" s="12">
        <f>+'29'!L304+'30'!L304+'31'!L304</f>
        <v>0</v>
      </c>
      <c r="M304" s="271"/>
      <c r="N304" s="514">
        <f>+'29'!N304+'30'!N304+'31'!N304</f>
        <v>5</v>
      </c>
      <c r="O304" s="12">
        <f>+'29'!O304+'30'!O304+'31'!O304</f>
        <v>5596</v>
      </c>
      <c r="P304" s="12">
        <f>+'29'!P304+'30'!P304+'31'!P304</f>
        <v>75</v>
      </c>
      <c r="Q304" s="532"/>
      <c r="R304" s="270">
        <v>5</v>
      </c>
      <c r="S304" s="12">
        <v>5596</v>
      </c>
      <c r="T304" s="12">
        <v>0</v>
      </c>
      <c r="U304" s="271"/>
      <c r="V304" s="533">
        <f t="shared" si="33"/>
        <v>0</v>
      </c>
      <c r="W304" s="533">
        <f t="shared" si="34"/>
        <v>0</v>
      </c>
      <c r="X304" s="257"/>
      <c r="Y304" s="261">
        <f t="shared" si="35"/>
        <v>0</v>
      </c>
      <c r="Z304" s="12">
        <f t="shared" si="36"/>
        <v>0</v>
      </c>
      <c r="AB304" s="13">
        <f t="shared" si="32"/>
        <v>5596</v>
      </c>
      <c r="AF304" s="13">
        <f t="shared" si="37"/>
        <v>5596</v>
      </c>
      <c r="AG304" s="16"/>
      <c r="AM304" s="12">
        <f t="shared" si="38"/>
        <v>0</v>
      </c>
      <c r="AN304" s="13">
        <f t="shared" si="39"/>
        <v>5596</v>
      </c>
    </row>
    <row r="305" spans="1:40" x14ac:dyDescent="0.25">
      <c r="A305">
        <v>300</v>
      </c>
      <c r="B305" t="s">
        <v>334</v>
      </c>
      <c r="C305" t="s">
        <v>18</v>
      </c>
      <c r="D305" t="s">
        <v>16</v>
      </c>
      <c r="F305" s="514">
        <f>+'29'!F305+'30'!F305+'31'!F305</f>
        <v>78</v>
      </c>
      <c r="G305" s="12">
        <f>+'29'!G305+'30'!G305+'31'!G305</f>
        <v>837169.64999999991</v>
      </c>
      <c r="H305" s="12">
        <f>+'29'!H305+'30'!H305+'31'!H305</f>
        <v>2340</v>
      </c>
      <c r="I305" s="271"/>
      <c r="J305" s="514">
        <f>+'29'!J305+'30'!J305+'31'!J305</f>
        <v>0</v>
      </c>
      <c r="K305" s="12">
        <f>+'29'!K305+'30'!K305+'31'!K305</f>
        <v>0</v>
      </c>
      <c r="L305" s="12">
        <f>+'29'!L305+'30'!L305+'31'!L305</f>
        <v>0</v>
      </c>
      <c r="M305" s="271"/>
      <c r="N305" s="514">
        <f>+'29'!N305+'30'!N305+'31'!N305</f>
        <v>78</v>
      </c>
      <c r="O305" s="12">
        <f>+'29'!O305+'30'!O305+'31'!O305</f>
        <v>837169.64999999991</v>
      </c>
      <c r="P305" s="12">
        <f>+'29'!P305+'30'!P305+'31'!P305</f>
        <v>2340</v>
      </c>
      <c r="Q305" s="532"/>
      <c r="R305" s="270">
        <v>78</v>
      </c>
      <c r="S305" s="12">
        <v>834829.65</v>
      </c>
      <c r="T305" s="12">
        <v>2340</v>
      </c>
      <c r="U305" s="271"/>
      <c r="V305" s="533">
        <f t="shared" si="33"/>
        <v>0</v>
      </c>
      <c r="W305" s="533">
        <f t="shared" si="34"/>
        <v>2339.9999999998836</v>
      </c>
      <c r="X305" s="257"/>
      <c r="Y305" s="261">
        <f t="shared" si="35"/>
        <v>0</v>
      </c>
      <c r="Z305" s="12">
        <f t="shared" si="36"/>
        <v>2339.9999999998836</v>
      </c>
      <c r="AB305" s="13">
        <f t="shared" si="32"/>
        <v>837169.64999999991</v>
      </c>
      <c r="AF305" s="13">
        <f t="shared" si="37"/>
        <v>837169.64999999991</v>
      </c>
      <c r="AM305" s="12">
        <f t="shared" si="38"/>
        <v>0</v>
      </c>
      <c r="AN305" s="13">
        <f t="shared" si="39"/>
        <v>837169.64999999991</v>
      </c>
    </row>
    <row r="306" spans="1:40" x14ac:dyDescent="0.25">
      <c r="A306">
        <v>301</v>
      </c>
      <c r="B306" t="s">
        <v>2230</v>
      </c>
      <c r="C306" t="s">
        <v>18</v>
      </c>
      <c r="D306" t="s">
        <v>20</v>
      </c>
      <c r="F306" s="514">
        <f>+'29'!F306+'30'!F306+'31'!F306</f>
        <v>0</v>
      </c>
      <c r="G306" s="12">
        <f>+'29'!G306+'30'!G306+'31'!G306</f>
        <v>0</v>
      </c>
      <c r="H306" s="12">
        <f>+'29'!H306+'30'!H306+'31'!H306</f>
        <v>0</v>
      </c>
      <c r="I306" s="271"/>
      <c r="J306" s="514">
        <f>+'29'!J306+'30'!J306+'31'!J306</f>
        <v>0</v>
      </c>
      <c r="K306" s="12">
        <f>+'29'!K306+'30'!K306+'31'!K306</f>
        <v>0</v>
      </c>
      <c r="L306" s="12">
        <f>+'29'!L306+'30'!L306+'31'!L306</f>
        <v>0</v>
      </c>
      <c r="M306" s="271"/>
      <c r="N306" s="514">
        <f>+'29'!N306+'30'!N306+'31'!N306</f>
        <v>0</v>
      </c>
      <c r="O306" s="12">
        <f>+'29'!O306+'30'!O306+'31'!O306</f>
        <v>0</v>
      </c>
      <c r="P306" s="12">
        <f>+'29'!P306+'30'!P306+'31'!P306</f>
        <v>0</v>
      </c>
      <c r="Q306" s="532"/>
      <c r="R306" s="270">
        <v>0</v>
      </c>
      <c r="S306" s="12">
        <v>0</v>
      </c>
      <c r="T306" s="12">
        <v>0</v>
      </c>
      <c r="U306" s="271"/>
      <c r="V306" s="533">
        <f t="shared" si="33"/>
        <v>0</v>
      </c>
      <c r="W306" s="533">
        <f t="shared" si="34"/>
        <v>0</v>
      </c>
      <c r="X306" s="257"/>
      <c r="Y306" s="261">
        <f t="shared" si="35"/>
        <v>0</v>
      </c>
      <c r="Z306" s="12">
        <f t="shared" si="36"/>
        <v>0</v>
      </c>
      <c r="AB306" s="13">
        <f t="shared" si="32"/>
        <v>0</v>
      </c>
      <c r="AF306" s="13">
        <f t="shared" si="37"/>
        <v>0</v>
      </c>
      <c r="AM306" s="12">
        <f t="shared" si="38"/>
        <v>0</v>
      </c>
      <c r="AN306" s="13">
        <f t="shared" si="39"/>
        <v>0</v>
      </c>
    </row>
    <row r="307" spans="1:40" x14ac:dyDescent="0.25">
      <c r="A307">
        <v>302</v>
      </c>
      <c r="B307" t="s">
        <v>335</v>
      </c>
      <c r="C307" t="s">
        <v>18</v>
      </c>
      <c r="D307" t="s">
        <v>20</v>
      </c>
      <c r="F307" s="514">
        <f>+'29'!F307+'30'!F307+'31'!F307</f>
        <v>0</v>
      </c>
      <c r="G307" s="12">
        <f>+'29'!G307+'30'!G307+'31'!G307</f>
        <v>0</v>
      </c>
      <c r="H307" s="12">
        <f>+'29'!H307+'30'!H307+'31'!H307</f>
        <v>0</v>
      </c>
      <c r="I307" s="271"/>
      <c r="J307" s="514">
        <f>+'29'!J307+'30'!J307+'31'!J307</f>
        <v>0</v>
      </c>
      <c r="K307" s="12">
        <f>+'29'!K307+'30'!K307+'31'!K307</f>
        <v>0</v>
      </c>
      <c r="L307" s="12">
        <f>+'29'!L307+'30'!L307+'31'!L307</f>
        <v>0</v>
      </c>
      <c r="M307" s="271"/>
      <c r="N307" s="514">
        <f>+'29'!N307+'30'!N307+'31'!N307</f>
        <v>0</v>
      </c>
      <c r="O307" s="12">
        <f>+'29'!O307+'30'!O307+'31'!O307</f>
        <v>0</v>
      </c>
      <c r="P307" s="12">
        <f>+'29'!P307+'30'!P307+'31'!P307</f>
        <v>0</v>
      </c>
      <c r="Q307" s="532"/>
      <c r="R307" s="270">
        <v>0</v>
      </c>
      <c r="S307" s="12">
        <v>0</v>
      </c>
      <c r="T307" s="12">
        <v>0</v>
      </c>
      <c r="U307" s="271"/>
      <c r="V307" s="533">
        <f t="shared" si="33"/>
        <v>0</v>
      </c>
      <c r="W307" s="533">
        <f t="shared" si="34"/>
        <v>0</v>
      </c>
      <c r="X307" s="257"/>
      <c r="Y307" s="261">
        <f t="shared" si="35"/>
        <v>0</v>
      </c>
      <c r="Z307" s="12">
        <f t="shared" si="36"/>
        <v>0</v>
      </c>
      <c r="AB307" s="13">
        <f t="shared" si="32"/>
        <v>0</v>
      </c>
      <c r="AF307" s="13">
        <f t="shared" si="37"/>
        <v>0</v>
      </c>
      <c r="AM307" s="12">
        <f t="shared" si="38"/>
        <v>0</v>
      </c>
      <c r="AN307" s="13">
        <f t="shared" si="39"/>
        <v>0</v>
      </c>
    </row>
    <row r="308" spans="1:40" x14ac:dyDescent="0.25">
      <c r="A308">
        <v>303</v>
      </c>
      <c r="B308" t="s">
        <v>2231</v>
      </c>
      <c r="C308" t="s">
        <v>18</v>
      </c>
      <c r="D308" t="s">
        <v>20</v>
      </c>
      <c r="F308" s="514">
        <f>+'29'!F308+'30'!F308+'31'!F308</f>
        <v>0</v>
      </c>
      <c r="G308" s="12">
        <f>+'29'!G308+'30'!G308+'31'!G308</f>
        <v>0</v>
      </c>
      <c r="H308" s="12">
        <f>+'29'!H308+'30'!H308+'31'!H308</f>
        <v>0</v>
      </c>
      <c r="I308" s="271"/>
      <c r="J308" s="514">
        <f>+'29'!J308+'30'!J308+'31'!J308</f>
        <v>0</v>
      </c>
      <c r="K308" s="12">
        <f>+'29'!K308+'30'!K308+'31'!K308</f>
        <v>0</v>
      </c>
      <c r="L308" s="12">
        <f>+'29'!L308+'30'!L308+'31'!L308</f>
        <v>0</v>
      </c>
      <c r="M308" s="271"/>
      <c r="N308" s="514">
        <f>+'29'!N308+'30'!N308+'31'!N308</f>
        <v>0</v>
      </c>
      <c r="O308" s="12">
        <f>+'29'!O308+'30'!O308+'31'!O308</f>
        <v>0</v>
      </c>
      <c r="P308" s="12">
        <f>+'29'!P308+'30'!P308+'31'!P308</f>
        <v>0</v>
      </c>
      <c r="Q308" s="532"/>
      <c r="R308" s="270">
        <v>0</v>
      </c>
      <c r="S308" s="12">
        <v>0</v>
      </c>
      <c r="T308" s="12">
        <v>0</v>
      </c>
      <c r="U308" s="271"/>
      <c r="V308" s="533">
        <f t="shared" si="33"/>
        <v>0</v>
      </c>
      <c r="W308" s="533">
        <f t="shared" si="34"/>
        <v>0</v>
      </c>
      <c r="X308" s="257"/>
      <c r="Y308" s="261">
        <f t="shared" si="35"/>
        <v>0</v>
      </c>
      <c r="Z308" s="12">
        <f t="shared" si="36"/>
        <v>0</v>
      </c>
      <c r="AB308" s="13">
        <f t="shared" si="32"/>
        <v>0</v>
      </c>
      <c r="AF308" s="13">
        <f t="shared" si="37"/>
        <v>0</v>
      </c>
      <c r="AG308" s="16"/>
      <c r="AM308" s="12">
        <f t="shared" si="38"/>
        <v>0</v>
      </c>
      <c r="AN308" s="13">
        <f t="shared" si="39"/>
        <v>0</v>
      </c>
    </row>
    <row r="309" spans="1:40" x14ac:dyDescent="0.25">
      <c r="A309">
        <v>304</v>
      </c>
      <c r="B309" t="s">
        <v>2232</v>
      </c>
      <c r="C309" t="s">
        <v>18</v>
      </c>
      <c r="D309" t="s">
        <v>20</v>
      </c>
      <c r="F309" s="514">
        <f>+'29'!F309+'30'!F309+'31'!F309</f>
        <v>0</v>
      </c>
      <c r="G309" s="12">
        <f>+'29'!G309+'30'!G309+'31'!G309</f>
        <v>0</v>
      </c>
      <c r="H309" s="12">
        <f>+'29'!H309+'30'!H309+'31'!H309</f>
        <v>0</v>
      </c>
      <c r="I309" s="271"/>
      <c r="J309" s="514">
        <f>+'29'!J309+'30'!J309+'31'!J309</f>
        <v>0</v>
      </c>
      <c r="K309" s="12">
        <f>+'29'!K309+'30'!K309+'31'!K309</f>
        <v>0</v>
      </c>
      <c r="L309" s="12">
        <f>+'29'!L309+'30'!L309+'31'!L309</f>
        <v>0</v>
      </c>
      <c r="M309" s="271"/>
      <c r="N309" s="514">
        <f>+'29'!N309+'30'!N309+'31'!N309</f>
        <v>0</v>
      </c>
      <c r="O309" s="12">
        <f>+'29'!O309+'30'!O309+'31'!O309</f>
        <v>0</v>
      </c>
      <c r="P309" s="12">
        <f>+'29'!P309+'30'!P309+'31'!P309</f>
        <v>0</v>
      </c>
      <c r="Q309" s="532"/>
      <c r="R309" s="270">
        <v>0</v>
      </c>
      <c r="S309" s="12">
        <v>0</v>
      </c>
      <c r="T309" s="12">
        <v>0</v>
      </c>
      <c r="U309" s="271"/>
      <c r="V309" s="533">
        <f t="shared" si="33"/>
        <v>0</v>
      </c>
      <c r="W309" s="533">
        <f t="shared" si="34"/>
        <v>0</v>
      </c>
      <c r="X309" s="257"/>
      <c r="Y309" s="261">
        <f t="shared" si="35"/>
        <v>0</v>
      </c>
      <c r="Z309" s="12">
        <f t="shared" si="36"/>
        <v>0</v>
      </c>
      <c r="AB309" s="13">
        <f t="shared" si="32"/>
        <v>0</v>
      </c>
      <c r="AF309" s="13">
        <f t="shared" si="37"/>
        <v>0</v>
      </c>
      <c r="AM309" s="12">
        <f t="shared" si="38"/>
        <v>0</v>
      </c>
      <c r="AN309" s="13">
        <f t="shared" si="39"/>
        <v>0</v>
      </c>
    </row>
    <row r="310" spans="1:40" x14ac:dyDescent="0.25">
      <c r="A310">
        <v>305</v>
      </c>
      <c r="B310" t="s">
        <v>336</v>
      </c>
      <c r="C310" t="s">
        <v>18</v>
      </c>
      <c r="D310" t="s">
        <v>16</v>
      </c>
      <c r="F310" s="514">
        <f>+'29'!F310+'30'!F310+'31'!F310</f>
        <v>2</v>
      </c>
      <c r="G310" s="12">
        <f>+'29'!G310+'30'!G310+'31'!G310</f>
        <v>8350</v>
      </c>
      <c r="H310" s="12">
        <f>+'29'!H310+'30'!H310+'31'!H310</f>
        <v>50</v>
      </c>
      <c r="I310" s="271"/>
      <c r="J310" s="514">
        <f>+'29'!J310+'30'!J310+'31'!J310</f>
        <v>0</v>
      </c>
      <c r="K310" s="12">
        <f>+'29'!K310+'30'!K310+'31'!K310</f>
        <v>0</v>
      </c>
      <c r="L310" s="12">
        <f>+'29'!L310+'30'!L310+'31'!L310</f>
        <v>0</v>
      </c>
      <c r="M310" s="271"/>
      <c r="N310" s="514">
        <f>+'29'!N310+'30'!N310+'31'!N310</f>
        <v>2</v>
      </c>
      <c r="O310" s="12">
        <f>+'29'!O310+'30'!O310+'31'!O310</f>
        <v>8350</v>
      </c>
      <c r="P310" s="12">
        <f>+'29'!P310+'30'!P310+'31'!P310</f>
        <v>50</v>
      </c>
      <c r="Q310" s="532"/>
      <c r="R310" s="270">
        <v>2</v>
      </c>
      <c r="S310" s="12">
        <v>8350</v>
      </c>
      <c r="T310" s="12">
        <v>0</v>
      </c>
      <c r="U310" s="271"/>
      <c r="V310" s="533">
        <f t="shared" si="33"/>
        <v>0</v>
      </c>
      <c r="W310" s="533">
        <f t="shared" si="34"/>
        <v>0</v>
      </c>
      <c r="X310" s="257"/>
      <c r="Y310" s="261">
        <f t="shared" si="35"/>
        <v>0</v>
      </c>
      <c r="Z310" s="12">
        <f t="shared" si="36"/>
        <v>0</v>
      </c>
      <c r="AB310" s="13">
        <f t="shared" si="32"/>
        <v>8350</v>
      </c>
      <c r="AF310" s="13">
        <f t="shared" si="37"/>
        <v>8350</v>
      </c>
      <c r="AM310" s="12">
        <f t="shared" si="38"/>
        <v>0</v>
      </c>
      <c r="AN310" s="13">
        <f t="shared" si="39"/>
        <v>8350</v>
      </c>
    </row>
    <row r="311" spans="1:40" x14ac:dyDescent="0.25">
      <c r="A311">
        <v>306</v>
      </c>
      <c r="B311" t="s">
        <v>337</v>
      </c>
      <c r="C311" t="s">
        <v>39</v>
      </c>
      <c r="D311" t="s">
        <v>16</v>
      </c>
      <c r="F311" s="514">
        <f>+'29'!F311+'30'!F311+'31'!F311</f>
        <v>0</v>
      </c>
      <c r="G311" s="12">
        <f>+'29'!G311+'30'!G311+'31'!G311</f>
        <v>0</v>
      </c>
      <c r="H311" s="12">
        <f>+'29'!H311+'30'!H311+'31'!H311</f>
        <v>0</v>
      </c>
      <c r="I311" s="271"/>
      <c r="J311" s="514">
        <f>+'29'!J311+'30'!J311+'31'!J311</f>
        <v>0</v>
      </c>
      <c r="K311" s="12">
        <f>+'29'!K311+'30'!K311+'31'!K311</f>
        <v>0</v>
      </c>
      <c r="L311" s="12">
        <f>+'29'!L311+'30'!L311+'31'!L311</f>
        <v>0</v>
      </c>
      <c r="M311" s="271"/>
      <c r="N311" s="514">
        <f>+'29'!N311+'30'!N311+'31'!N311</f>
        <v>0</v>
      </c>
      <c r="O311" s="12">
        <f>+'29'!O311+'30'!O311+'31'!O311</f>
        <v>0</v>
      </c>
      <c r="P311" s="12">
        <f>+'29'!P311+'30'!P311+'31'!P311</f>
        <v>0</v>
      </c>
      <c r="Q311" s="532"/>
      <c r="R311" s="270">
        <v>0</v>
      </c>
      <c r="S311" s="12">
        <v>0</v>
      </c>
      <c r="T311" s="12">
        <v>0</v>
      </c>
      <c r="U311" s="271"/>
      <c r="V311" s="533">
        <f t="shared" si="33"/>
        <v>0</v>
      </c>
      <c r="W311" s="533">
        <f t="shared" si="34"/>
        <v>0</v>
      </c>
      <c r="X311" s="257"/>
      <c r="Y311" s="261">
        <f t="shared" si="35"/>
        <v>0</v>
      </c>
      <c r="Z311" s="12">
        <f t="shared" si="36"/>
        <v>0</v>
      </c>
      <c r="AB311" s="13">
        <f t="shared" si="32"/>
        <v>0</v>
      </c>
      <c r="AF311" s="13">
        <f t="shared" si="37"/>
        <v>0</v>
      </c>
      <c r="AM311" s="12">
        <f t="shared" si="38"/>
        <v>0</v>
      </c>
      <c r="AN311" s="13">
        <f t="shared" si="39"/>
        <v>0</v>
      </c>
    </row>
    <row r="312" spans="1:40" x14ac:dyDescent="0.25">
      <c r="A312">
        <v>307</v>
      </c>
      <c r="B312" t="s">
        <v>338</v>
      </c>
      <c r="C312" t="s">
        <v>18</v>
      </c>
      <c r="D312" t="s">
        <v>16</v>
      </c>
      <c r="F312" s="514">
        <f>+'29'!F312+'30'!F312+'31'!F312</f>
        <v>8</v>
      </c>
      <c r="G312" s="12">
        <f>+'29'!G312+'30'!G312+'31'!G312</f>
        <v>7795.0300000000007</v>
      </c>
      <c r="H312" s="12">
        <f>+'29'!H312+'30'!H312+'31'!H312</f>
        <v>56</v>
      </c>
      <c r="I312" s="271"/>
      <c r="J312" s="514">
        <f>+'29'!J312+'30'!J312+'31'!J312</f>
        <v>0</v>
      </c>
      <c r="K312" s="12">
        <f>+'29'!K312+'30'!K312+'31'!K312</f>
        <v>0</v>
      </c>
      <c r="L312" s="12">
        <f>+'29'!L312+'30'!L312+'31'!L312</f>
        <v>0</v>
      </c>
      <c r="M312" s="271"/>
      <c r="N312" s="514">
        <f>+'29'!N312+'30'!N312+'31'!N312</f>
        <v>8</v>
      </c>
      <c r="O312" s="12">
        <f>+'29'!O312+'30'!O312+'31'!O312</f>
        <v>7795.0300000000007</v>
      </c>
      <c r="P312" s="12">
        <f>+'29'!P312+'30'!P312+'31'!P312</f>
        <v>56</v>
      </c>
      <c r="Q312" s="532"/>
      <c r="R312" s="270">
        <v>8</v>
      </c>
      <c r="S312" s="12">
        <v>7795.03</v>
      </c>
      <c r="T312" s="12">
        <v>0</v>
      </c>
      <c r="U312" s="271"/>
      <c r="V312" s="533">
        <f t="shared" si="33"/>
        <v>0</v>
      </c>
      <c r="W312" s="533">
        <f t="shared" si="34"/>
        <v>0</v>
      </c>
      <c r="X312" s="257"/>
      <c r="Y312" s="261">
        <f t="shared" si="35"/>
        <v>0</v>
      </c>
      <c r="Z312" s="12">
        <f t="shared" si="36"/>
        <v>0</v>
      </c>
      <c r="AB312" s="13">
        <f t="shared" si="32"/>
        <v>7795.0300000000007</v>
      </c>
      <c r="AF312" s="13">
        <f t="shared" si="37"/>
        <v>7795.0300000000007</v>
      </c>
      <c r="AG312" s="16">
        <v>2667.5</v>
      </c>
      <c r="AM312" s="12">
        <f t="shared" si="38"/>
        <v>2667.5</v>
      </c>
      <c r="AN312" s="13">
        <f t="shared" si="39"/>
        <v>5127.5300000000007</v>
      </c>
    </row>
    <row r="313" spans="1:40" x14ac:dyDescent="0.25">
      <c r="A313">
        <v>308</v>
      </c>
      <c r="B313" t="s">
        <v>339</v>
      </c>
      <c r="C313" t="s">
        <v>39</v>
      </c>
      <c r="D313" t="s">
        <v>16</v>
      </c>
      <c r="F313" s="514">
        <f>+'29'!F313+'30'!F313+'31'!F313</f>
        <v>11</v>
      </c>
      <c r="G313" s="12">
        <f>+'29'!G313+'30'!G313+'31'!G313</f>
        <v>2202719.39</v>
      </c>
      <c r="H313" s="12">
        <f>+'29'!H313+'30'!H313+'31'!H313</f>
        <v>6900</v>
      </c>
      <c r="I313" s="271"/>
      <c r="J313" s="514">
        <f>+'29'!J313+'30'!J313+'31'!J313</f>
        <v>0</v>
      </c>
      <c r="K313" s="12">
        <f>+'29'!K313+'30'!K313+'31'!K313</f>
        <v>0</v>
      </c>
      <c r="L313" s="12">
        <f>+'29'!L313+'30'!L313+'31'!L313</f>
        <v>0</v>
      </c>
      <c r="M313" s="271"/>
      <c r="N313" s="514">
        <f>+'29'!N313+'30'!N313+'31'!N313</f>
        <v>11</v>
      </c>
      <c r="O313" s="12">
        <f>+'29'!O313+'30'!O313+'31'!O313</f>
        <v>2202719.39</v>
      </c>
      <c r="P313" s="12">
        <f>+'29'!P313+'30'!P313+'31'!P313</f>
        <v>6900</v>
      </c>
      <c r="Q313" s="532"/>
      <c r="R313" s="270">
        <v>11</v>
      </c>
      <c r="S313" s="12">
        <v>2202719.39</v>
      </c>
      <c r="T313" s="12">
        <v>0</v>
      </c>
      <c r="U313" s="271"/>
      <c r="V313" s="533">
        <f t="shared" si="33"/>
        <v>0</v>
      </c>
      <c r="W313" s="533">
        <f t="shared" si="34"/>
        <v>0</v>
      </c>
      <c r="X313" s="257"/>
      <c r="Y313" s="261">
        <f t="shared" si="35"/>
        <v>0</v>
      </c>
      <c r="Z313" s="12">
        <f t="shared" si="36"/>
        <v>0</v>
      </c>
      <c r="AB313" s="13">
        <f t="shared" si="32"/>
        <v>2202719.39</v>
      </c>
      <c r="AF313" s="13">
        <f t="shared" si="37"/>
        <v>2202719.39</v>
      </c>
      <c r="AJ313" s="13"/>
      <c r="AM313" s="12">
        <f t="shared" si="38"/>
        <v>0</v>
      </c>
      <c r="AN313" s="13">
        <f t="shared" si="39"/>
        <v>2202719.39</v>
      </c>
    </row>
    <row r="314" spans="1:40" x14ac:dyDescent="0.25">
      <c r="A314">
        <v>309</v>
      </c>
      <c r="B314" t="s">
        <v>340</v>
      </c>
      <c r="C314" t="s">
        <v>15</v>
      </c>
      <c r="D314" t="s">
        <v>20</v>
      </c>
      <c r="F314" s="514">
        <f>+'29'!F314+'30'!F314+'31'!F314</f>
        <v>0</v>
      </c>
      <c r="G314" s="12">
        <f>+'29'!G314+'30'!G314+'31'!G314</f>
        <v>0</v>
      </c>
      <c r="H314" s="12">
        <f>+'29'!H314+'30'!H314+'31'!H314</f>
        <v>0</v>
      </c>
      <c r="I314" s="271"/>
      <c r="J314" s="514">
        <f>+'29'!J314+'30'!J314+'31'!J314</f>
        <v>0</v>
      </c>
      <c r="K314" s="12">
        <f>+'29'!K314+'30'!K314+'31'!K314</f>
        <v>0</v>
      </c>
      <c r="L314" s="12">
        <f>+'29'!L314+'30'!L314+'31'!L314</f>
        <v>0</v>
      </c>
      <c r="M314" s="271"/>
      <c r="N314" s="514">
        <f>+'29'!N314+'30'!N314+'31'!N314</f>
        <v>0</v>
      </c>
      <c r="O314" s="12">
        <f>+'29'!O314+'30'!O314+'31'!O314</f>
        <v>0</v>
      </c>
      <c r="P314" s="12">
        <f>+'29'!P314+'30'!P314+'31'!P314</f>
        <v>0</v>
      </c>
      <c r="Q314" s="532"/>
      <c r="R314" s="270">
        <v>0</v>
      </c>
      <c r="S314" s="12">
        <v>0</v>
      </c>
      <c r="T314" s="12">
        <v>0</v>
      </c>
      <c r="U314" s="271"/>
      <c r="V314" s="533">
        <f t="shared" si="33"/>
        <v>0</v>
      </c>
      <c r="W314" s="533">
        <f t="shared" si="34"/>
        <v>0</v>
      </c>
      <c r="X314" s="257"/>
      <c r="Y314" s="261">
        <f t="shared" si="35"/>
        <v>0</v>
      </c>
      <c r="Z314" s="12">
        <f t="shared" si="36"/>
        <v>0</v>
      </c>
      <c r="AB314" s="13">
        <f t="shared" si="32"/>
        <v>0</v>
      </c>
      <c r="AF314" s="13">
        <f t="shared" si="37"/>
        <v>0</v>
      </c>
      <c r="AH314" s="33">
        <v>500</v>
      </c>
      <c r="AM314" s="12">
        <f t="shared" si="38"/>
        <v>500</v>
      </c>
      <c r="AN314" s="13">
        <f t="shared" si="39"/>
        <v>-500</v>
      </c>
    </row>
    <row r="315" spans="1:40" x14ac:dyDescent="0.25">
      <c r="A315">
        <v>310</v>
      </c>
      <c r="B315" t="s">
        <v>3190</v>
      </c>
      <c r="C315" t="s">
        <v>39</v>
      </c>
      <c r="D315" t="s">
        <v>16</v>
      </c>
      <c r="F315" s="514">
        <f>+'29'!F315+'30'!F315+'31'!F315</f>
        <v>0</v>
      </c>
      <c r="G315" s="12">
        <f>+'29'!G315+'30'!G315+'31'!G315</f>
        <v>0</v>
      </c>
      <c r="H315" s="12">
        <f>+'29'!H315+'30'!H315+'31'!H315</f>
        <v>0</v>
      </c>
      <c r="I315" s="271"/>
      <c r="J315" s="514">
        <f>+'29'!J315+'30'!J315+'31'!J315</f>
        <v>0</v>
      </c>
      <c r="K315" s="12">
        <f>+'29'!K315+'30'!K315+'31'!K315</f>
        <v>0</v>
      </c>
      <c r="L315" s="12">
        <f>+'29'!L315+'30'!L315+'31'!L315</f>
        <v>0</v>
      </c>
      <c r="M315" s="271"/>
      <c r="N315" s="514">
        <f>+'29'!N315+'30'!N315+'31'!N315</f>
        <v>0</v>
      </c>
      <c r="O315" s="12">
        <f>+'29'!O315+'30'!O315+'31'!O315</f>
        <v>0</v>
      </c>
      <c r="P315" s="12">
        <f>+'29'!P315+'30'!P315+'31'!P315</f>
        <v>0</v>
      </c>
      <c r="Q315" s="532"/>
      <c r="R315" s="270">
        <v>0</v>
      </c>
      <c r="S315" s="12">
        <v>0</v>
      </c>
      <c r="T315" s="12">
        <v>0</v>
      </c>
      <c r="U315" s="271"/>
      <c r="V315" s="533">
        <f t="shared" si="33"/>
        <v>0</v>
      </c>
      <c r="W315" s="533">
        <f t="shared" si="34"/>
        <v>0</v>
      </c>
      <c r="X315" s="257"/>
      <c r="Y315" s="261">
        <f t="shared" si="35"/>
        <v>0</v>
      </c>
      <c r="Z315" s="12">
        <f t="shared" si="36"/>
        <v>0</v>
      </c>
      <c r="AB315" s="13">
        <f t="shared" si="32"/>
        <v>0</v>
      </c>
      <c r="AF315" s="13">
        <f t="shared" si="37"/>
        <v>0</v>
      </c>
      <c r="AM315" s="12">
        <f t="shared" si="38"/>
        <v>0</v>
      </c>
      <c r="AN315" s="13">
        <f t="shared" si="39"/>
        <v>0</v>
      </c>
    </row>
    <row r="316" spans="1:40" x14ac:dyDescent="0.25">
      <c r="A316">
        <v>311</v>
      </c>
      <c r="B316" t="s">
        <v>341</v>
      </c>
      <c r="D316" t="s">
        <v>16</v>
      </c>
      <c r="F316" s="514">
        <f>+'29'!F316+'30'!F316+'31'!F316</f>
        <v>5</v>
      </c>
      <c r="G316" s="12">
        <f>+'29'!G316+'30'!G316+'31'!G316</f>
        <v>83791.39</v>
      </c>
      <c r="H316" s="12">
        <f>+'29'!H316+'30'!H316+'31'!H316</f>
        <v>140</v>
      </c>
      <c r="I316" s="271"/>
      <c r="J316" s="514">
        <f>+'29'!J316+'30'!J316+'31'!J316</f>
        <v>0</v>
      </c>
      <c r="K316" s="12">
        <f>+'29'!K316+'30'!K316+'31'!K316</f>
        <v>0</v>
      </c>
      <c r="L316" s="12">
        <f>+'29'!L316+'30'!L316+'31'!L316</f>
        <v>0</v>
      </c>
      <c r="M316" s="271"/>
      <c r="N316" s="514">
        <f>+'29'!N316+'30'!N316+'31'!N316</f>
        <v>5</v>
      </c>
      <c r="O316" s="12">
        <f>+'29'!O316+'30'!O316+'31'!O316</f>
        <v>83791.39</v>
      </c>
      <c r="P316" s="12">
        <f>+'29'!P316+'30'!P316+'31'!P316</f>
        <v>140</v>
      </c>
      <c r="Q316" s="532"/>
      <c r="R316" s="270">
        <v>5</v>
      </c>
      <c r="S316" s="12">
        <v>83791.39</v>
      </c>
      <c r="T316" s="12">
        <v>0</v>
      </c>
      <c r="U316" s="271"/>
      <c r="V316" s="533">
        <f t="shared" si="33"/>
        <v>0</v>
      </c>
      <c r="W316" s="533">
        <f t="shared" si="34"/>
        <v>0</v>
      </c>
      <c r="X316" s="257"/>
      <c r="Y316" s="261">
        <f t="shared" si="35"/>
        <v>0</v>
      </c>
      <c r="Z316" s="12">
        <f t="shared" si="36"/>
        <v>0</v>
      </c>
      <c r="AB316" s="13">
        <f t="shared" si="32"/>
        <v>83791.39</v>
      </c>
      <c r="AF316" s="13">
        <f t="shared" si="37"/>
        <v>83791.39</v>
      </c>
      <c r="AG316" s="16"/>
      <c r="AM316" s="12">
        <f t="shared" si="38"/>
        <v>0</v>
      </c>
      <c r="AN316" s="13">
        <f t="shared" si="39"/>
        <v>83791.39</v>
      </c>
    </row>
    <row r="317" spans="1:40" x14ac:dyDescent="0.25">
      <c r="A317">
        <v>312</v>
      </c>
      <c r="B317" t="s">
        <v>342</v>
      </c>
      <c r="D317" t="s">
        <v>16</v>
      </c>
      <c r="F317" s="514">
        <f>+'29'!F317+'30'!F317+'31'!F317</f>
        <v>2</v>
      </c>
      <c r="G317" s="12">
        <f>+'29'!G317+'30'!G317+'31'!G317</f>
        <v>81468.740000000005</v>
      </c>
      <c r="H317" s="12">
        <f>+'29'!H317+'30'!H317+'31'!H317</f>
        <v>100</v>
      </c>
      <c r="I317" s="271"/>
      <c r="J317" s="514">
        <f>+'29'!J317+'30'!J317+'31'!J317</f>
        <v>0</v>
      </c>
      <c r="K317" s="12">
        <f>+'29'!K317+'30'!K317+'31'!K317</f>
        <v>0</v>
      </c>
      <c r="L317" s="12">
        <f>+'29'!L317+'30'!L317+'31'!L317</f>
        <v>0</v>
      </c>
      <c r="M317" s="271"/>
      <c r="N317" s="514">
        <f>+'29'!N317+'30'!N317+'31'!N317</f>
        <v>2</v>
      </c>
      <c r="O317" s="12">
        <f>+'29'!O317+'30'!O317+'31'!O317</f>
        <v>81468.740000000005</v>
      </c>
      <c r="P317" s="12">
        <f>+'29'!P317+'30'!P317+'31'!P317</f>
        <v>100</v>
      </c>
      <c r="Q317" s="532"/>
      <c r="R317" s="270">
        <v>2</v>
      </c>
      <c r="S317" s="12">
        <v>81468.740000000005</v>
      </c>
      <c r="T317" s="12">
        <v>0</v>
      </c>
      <c r="U317" s="271"/>
      <c r="V317" s="533">
        <f t="shared" si="33"/>
        <v>0</v>
      </c>
      <c r="W317" s="533">
        <f t="shared" si="34"/>
        <v>0</v>
      </c>
      <c r="X317" s="257"/>
      <c r="Y317" s="261">
        <f t="shared" si="35"/>
        <v>0</v>
      </c>
      <c r="Z317" s="12">
        <f t="shared" si="36"/>
        <v>0</v>
      </c>
      <c r="AB317" s="13">
        <f t="shared" si="32"/>
        <v>81468.740000000005</v>
      </c>
      <c r="AF317" s="13">
        <f t="shared" si="37"/>
        <v>81468.740000000005</v>
      </c>
      <c r="AM317" s="12">
        <f t="shared" si="38"/>
        <v>0</v>
      </c>
      <c r="AN317" s="13">
        <f t="shared" si="39"/>
        <v>81468.740000000005</v>
      </c>
    </row>
    <row r="318" spans="1:40" x14ac:dyDescent="0.25">
      <c r="A318">
        <v>313</v>
      </c>
      <c r="B318" t="s">
        <v>343</v>
      </c>
      <c r="C318" t="s">
        <v>148</v>
      </c>
      <c r="D318" t="s">
        <v>16</v>
      </c>
      <c r="F318" s="514">
        <f>+'29'!F318+'30'!F318+'31'!F318</f>
        <v>0</v>
      </c>
      <c r="G318" s="12">
        <f>+'29'!G318+'30'!G318+'31'!G318</f>
        <v>0</v>
      </c>
      <c r="H318" s="12">
        <f>+'29'!H318+'30'!H318+'31'!H318</f>
        <v>0</v>
      </c>
      <c r="I318" s="271"/>
      <c r="J318" s="514">
        <f>+'29'!J318+'30'!J318+'31'!J318</f>
        <v>0</v>
      </c>
      <c r="K318" s="12">
        <f>+'29'!K318+'30'!K318+'31'!K318</f>
        <v>0</v>
      </c>
      <c r="L318" s="12">
        <f>+'29'!L318+'30'!L318+'31'!L318</f>
        <v>0</v>
      </c>
      <c r="M318" s="271"/>
      <c r="N318" s="514">
        <f>+'29'!N318+'30'!N318+'31'!N318</f>
        <v>0</v>
      </c>
      <c r="O318" s="12">
        <f>+'29'!O318+'30'!O318+'31'!O318</f>
        <v>0</v>
      </c>
      <c r="P318" s="12">
        <f>+'29'!P318+'30'!P318+'31'!P318</f>
        <v>0</v>
      </c>
      <c r="Q318" s="532"/>
      <c r="R318" s="270">
        <v>0</v>
      </c>
      <c r="S318" s="12">
        <v>0</v>
      </c>
      <c r="T318" s="12">
        <v>0</v>
      </c>
      <c r="U318" s="271"/>
      <c r="V318" s="533">
        <f t="shared" si="33"/>
        <v>0</v>
      </c>
      <c r="W318" s="533">
        <f t="shared" si="34"/>
        <v>0</v>
      </c>
      <c r="X318" s="257"/>
      <c r="Y318" s="261">
        <f t="shared" si="35"/>
        <v>0</v>
      </c>
      <c r="Z318" s="12">
        <f t="shared" si="36"/>
        <v>0</v>
      </c>
      <c r="AB318" s="13">
        <f t="shared" si="32"/>
        <v>0</v>
      </c>
      <c r="AF318" s="13">
        <f t="shared" si="37"/>
        <v>0</v>
      </c>
      <c r="AH318" s="33"/>
      <c r="AM318" s="12">
        <f t="shared" si="38"/>
        <v>0</v>
      </c>
      <c r="AN318" s="13">
        <f t="shared" si="39"/>
        <v>0</v>
      </c>
    </row>
    <row r="319" spans="1:40" x14ac:dyDescent="0.25">
      <c r="A319">
        <v>314</v>
      </c>
      <c r="B319" t="s">
        <v>344</v>
      </c>
      <c r="C319" t="s">
        <v>15</v>
      </c>
      <c r="D319" t="s">
        <v>16</v>
      </c>
      <c r="F319" s="514">
        <f>+'29'!F319+'30'!F319+'31'!F319</f>
        <v>6</v>
      </c>
      <c r="G319" s="12">
        <f>+'29'!G319+'30'!G319+'31'!G319</f>
        <v>96792.97</v>
      </c>
      <c r="H319" s="12">
        <f>+'29'!H319+'30'!H319+'31'!H319</f>
        <v>175</v>
      </c>
      <c r="I319" s="271"/>
      <c r="J319" s="514">
        <f>+'29'!J319+'30'!J319+'31'!J319</f>
        <v>0</v>
      </c>
      <c r="K319" s="12">
        <f>+'29'!K319+'30'!K319+'31'!K319</f>
        <v>0</v>
      </c>
      <c r="L319" s="12">
        <f>+'29'!L319+'30'!L319+'31'!L319</f>
        <v>0</v>
      </c>
      <c r="M319" s="271"/>
      <c r="N319" s="514">
        <f>+'29'!N319+'30'!N319+'31'!N319</f>
        <v>6</v>
      </c>
      <c r="O319" s="12">
        <f>+'29'!O319+'30'!O319+'31'!O319</f>
        <v>96792.97</v>
      </c>
      <c r="P319" s="12">
        <f>+'29'!P319+'30'!P319+'31'!P319</f>
        <v>175</v>
      </c>
      <c r="Q319" s="532"/>
      <c r="R319" s="270">
        <v>6</v>
      </c>
      <c r="S319" s="12">
        <v>96792.97</v>
      </c>
      <c r="T319" s="12">
        <v>0</v>
      </c>
      <c r="U319" s="271"/>
      <c r="V319" s="533">
        <f t="shared" si="33"/>
        <v>0</v>
      </c>
      <c r="W319" s="533">
        <f t="shared" si="34"/>
        <v>0</v>
      </c>
      <c r="X319" s="257"/>
      <c r="Y319" s="261">
        <f t="shared" si="35"/>
        <v>0</v>
      </c>
      <c r="Z319" s="12">
        <f t="shared" si="36"/>
        <v>0</v>
      </c>
      <c r="AB319" s="13">
        <f t="shared" si="32"/>
        <v>96792.97</v>
      </c>
      <c r="AF319" s="13">
        <f t="shared" si="37"/>
        <v>96792.97</v>
      </c>
      <c r="AM319" s="12">
        <f t="shared" si="38"/>
        <v>0</v>
      </c>
      <c r="AN319" s="13">
        <f t="shared" si="39"/>
        <v>96792.97</v>
      </c>
    </row>
    <row r="320" spans="1:40" x14ac:dyDescent="0.25">
      <c r="A320">
        <v>315</v>
      </c>
      <c r="B320" t="s">
        <v>345</v>
      </c>
      <c r="C320" t="s">
        <v>329</v>
      </c>
      <c r="D320" t="s">
        <v>16</v>
      </c>
      <c r="F320" s="514">
        <f>+'29'!F320+'30'!F320+'31'!F320</f>
        <v>0</v>
      </c>
      <c r="G320" s="12">
        <f>+'29'!G320+'30'!G320+'31'!G320</f>
        <v>0</v>
      </c>
      <c r="H320" s="12">
        <f>+'29'!H320+'30'!H320+'31'!H320</f>
        <v>0</v>
      </c>
      <c r="I320" s="271"/>
      <c r="J320" s="514">
        <f>+'29'!J320+'30'!J320+'31'!J320</f>
        <v>0</v>
      </c>
      <c r="K320" s="12">
        <f>+'29'!K320+'30'!K320+'31'!K320</f>
        <v>0</v>
      </c>
      <c r="L320" s="12">
        <f>+'29'!L320+'30'!L320+'31'!L320</f>
        <v>0</v>
      </c>
      <c r="M320" s="271"/>
      <c r="N320" s="514">
        <f>+'29'!N320+'30'!N320+'31'!N320</f>
        <v>0</v>
      </c>
      <c r="O320" s="12">
        <f>+'29'!O320+'30'!O320+'31'!O320</f>
        <v>0</v>
      </c>
      <c r="P320" s="12">
        <f>+'29'!P320+'30'!P320+'31'!P320</f>
        <v>0</v>
      </c>
      <c r="Q320" s="532"/>
      <c r="R320" s="270">
        <v>0</v>
      </c>
      <c r="S320" s="12">
        <v>0</v>
      </c>
      <c r="T320" s="12">
        <v>0</v>
      </c>
      <c r="U320" s="271"/>
      <c r="V320" s="533">
        <f t="shared" si="33"/>
        <v>0</v>
      </c>
      <c r="W320" s="533">
        <f t="shared" si="34"/>
        <v>0</v>
      </c>
      <c r="X320" s="257"/>
      <c r="Y320" s="261">
        <f t="shared" si="35"/>
        <v>0</v>
      </c>
      <c r="Z320" s="12">
        <f t="shared" si="36"/>
        <v>0</v>
      </c>
      <c r="AB320" s="13">
        <f t="shared" si="32"/>
        <v>0</v>
      </c>
      <c r="AD320" s="16"/>
      <c r="AF320" s="13">
        <f t="shared" si="37"/>
        <v>0</v>
      </c>
      <c r="AG320" s="16"/>
      <c r="AM320" s="12">
        <f t="shared" si="38"/>
        <v>0</v>
      </c>
      <c r="AN320" s="13">
        <f t="shared" si="39"/>
        <v>0</v>
      </c>
    </row>
    <row r="321" spans="1:40" x14ac:dyDescent="0.25">
      <c r="A321">
        <v>316</v>
      </c>
      <c r="B321" t="s">
        <v>346</v>
      </c>
      <c r="C321" t="s">
        <v>27</v>
      </c>
      <c r="D321" t="s">
        <v>16</v>
      </c>
      <c r="F321" s="514">
        <f>+'29'!F321+'30'!F321+'31'!F321</f>
        <v>0</v>
      </c>
      <c r="G321" s="12">
        <f>+'29'!G321+'30'!G321+'31'!G321</f>
        <v>0</v>
      </c>
      <c r="H321" s="12">
        <f>+'29'!H321+'30'!H321+'31'!H321</f>
        <v>0</v>
      </c>
      <c r="I321" s="271"/>
      <c r="J321" s="514">
        <f>+'29'!J321+'30'!J321+'31'!J321</f>
        <v>0</v>
      </c>
      <c r="K321" s="12">
        <f>+'29'!K321+'30'!K321+'31'!K321</f>
        <v>0</v>
      </c>
      <c r="L321" s="12">
        <f>+'29'!L321+'30'!L321+'31'!L321</f>
        <v>0</v>
      </c>
      <c r="M321" s="271"/>
      <c r="N321" s="514">
        <f>+'29'!N321+'30'!N321+'31'!N321</f>
        <v>0</v>
      </c>
      <c r="O321" s="12">
        <f>+'29'!O321+'30'!O321+'31'!O321</f>
        <v>0</v>
      </c>
      <c r="P321" s="12">
        <f>+'29'!P321+'30'!P321+'31'!P321</f>
        <v>0</v>
      </c>
      <c r="Q321" s="532"/>
      <c r="R321" s="270">
        <v>0</v>
      </c>
      <c r="S321" s="12">
        <v>0</v>
      </c>
      <c r="T321" s="12">
        <v>0</v>
      </c>
      <c r="U321" s="271"/>
      <c r="V321" s="533">
        <f t="shared" si="33"/>
        <v>0</v>
      </c>
      <c r="W321" s="533">
        <f t="shared" si="34"/>
        <v>0</v>
      </c>
      <c r="X321" s="257"/>
      <c r="Y321" s="261">
        <f t="shared" si="35"/>
        <v>0</v>
      </c>
      <c r="Z321" s="12">
        <f t="shared" si="36"/>
        <v>0</v>
      </c>
      <c r="AB321" s="13">
        <f t="shared" si="32"/>
        <v>0</v>
      </c>
      <c r="AF321" s="13">
        <f t="shared" si="37"/>
        <v>0</v>
      </c>
      <c r="AM321" s="12">
        <f t="shared" si="38"/>
        <v>0</v>
      </c>
      <c r="AN321" s="13">
        <f t="shared" si="39"/>
        <v>0</v>
      </c>
    </row>
    <row r="322" spans="1:40" x14ac:dyDescent="0.25">
      <c r="A322">
        <v>317</v>
      </c>
      <c r="B322" t="s">
        <v>347</v>
      </c>
      <c r="C322" t="s">
        <v>25</v>
      </c>
      <c r="D322" t="s">
        <v>16</v>
      </c>
      <c r="F322" s="514">
        <f>+'29'!F322+'30'!F322+'31'!F322</f>
        <v>2</v>
      </c>
      <c r="G322" s="12">
        <f>+'29'!G322+'30'!G322+'31'!G322</f>
        <v>32750</v>
      </c>
      <c r="H322" s="12">
        <f>+'29'!H322+'30'!H322+'31'!H322</f>
        <v>50</v>
      </c>
      <c r="I322" s="271"/>
      <c r="J322" s="514">
        <f>+'29'!J322+'30'!J322+'31'!J322</f>
        <v>0</v>
      </c>
      <c r="K322" s="12">
        <f>+'29'!K322+'30'!K322+'31'!K322</f>
        <v>0</v>
      </c>
      <c r="L322" s="12">
        <f>+'29'!L322+'30'!L322+'31'!L322</f>
        <v>0</v>
      </c>
      <c r="M322" s="271"/>
      <c r="N322" s="514">
        <f>+'29'!N322+'30'!N322+'31'!N322</f>
        <v>2</v>
      </c>
      <c r="O322" s="12">
        <f>+'29'!O322+'30'!O322+'31'!O322</f>
        <v>32750</v>
      </c>
      <c r="P322" s="12">
        <f>+'29'!P322+'30'!P322+'31'!P322</f>
        <v>50</v>
      </c>
      <c r="Q322" s="532"/>
      <c r="R322" s="270">
        <v>2</v>
      </c>
      <c r="S322" s="12">
        <v>32750</v>
      </c>
      <c r="T322" s="12">
        <v>0</v>
      </c>
      <c r="U322" s="271"/>
      <c r="V322" s="533">
        <f t="shared" si="33"/>
        <v>0</v>
      </c>
      <c r="W322" s="533">
        <f t="shared" si="34"/>
        <v>0</v>
      </c>
      <c r="X322" s="257"/>
      <c r="Y322" s="261">
        <f t="shared" si="35"/>
        <v>0</v>
      </c>
      <c r="Z322" s="12">
        <f t="shared" si="36"/>
        <v>0</v>
      </c>
      <c r="AB322" s="13">
        <f t="shared" si="32"/>
        <v>32750</v>
      </c>
      <c r="AF322" s="13">
        <f t="shared" si="37"/>
        <v>32750</v>
      </c>
      <c r="AH322" s="33"/>
      <c r="AM322" s="12">
        <f t="shared" si="38"/>
        <v>0</v>
      </c>
      <c r="AN322" s="13">
        <f t="shared" si="39"/>
        <v>32750</v>
      </c>
    </row>
    <row r="323" spans="1:40" x14ac:dyDescent="0.25">
      <c r="A323">
        <v>318</v>
      </c>
      <c r="B323" t="s">
        <v>348</v>
      </c>
      <c r="C323" t="s">
        <v>25</v>
      </c>
      <c r="D323" t="s">
        <v>16</v>
      </c>
      <c r="F323" s="514">
        <f>+'29'!F323+'30'!F323+'31'!F323</f>
        <v>0</v>
      </c>
      <c r="G323" s="12">
        <f>+'29'!G323+'30'!G323+'31'!G323</f>
        <v>0</v>
      </c>
      <c r="H323" s="12">
        <f>+'29'!H323+'30'!H323+'31'!H323</f>
        <v>0</v>
      </c>
      <c r="I323" s="271"/>
      <c r="J323" s="514">
        <f>+'29'!J323+'30'!J323+'31'!J323</f>
        <v>0</v>
      </c>
      <c r="K323" s="12">
        <f>+'29'!K323+'30'!K323+'31'!K323</f>
        <v>0</v>
      </c>
      <c r="L323" s="12">
        <f>+'29'!L323+'30'!L323+'31'!L323</f>
        <v>0</v>
      </c>
      <c r="M323" s="271"/>
      <c r="N323" s="514">
        <f>+'29'!N323+'30'!N323+'31'!N323</f>
        <v>0</v>
      </c>
      <c r="O323" s="12">
        <f>+'29'!O323+'30'!O323+'31'!O323</f>
        <v>0</v>
      </c>
      <c r="P323" s="12">
        <f>+'29'!P323+'30'!P323+'31'!P323</f>
        <v>0</v>
      </c>
      <c r="Q323" s="532"/>
      <c r="R323" s="270">
        <v>0</v>
      </c>
      <c r="S323" s="12">
        <v>0</v>
      </c>
      <c r="T323" s="12">
        <v>0</v>
      </c>
      <c r="U323" s="271"/>
      <c r="V323" s="533">
        <f t="shared" si="33"/>
        <v>0</v>
      </c>
      <c r="W323" s="533">
        <f t="shared" si="34"/>
        <v>0</v>
      </c>
      <c r="X323" s="257"/>
      <c r="Y323" s="261">
        <f t="shared" si="35"/>
        <v>0</v>
      </c>
      <c r="Z323" s="12">
        <f t="shared" si="36"/>
        <v>0</v>
      </c>
      <c r="AB323" s="13">
        <f t="shared" si="32"/>
        <v>0</v>
      </c>
      <c r="AF323" s="13">
        <f t="shared" si="37"/>
        <v>0</v>
      </c>
      <c r="AM323" s="12">
        <f t="shared" si="38"/>
        <v>0</v>
      </c>
      <c r="AN323" s="13">
        <f t="shared" si="39"/>
        <v>0</v>
      </c>
    </row>
    <row r="324" spans="1:40" x14ac:dyDescent="0.25">
      <c r="A324">
        <v>319</v>
      </c>
      <c r="B324" t="s">
        <v>350</v>
      </c>
      <c r="C324" t="s">
        <v>351</v>
      </c>
      <c r="D324" t="s">
        <v>20</v>
      </c>
      <c r="F324" s="514">
        <f>+'29'!F324+'30'!F324+'31'!F324</f>
        <v>5</v>
      </c>
      <c r="G324" s="12">
        <f>+'29'!G324+'30'!G324+'31'!G324</f>
        <v>28700</v>
      </c>
      <c r="H324" s="12">
        <f>+'29'!H324+'30'!H324+'31'!H324</f>
        <v>25</v>
      </c>
      <c r="I324" s="271"/>
      <c r="J324" s="514">
        <f>+'29'!J324+'30'!J324+'31'!J324</f>
        <v>0</v>
      </c>
      <c r="K324" s="12">
        <f>+'29'!K324+'30'!K324+'31'!K324</f>
        <v>0</v>
      </c>
      <c r="L324" s="12">
        <f>+'29'!L324+'30'!L324+'31'!L324</f>
        <v>0</v>
      </c>
      <c r="M324" s="271"/>
      <c r="N324" s="514">
        <f>+'29'!N324+'30'!N324+'31'!N324</f>
        <v>5</v>
      </c>
      <c r="O324" s="12">
        <f>+'29'!O324+'30'!O324+'31'!O324</f>
        <v>28700</v>
      </c>
      <c r="P324" s="12">
        <f>+'29'!P324+'30'!P324+'31'!P324</f>
        <v>25</v>
      </c>
      <c r="Q324" s="532"/>
      <c r="R324" s="270">
        <v>5</v>
      </c>
      <c r="S324" s="12">
        <v>28675</v>
      </c>
      <c r="T324" s="12">
        <v>25</v>
      </c>
      <c r="U324" s="271"/>
      <c r="V324" s="533">
        <f t="shared" si="33"/>
        <v>0</v>
      </c>
      <c r="W324" s="533">
        <f t="shared" si="34"/>
        <v>25</v>
      </c>
      <c r="X324" s="257"/>
      <c r="Y324" s="261">
        <f t="shared" si="35"/>
        <v>0</v>
      </c>
      <c r="Z324" s="12">
        <f t="shared" si="36"/>
        <v>25</v>
      </c>
      <c r="AB324" s="13">
        <f t="shared" si="32"/>
        <v>28700</v>
      </c>
      <c r="AD324" s="16"/>
      <c r="AF324" s="13">
        <f t="shared" si="37"/>
        <v>28700</v>
      </c>
      <c r="AM324" s="12">
        <f t="shared" si="38"/>
        <v>0</v>
      </c>
      <c r="AN324" s="13">
        <f t="shared" si="39"/>
        <v>28700</v>
      </c>
    </row>
    <row r="325" spans="1:40" x14ac:dyDescent="0.25">
      <c r="A325">
        <v>320</v>
      </c>
      <c r="B325" t="s">
        <v>352</v>
      </c>
      <c r="D325" t="s">
        <v>20</v>
      </c>
      <c r="F325" s="514">
        <f>+'29'!F325+'30'!F325+'31'!F325</f>
        <v>1</v>
      </c>
      <c r="G325" s="12">
        <f>+'29'!G325+'30'!G325+'31'!G325</f>
        <v>442</v>
      </c>
      <c r="H325" s="12">
        <f>+'29'!H325+'30'!H325+'31'!H325</f>
        <v>5</v>
      </c>
      <c r="I325" s="271"/>
      <c r="J325" s="514">
        <f>+'29'!J325+'30'!J325+'31'!J325</f>
        <v>0</v>
      </c>
      <c r="K325" s="12">
        <f>+'29'!K325+'30'!K325+'31'!K325</f>
        <v>0</v>
      </c>
      <c r="L325" s="12">
        <f>+'29'!L325+'30'!L325+'31'!L325</f>
        <v>0</v>
      </c>
      <c r="M325" s="271"/>
      <c r="N325" s="514">
        <f>+'29'!N325+'30'!N325+'31'!N325</f>
        <v>1</v>
      </c>
      <c r="O325" s="12">
        <f>+'29'!O325+'30'!O325+'31'!O325</f>
        <v>442</v>
      </c>
      <c r="P325" s="12">
        <f>+'29'!P325+'30'!P325+'31'!P325</f>
        <v>5</v>
      </c>
      <c r="Q325" s="532"/>
      <c r="R325" s="270">
        <v>1</v>
      </c>
      <c r="S325" s="12">
        <v>437</v>
      </c>
      <c r="T325" s="12">
        <v>5</v>
      </c>
      <c r="U325" s="271"/>
      <c r="V325" s="533">
        <f t="shared" si="33"/>
        <v>0</v>
      </c>
      <c r="W325" s="533">
        <f t="shared" si="34"/>
        <v>5</v>
      </c>
      <c r="X325" s="257"/>
      <c r="Y325" s="261">
        <f t="shared" si="35"/>
        <v>0</v>
      </c>
      <c r="Z325" s="12">
        <f t="shared" si="36"/>
        <v>5</v>
      </c>
      <c r="AB325" s="13">
        <f t="shared" si="32"/>
        <v>442</v>
      </c>
      <c r="AF325" s="13">
        <f t="shared" si="37"/>
        <v>442</v>
      </c>
      <c r="AM325" s="12">
        <f t="shared" si="38"/>
        <v>0</v>
      </c>
      <c r="AN325" s="13">
        <f t="shared" si="39"/>
        <v>442</v>
      </c>
    </row>
    <row r="326" spans="1:40" x14ac:dyDescent="0.25">
      <c r="A326">
        <v>321</v>
      </c>
      <c r="B326" t="s">
        <v>353</v>
      </c>
      <c r="C326" t="s">
        <v>25</v>
      </c>
      <c r="D326" t="s">
        <v>20</v>
      </c>
      <c r="F326" s="514">
        <f>+'29'!F326+'30'!F326+'31'!F326</f>
        <v>9</v>
      </c>
      <c r="G326" s="12">
        <f>+'29'!G326+'30'!G326+'31'!G326</f>
        <v>121760</v>
      </c>
      <c r="H326" s="12">
        <f>+'29'!H326+'30'!H326+'31'!H326</f>
        <v>270</v>
      </c>
      <c r="I326" s="271"/>
      <c r="J326" s="514">
        <f>+'29'!J326+'30'!J326+'31'!J326</f>
        <v>0</v>
      </c>
      <c r="K326" s="12">
        <f>+'29'!K326+'30'!K326+'31'!K326</f>
        <v>0</v>
      </c>
      <c r="L326" s="12">
        <f>+'29'!L326+'30'!L326+'31'!L326</f>
        <v>0</v>
      </c>
      <c r="M326" s="271"/>
      <c r="N326" s="514">
        <f>+'29'!N326+'30'!N326+'31'!N326</f>
        <v>9</v>
      </c>
      <c r="O326" s="12">
        <f>+'29'!O326+'30'!O326+'31'!O326</f>
        <v>121760</v>
      </c>
      <c r="P326" s="12">
        <f>+'29'!P326+'30'!P326+'31'!P326</f>
        <v>270</v>
      </c>
      <c r="Q326" s="532"/>
      <c r="R326" s="270">
        <v>9</v>
      </c>
      <c r="S326" s="12">
        <v>121490</v>
      </c>
      <c r="T326" s="12">
        <v>270</v>
      </c>
      <c r="U326" s="271"/>
      <c r="V326" s="533">
        <f t="shared" si="33"/>
        <v>0</v>
      </c>
      <c r="W326" s="533">
        <f t="shared" si="34"/>
        <v>270</v>
      </c>
      <c r="X326" s="257"/>
      <c r="Y326" s="261">
        <f t="shared" si="35"/>
        <v>0</v>
      </c>
      <c r="Z326" s="12">
        <f t="shared" si="36"/>
        <v>270</v>
      </c>
      <c r="AB326" s="13">
        <f t="shared" ref="AB326:AB389" si="40">O326</f>
        <v>121760</v>
      </c>
      <c r="AF326" s="13">
        <f t="shared" si="37"/>
        <v>121760</v>
      </c>
      <c r="AM326" s="12">
        <f t="shared" si="38"/>
        <v>0</v>
      </c>
      <c r="AN326" s="13">
        <f t="shared" si="39"/>
        <v>121760</v>
      </c>
    </row>
    <row r="327" spans="1:40" x14ac:dyDescent="0.25">
      <c r="A327">
        <v>322</v>
      </c>
      <c r="B327" t="s">
        <v>356</v>
      </c>
      <c r="C327" t="s">
        <v>15</v>
      </c>
      <c r="D327" t="s">
        <v>16</v>
      </c>
      <c r="F327" s="514">
        <f>+'29'!F327+'30'!F327+'31'!F327</f>
        <v>0</v>
      </c>
      <c r="G327" s="12">
        <f>+'29'!G327+'30'!G327+'31'!G327</f>
        <v>0</v>
      </c>
      <c r="H327" s="12">
        <f>+'29'!H327+'30'!H327+'31'!H327</f>
        <v>0</v>
      </c>
      <c r="I327" s="271"/>
      <c r="J327" s="514">
        <f>+'29'!J327+'30'!J327+'31'!J327</f>
        <v>0</v>
      </c>
      <c r="K327" s="12">
        <f>+'29'!K327+'30'!K327+'31'!K327</f>
        <v>0</v>
      </c>
      <c r="L327" s="12">
        <f>+'29'!L327+'30'!L327+'31'!L327</f>
        <v>0</v>
      </c>
      <c r="M327" s="271"/>
      <c r="N327" s="514">
        <f>+'29'!N327+'30'!N327+'31'!N327</f>
        <v>0</v>
      </c>
      <c r="O327" s="12">
        <f>+'29'!O327+'30'!O327+'31'!O327</f>
        <v>0</v>
      </c>
      <c r="P327" s="12">
        <f>+'29'!P327+'30'!P327+'31'!P327</f>
        <v>0</v>
      </c>
      <c r="Q327" s="532"/>
      <c r="R327" s="270">
        <v>0</v>
      </c>
      <c r="S327" s="12">
        <v>0</v>
      </c>
      <c r="T327" s="12">
        <v>0</v>
      </c>
      <c r="U327" s="271"/>
      <c r="V327" s="533">
        <f t="shared" ref="V327:V390" si="41">N327-R327</f>
        <v>0</v>
      </c>
      <c r="W327" s="533">
        <f t="shared" ref="W327:W390" si="42">O327-S327</f>
        <v>0</v>
      </c>
      <c r="X327" s="257"/>
      <c r="Y327" s="261">
        <f t="shared" ref="Y327:Y390" si="43">V327</f>
        <v>0</v>
      </c>
      <c r="Z327" s="12">
        <f t="shared" ref="Z327:Z390" si="44">W327</f>
        <v>0</v>
      </c>
      <c r="AB327" s="13">
        <f t="shared" si="40"/>
        <v>0</v>
      </c>
      <c r="AF327" s="13">
        <f t="shared" ref="AF327:AF390" si="45">AB327-AD327</f>
        <v>0</v>
      </c>
      <c r="AM327" s="12">
        <f t="shared" ref="AM327:AM390" si="46">SUM(AG327:AL327)</f>
        <v>0</v>
      </c>
      <c r="AN327" s="13">
        <f t="shared" ref="AN327:AN390" si="47">AF327-AM327</f>
        <v>0</v>
      </c>
    </row>
    <row r="328" spans="1:40" x14ac:dyDescent="0.25">
      <c r="A328">
        <v>323</v>
      </c>
      <c r="B328" t="s">
        <v>357</v>
      </c>
      <c r="C328" t="s">
        <v>18</v>
      </c>
      <c r="D328" t="s">
        <v>20</v>
      </c>
      <c r="F328" s="514">
        <f>+'29'!F328+'30'!F328+'31'!F328</f>
        <v>39</v>
      </c>
      <c r="G328" s="12">
        <f>+'29'!G328+'30'!G328+'31'!G328</f>
        <v>1032163.8800000001</v>
      </c>
      <c r="H328" s="12">
        <f>+'29'!H328+'30'!H328+'31'!H328</f>
        <v>1170</v>
      </c>
      <c r="I328" s="271"/>
      <c r="J328" s="514">
        <f>+'29'!J328+'30'!J328+'31'!J328</f>
        <v>0</v>
      </c>
      <c r="K328" s="12">
        <f>+'29'!K328+'30'!K328+'31'!K328</f>
        <v>0</v>
      </c>
      <c r="L328" s="12">
        <f>+'29'!L328+'30'!L328+'31'!L328</f>
        <v>0</v>
      </c>
      <c r="M328" s="271"/>
      <c r="N328" s="514">
        <f>+'29'!N328+'30'!N328+'31'!N328</f>
        <v>39</v>
      </c>
      <c r="O328" s="12">
        <f>+'29'!O328+'30'!O328+'31'!O328</f>
        <v>1032163.8800000001</v>
      </c>
      <c r="P328" s="12">
        <f>+'29'!P328+'30'!P328+'31'!P328</f>
        <v>1170</v>
      </c>
      <c r="Q328" s="532"/>
      <c r="R328" s="270">
        <v>39</v>
      </c>
      <c r="S328" s="12">
        <v>1030993.88</v>
      </c>
      <c r="T328" s="12">
        <v>1170</v>
      </c>
      <c r="U328" s="271"/>
      <c r="V328" s="533">
        <f t="shared" si="41"/>
        <v>0</v>
      </c>
      <c r="W328" s="533">
        <f t="shared" si="42"/>
        <v>1170.0000000001164</v>
      </c>
      <c r="X328" s="257"/>
      <c r="Y328" s="261">
        <f t="shared" si="43"/>
        <v>0</v>
      </c>
      <c r="Z328" s="12">
        <f t="shared" si="44"/>
        <v>1170.0000000001164</v>
      </c>
      <c r="AB328" s="13">
        <f t="shared" si="40"/>
        <v>1032163.8800000001</v>
      </c>
      <c r="AF328" s="13">
        <f t="shared" si="45"/>
        <v>1032163.8800000001</v>
      </c>
      <c r="AM328" s="12">
        <f t="shared" si="46"/>
        <v>0</v>
      </c>
      <c r="AN328" s="13">
        <f t="shared" si="47"/>
        <v>1032163.8800000001</v>
      </c>
    </row>
    <row r="329" spans="1:40" x14ac:dyDescent="0.25">
      <c r="A329">
        <v>324</v>
      </c>
      <c r="B329" t="s">
        <v>358</v>
      </c>
      <c r="C329" t="s">
        <v>18</v>
      </c>
      <c r="D329" t="s">
        <v>20</v>
      </c>
      <c r="F329" s="514">
        <f>+'29'!F329+'30'!F329+'31'!F329</f>
        <v>22</v>
      </c>
      <c r="G329" s="12">
        <f>+'29'!G329+'30'!G329+'31'!G329</f>
        <v>901969.4</v>
      </c>
      <c r="H329" s="12">
        <f>+'29'!H329+'30'!H329+'31'!H329</f>
        <v>660</v>
      </c>
      <c r="I329" s="271"/>
      <c r="J329" s="514">
        <f>+'29'!J329+'30'!J329+'31'!J329</f>
        <v>0</v>
      </c>
      <c r="K329" s="12">
        <f>+'29'!K329+'30'!K329+'31'!K329</f>
        <v>0</v>
      </c>
      <c r="L329" s="12">
        <f>+'29'!L329+'30'!L329+'31'!L329</f>
        <v>0</v>
      </c>
      <c r="M329" s="271"/>
      <c r="N329" s="514">
        <f>+'29'!N329+'30'!N329+'31'!N329</f>
        <v>22</v>
      </c>
      <c r="O329" s="12">
        <f>+'29'!O329+'30'!O329+'31'!O329</f>
        <v>901969.4</v>
      </c>
      <c r="P329" s="12">
        <f>+'29'!P329+'30'!P329+'31'!P329</f>
        <v>660</v>
      </c>
      <c r="Q329" s="532"/>
      <c r="R329" s="270">
        <v>22</v>
      </c>
      <c r="S329" s="12">
        <v>901309.4</v>
      </c>
      <c r="T329" s="12">
        <v>660</v>
      </c>
      <c r="U329" s="271"/>
      <c r="V329" s="533">
        <f t="shared" si="41"/>
        <v>0</v>
      </c>
      <c r="W329" s="533">
        <f t="shared" si="42"/>
        <v>660</v>
      </c>
      <c r="X329" s="257"/>
      <c r="Y329" s="261">
        <f t="shared" si="43"/>
        <v>0</v>
      </c>
      <c r="Z329" s="12">
        <f t="shared" si="44"/>
        <v>660</v>
      </c>
      <c r="AB329" s="13">
        <f t="shared" si="40"/>
        <v>901969.4</v>
      </c>
      <c r="AF329" s="13">
        <f t="shared" si="45"/>
        <v>901969.4</v>
      </c>
      <c r="AM329" s="12">
        <f t="shared" si="46"/>
        <v>0</v>
      </c>
      <c r="AN329" s="13">
        <f t="shared" si="47"/>
        <v>901969.4</v>
      </c>
    </row>
    <row r="330" spans="1:40" x14ac:dyDescent="0.25">
      <c r="A330">
        <v>325</v>
      </c>
      <c r="B330" t="s">
        <v>2233</v>
      </c>
      <c r="C330" t="s">
        <v>18</v>
      </c>
      <c r="D330" t="s">
        <v>20</v>
      </c>
      <c r="F330" s="514">
        <f>+'29'!F330+'30'!F330+'31'!F330</f>
        <v>16</v>
      </c>
      <c r="G330" s="12">
        <f>+'29'!G330+'30'!G330+'31'!G330</f>
        <v>1316138</v>
      </c>
      <c r="H330" s="12">
        <f>+'29'!H330+'30'!H330+'31'!H330</f>
        <v>480</v>
      </c>
      <c r="I330" s="271"/>
      <c r="J330" s="514">
        <f>+'29'!J330+'30'!J330+'31'!J330</f>
        <v>0</v>
      </c>
      <c r="K330" s="12">
        <f>+'29'!K330+'30'!K330+'31'!K330</f>
        <v>0</v>
      </c>
      <c r="L330" s="12">
        <f>+'29'!L330+'30'!L330+'31'!L330</f>
        <v>0</v>
      </c>
      <c r="M330" s="271"/>
      <c r="N330" s="514">
        <f>+'29'!N330+'30'!N330+'31'!N330</f>
        <v>16</v>
      </c>
      <c r="O330" s="12">
        <f>+'29'!O330+'30'!O330+'31'!O330</f>
        <v>1316138</v>
      </c>
      <c r="P330" s="12">
        <f>+'29'!P330+'30'!P330+'31'!P330</f>
        <v>480</v>
      </c>
      <c r="Q330" s="532"/>
      <c r="R330" s="270">
        <v>16</v>
      </c>
      <c r="S330" s="12">
        <v>1315658</v>
      </c>
      <c r="T330" s="12">
        <v>480</v>
      </c>
      <c r="U330" s="271"/>
      <c r="V330" s="533">
        <f t="shared" si="41"/>
        <v>0</v>
      </c>
      <c r="W330" s="533">
        <f t="shared" si="42"/>
        <v>480</v>
      </c>
      <c r="X330" s="257"/>
      <c r="Y330" s="261">
        <f t="shared" si="43"/>
        <v>0</v>
      </c>
      <c r="Z330" s="12">
        <f t="shared" si="44"/>
        <v>480</v>
      </c>
      <c r="AB330" s="13">
        <f t="shared" si="40"/>
        <v>1316138</v>
      </c>
      <c r="AF330" s="13">
        <f t="shared" si="45"/>
        <v>1316138</v>
      </c>
      <c r="AM330" s="12">
        <f t="shared" si="46"/>
        <v>0</v>
      </c>
      <c r="AN330" s="13">
        <f t="shared" si="47"/>
        <v>1316138</v>
      </c>
    </row>
    <row r="331" spans="1:40" x14ac:dyDescent="0.25">
      <c r="A331">
        <v>326</v>
      </c>
      <c r="B331" t="s">
        <v>2234</v>
      </c>
      <c r="C331" t="s">
        <v>18</v>
      </c>
      <c r="D331" t="s">
        <v>20</v>
      </c>
      <c r="F331" s="514">
        <f>+'29'!F331+'30'!F331+'31'!F331</f>
        <v>54</v>
      </c>
      <c r="G331" s="12">
        <f>+'29'!G331+'30'!G331+'31'!G331</f>
        <v>2494001.0299999998</v>
      </c>
      <c r="H331" s="12">
        <f>+'29'!H331+'30'!H331+'31'!H331</f>
        <v>1620</v>
      </c>
      <c r="I331" s="271"/>
      <c r="J331" s="514">
        <f>+'29'!J331+'30'!J331+'31'!J331</f>
        <v>0</v>
      </c>
      <c r="K331" s="12">
        <f>+'29'!K331+'30'!K331+'31'!K331</f>
        <v>0</v>
      </c>
      <c r="L331" s="12">
        <f>+'29'!L331+'30'!L331+'31'!L331</f>
        <v>0</v>
      </c>
      <c r="M331" s="271"/>
      <c r="N331" s="514">
        <f>+'29'!N331+'30'!N331+'31'!N331</f>
        <v>54</v>
      </c>
      <c r="O331" s="12">
        <f>+'29'!O331+'30'!O331+'31'!O331</f>
        <v>2494001.0299999998</v>
      </c>
      <c r="P331" s="12">
        <f>+'29'!P331+'30'!P331+'31'!P331</f>
        <v>1620</v>
      </c>
      <c r="Q331" s="532"/>
      <c r="R331" s="270">
        <v>54</v>
      </c>
      <c r="S331" s="12">
        <v>2492381.0299999998</v>
      </c>
      <c r="T331" s="12">
        <v>1620</v>
      </c>
      <c r="U331" s="271"/>
      <c r="V331" s="533">
        <f t="shared" si="41"/>
        <v>0</v>
      </c>
      <c r="W331" s="533">
        <f t="shared" si="42"/>
        <v>1620</v>
      </c>
      <c r="X331" s="257"/>
      <c r="Y331" s="261">
        <f t="shared" si="43"/>
        <v>0</v>
      </c>
      <c r="Z331" s="12">
        <f t="shared" si="44"/>
        <v>1620</v>
      </c>
      <c r="AB331" s="13">
        <f t="shared" si="40"/>
        <v>2494001.0299999998</v>
      </c>
      <c r="AF331" s="13">
        <f t="shared" si="45"/>
        <v>2494001.0299999998</v>
      </c>
      <c r="AM331" s="12">
        <f t="shared" si="46"/>
        <v>0</v>
      </c>
      <c r="AN331" s="13">
        <f t="shared" si="47"/>
        <v>2494001.0299999998</v>
      </c>
    </row>
    <row r="332" spans="1:40" x14ac:dyDescent="0.25">
      <c r="A332">
        <v>327</v>
      </c>
      <c r="B332" t="s">
        <v>359</v>
      </c>
      <c r="C332" t="s">
        <v>18</v>
      </c>
      <c r="D332" t="s">
        <v>20</v>
      </c>
      <c r="F332" s="514">
        <f>+'29'!F332+'30'!F332+'31'!F332</f>
        <v>4</v>
      </c>
      <c r="G332" s="12">
        <f>+'29'!G332+'30'!G332+'31'!G332</f>
        <v>189198</v>
      </c>
      <c r="H332" s="12">
        <f>+'29'!H332+'30'!H332+'31'!H332</f>
        <v>120</v>
      </c>
      <c r="I332" s="271"/>
      <c r="J332" s="514">
        <f>+'29'!J332+'30'!J332+'31'!J332</f>
        <v>0</v>
      </c>
      <c r="K332" s="12">
        <f>+'29'!K332+'30'!K332+'31'!K332</f>
        <v>0</v>
      </c>
      <c r="L332" s="12">
        <f>+'29'!L332+'30'!L332+'31'!L332</f>
        <v>0</v>
      </c>
      <c r="M332" s="271"/>
      <c r="N332" s="514">
        <f>+'29'!N332+'30'!N332+'31'!N332</f>
        <v>4</v>
      </c>
      <c r="O332" s="12">
        <f>+'29'!O332+'30'!O332+'31'!O332</f>
        <v>189198</v>
      </c>
      <c r="P332" s="12">
        <f>+'29'!P332+'30'!P332+'31'!P332</f>
        <v>120</v>
      </c>
      <c r="Q332" s="532"/>
      <c r="R332" s="270">
        <v>4</v>
      </c>
      <c r="S332" s="12">
        <v>189078</v>
      </c>
      <c r="T332" s="12">
        <v>120</v>
      </c>
      <c r="U332" s="271"/>
      <c r="V332" s="533">
        <f t="shared" si="41"/>
        <v>0</v>
      </c>
      <c r="W332" s="533">
        <f t="shared" si="42"/>
        <v>120</v>
      </c>
      <c r="X332" s="257"/>
      <c r="Y332" s="261">
        <f t="shared" si="43"/>
        <v>0</v>
      </c>
      <c r="Z332" s="12">
        <f t="shared" si="44"/>
        <v>120</v>
      </c>
      <c r="AB332" s="13">
        <f t="shared" si="40"/>
        <v>189198</v>
      </c>
      <c r="AF332" s="13">
        <f t="shared" si="45"/>
        <v>189198</v>
      </c>
      <c r="AM332" s="12">
        <f t="shared" si="46"/>
        <v>0</v>
      </c>
      <c r="AN332" s="13">
        <f t="shared" si="47"/>
        <v>189198</v>
      </c>
    </row>
    <row r="333" spans="1:40" x14ac:dyDescent="0.25">
      <c r="A333">
        <v>328</v>
      </c>
      <c r="B333" t="s">
        <v>2423</v>
      </c>
      <c r="C333" t="s">
        <v>24</v>
      </c>
      <c r="D333" t="s">
        <v>20</v>
      </c>
      <c r="F333" s="514">
        <f>+'29'!F333+'30'!F333+'31'!F333</f>
        <v>59</v>
      </c>
      <c r="G333" s="12">
        <f>+'29'!G333+'30'!G333+'31'!G333</f>
        <v>3282857.05</v>
      </c>
      <c r="H333" s="12">
        <f>+'29'!H333+'30'!H333+'31'!H333</f>
        <v>1770</v>
      </c>
      <c r="I333" s="271"/>
      <c r="J333" s="514">
        <f>+'29'!J333+'30'!J333+'31'!J333</f>
        <v>0</v>
      </c>
      <c r="K333" s="12">
        <f>+'29'!K333+'30'!K333+'31'!K333</f>
        <v>0</v>
      </c>
      <c r="L333" s="12">
        <f>+'29'!L333+'30'!L333+'31'!L333</f>
        <v>0</v>
      </c>
      <c r="M333" s="271"/>
      <c r="N333" s="514">
        <f>+'29'!N333+'30'!N333+'31'!N333</f>
        <v>59</v>
      </c>
      <c r="O333" s="12">
        <f>+'29'!O333+'30'!O333+'31'!O333</f>
        <v>3282857.05</v>
      </c>
      <c r="P333" s="12">
        <f>+'29'!P333+'30'!P333+'31'!P333</f>
        <v>1770</v>
      </c>
      <c r="Q333" s="532"/>
      <c r="R333" s="270">
        <v>59</v>
      </c>
      <c r="S333" s="12">
        <v>3281087.05</v>
      </c>
      <c r="T333" s="12">
        <v>1770</v>
      </c>
      <c r="U333" s="271"/>
      <c r="V333" s="533">
        <f t="shared" si="41"/>
        <v>0</v>
      </c>
      <c r="W333" s="533">
        <f t="shared" si="42"/>
        <v>1770</v>
      </c>
      <c r="X333" s="257"/>
      <c r="Y333" s="261">
        <f t="shared" si="43"/>
        <v>0</v>
      </c>
      <c r="Z333" s="12">
        <f t="shared" si="44"/>
        <v>1770</v>
      </c>
      <c r="AB333" s="13">
        <f t="shared" si="40"/>
        <v>3282857.05</v>
      </c>
      <c r="AF333" s="13">
        <f t="shared" si="45"/>
        <v>3282857.05</v>
      </c>
      <c r="AM333" s="12">
        <f t="shared" si="46"/>
        <v>0</v>
      </c>
      <c r="AN333" s="13">
        <f t="shared" si="47"/>
        <v>3282857.05</v>
      </c>
    </row>
    <row r="334" spans="1:40" x14ac:dyDescent="0.25">
      <c r="A334">
        <v>329</v>
      </c>
      <c r="B334" t="s">
        <v>2424</v>
      </c>
      <c r="C334" t="s">
        <v>24</v>
      </c>
      <c r="D334" t="s">
        <v>20</v>
      </c>
      <c r="F334" s="514">
        <f>+'29'!F334+'30'!F334+'31'!F334</f>
        <v>16</v>
      </c>
      <c r="G334" s="12">
        <f>+'29'!G334+'30'!G334+'31'!G334</f>
        <v>645195.4</v>
      </c>
      <c r="H334" s="12">
        <f>+'29'!H334+'30'!H334+'31'!H334</f>
        <v>480</v>
      </c>
      <c r="I334" s="271"/>
      <c r="J334" s="514">
        <f>+'29'!J334+'30'!J334+'31'!J334</f>
        <v>0</v>
      </c>
      <c r="K334" s="12">
        <f>+'29'!K334+'30'!K334+'31'!K334</f>
        <v>0</v>
      </c>
      <c r="L334" s="12">
        <f>+'29'!L334+'30'!L334+'31'!L334</f>
        <v>0</v>
      </c>
      <c r="M334" s="271"/>
      <c r="N334" s="514">
        <f>+'29'!N334+'30'!N334+'31'!N334</f>
        <v>16</v>
      </c>
      <c r="O334" s="12">
        <f>+'29'!O334+'30'!O334+'31'!O334</f>
        <v>645195.4</v>
      </c>
      <c r="P334" s="12">
        <f>+'29'!P334+'30'!P334+'31'!P334</f>
        <v>480</v>
      </c>
      <c r="Q334" s="532"/>
      <c r="R334" s="270">
        <v>16</v>
      </c>
      <c r="S334" s="12">
        <v>644715.4</v>
      </c>
      <c r="T334" s="12">
        <v>480</v>
      </c>
      <c r="U334" s="271"/>
      <c r="V334" s="533">
        <f t="shared" si="41"/>
        <v>0</v>
      </c>
      <c r="W334" s="533">
        <f t="shared" si="42"/>
        <v>480</v>
      </c>
      <c r="X334" s="257"/>
      <c r="Y334" s="261">
        <f t="shared" si="43"/>
        <v>0</v>
      </c>
      <c r="Z334" s="12">
        <f t="shared" si="44"/>
        <v>480</v>
      </c>
      <c r="AB334" s="13">
        <f t="shared" si="40"/>
        <v>645195.4</v>
      </c>
      <c r="AF334" s="13">
        <f t="shared" si="45"/>
        <v>645195.4</v>
      </c>
      <c r="AM334" s="12">
        <f t="shared" si="46"/>
        <v>0</v>
      </c>
      <c r="AN334" s="13">
        <f t="shared" si="47"/>
        <v>645195.4</v>
      </c>
    </row>
    <row r="335" spans="1:40" x14ac:dyDescent="0.25">
      <c r="A335">
        <v>330</v>
      </c>
      <c r="B335" t="s">
        <v>354</v>
      </c>
      <c r="C335" t="s">
        <v>355</v>
      </c>
      <c r="D335" t="s">
        <v>16</v>
      </c>
      <c r="F335" s="514">
        <f>+'29'!F335+'30'!F335+'31'!F335</f>
        <v>0</v>
      </c>
      <c r="G335" s="12">
        <f>+'29'!G335+'30'!G335+'31'!G335</f>
        <v>0</v>
      </c>
      <c r="H335" s="12">
        <f>+'29'!H335+'30'!H335+'31'!H335</f>
        <v>0</v>
      </c>
      <c r="I335" s="271"/>
      <c r="J335" s="514">
        <f>+'29'!J335+'30'!J335+'31'!J335</f>
        <v>0</v>
      </c>
      <c r="K335" s="12">
        <f>+'29'!K335+'30'!K335+'31'!K335</f>
        <v>0</v>
      </c>
      <c r="L335" s="12">
        <f>+'29'!L335+'30'!L335+'31'!L335</f>
        <v>0</v>
      </c>
      <c r="M335" s="271"/>
      <c r="N335" s="514">
        <f>+'29'!N335+'30'!N335+'31'!N335</f>
        <v>0</v>
      </c>
      <c r="O335" s="12">
        <f>+'29'!O335+'30'!O335+'31'!O335</f>
        <v>0</v>
      </c>
      <c r="P335" s="12">
        <f>+'29'!P335+'30'!P335+'31'!P335</f>
        <v>0</v>
      </c>
      <c r="Q335" s="532"/>
      <c r="R335" s="270">
        <v>0</v>
      </c>
      <c r="S335" s="12">
        <v>0</v>
      </c>
      <c r="T335" s="12">
        <v>0</v>
      </c>
      <c r="U335" s="271"/>
      <c r="V335" s="533">
        <f t="shared" si="41"/>
        <v>0</v>
      </c>
      <c r="W335" s="533">
        <f t="shared" si="42"/>
        <v>0</v>
      </c>
      <c r="X335" s="257"/>
      <c r="Y335" s="261">
        <f t="shared" si="43"/>
        <v>0</v>
      </c>
      <c r="Z335" s="12">
        <f t="shared" si="44"/>
        <v>0</v>
      </c>
      <c r="AB335" s="13">
        <f t="shared" si="40"/>
        <v>0</v>
      </c>
      <c r="AF335" s="13">
        <f t="shared" si="45"/>
        <v>0</v>
      </c>
      <c r="AM335" s="12">
        <f t="shared" si="46"/>
        <v>0</v>
      </c>
      <c r="AN335" s="13">
        <f t="shared" si="47"/>
        <v>0</v>
      </c>
    </row>
    <row r="336" spans="1:40" x14ac:dyDescent="0.25">
      <c r="A336">
        <v>331</v>
      </c>
      <c r="B336" t="s">
        <v>360</v>
      </c>
      <c r="C336" t="s">
        <v>25</v>
      </c>
      <c r="D336" t="s">
        <v>16</v>
      </c>
      <c r="F336" s="514">
        <f>+'29'!F336+'30'!F336+'31'!F336</f>
        <v>0</v>
      </c>
      <c r="G336" s="12">
        <f>+'29'!G336+'30'!G336+'31'!G336</f>
        <v>0</v>
      </c>
      <c r="H336" s="12">
        <f>+'29'!H336+'30'!H336+'31'!H336</f>
        <v>0</v>
      </c>
      <c r="I336" s="271"/>
      <c r="J336" s="514">
        <f>+'29'!J336+'30'!J336+'31'!J336</f>
        <v>0</v>
      </c>
      <c r="K336" s="12">
        <f>+'29'!K336+'30'!K336+'31'!K336</f>
        <v>0</v>
      </c>
      <c r="L336" s="12">
        <f>+'29'!L336+'30'!L336+'31'!L336</f>
        <v>0</v>
      </c>
      <c r="M336" s="271"/>
      <c r="N336" s="514">
        <f>+'29'!N336+'30'!N336+'31'!N336</f>
        <v>0</v>
      </c>
      <c r="O336" s="12">
        <f>+'29'!O336+'30'!O336+'31'!O336</f>
        <v>0</v>
      </c>
      <c r="P336" s="12">
        <f>+'29'!P336+'30'!P336+'31'!P336</f>
        <v>0</v>
      </c>
      <c r="Q336" s="532"/>
      <c r="R336" s="270">
        <v>0</v>
      </c>
      <c r="S336" s="12">
        <v>0</v>
      </c>
      <c r="T336" s="12">
        <v>0</v>
      </c>
      <c r="U336" s="271"/>
      <c r="V336" s="533">
        <f t="shared" si="41"/>
        <v>0</v>
      </c>
      <c r="W336" s="533">
        <f t="shared" si="42"/>
        <v>0</v>
      </c>
      <c r="X336" s="257"/>
      <c r="Y336" s="261">
        <f t="shared" si="43"/>
        <v>0</v>
      </c>
      <c r="Z336" s="12">
        <f t="shared" si="44"/>
        <v>0</v>
      </c>
      <c r="AB336" s="13">
        <f t="shared" si="40"/>
        <v>0</v>
      </c>
      <c r="AF336" s="13">
        <f t="shared" si="45"/>
        <v>0</v>
      </c>
      <c r="AG336" s="16"/>
      <c r="AM336" s="12">
        <f t="shared" si="46"/>
        <v>0</v>
      </c>
      <c r="AN336" s="13">
        <f t="shared" si="47"/>
        <v>0</v>
      </c>
    </row>
    <row r="337" spans="1:40" x14ac:dyDescent="0.25">
      <c r="A337">
        <v>332</v>
      </c>
      <c r="B337" t="s">
        <v>361</v>
      </c>
      <c r="C337" t="s">
        <v>355</v>
      </c>
      <c r="D337" t="s">
        <v>16</v>
      </c>
      <c r="F337" s="514">
        <f>+'29'!F337+'30'!F337+'31'!F337</f>
        <v>0</v>
      </c>
      <c r="G337" s="12">
        <f>+'29'!G337+'30'!G337+'31'!G337</f>
        <v>0</v>
      </c>
      <c r="H337" s="12">
        <f>+'29'!H337+'30'!H337+'31'!H337</f>
        <v>0</v>
      </c>
      <c r="I337" s="271"/>
      <c r="J337" s="514">
        <f>+'29'!J337+'30'!J337+'31'!J337</f>
        <v>0</v>
      </c>
      <c r="K337" s="12">
        <f>+'29'!K337+'30'!K337+'31'!K337</f>
        <v>0</v>
      </c>
      <c r="L337" s="12">
        <f>+'29'!L337+'30'!L337+'31'!L337</f>
        <v>0</v>
      </c>
      <c r="M337" s="271"/>
      <c r="N337" s="514">
        <f>+'29'!N337+'30'!N337+'31'!N337</f>
        <v>0</v>
      </c>
      <c r="O337" s="12">
        <f>+'29'!O337+'30'!O337+'31'!O337</f>
        <v>0</v>
      </c>
      <c r="P337" s="12">
        <f>+'29'!P337+'30'!P337+'31'!P337</f>
        <v>0</v>
      </c>
      <c r="Q337" s="532"/>
      <c r="R337" s="270">
        <v>0</v>
      </c>
      <c r="S337" s="12">
        <v>0</v>
      </c>
      <c r="T337" s="12">
        <v>0</v>
      </c>
      <c r="U337" s="271"/>
      <c r="V337" s="533">
        <f t="shared" si="41"/>
        <v>0</v>
      </c>
      <c r="W337" s="533">
        <f t="shared" si="42"/>
        <v>0</v>
      </c>
      <c r="X337" s="257"/>
      <c r="Y337" s="261">
        <f t="shared" si="43"/>
        <v>0</v>
      </c>
      <c r="Z337" s="12">
        <f t="shared" si="44"/>
        <v>0</v>
      </c>
      <c r="AB337" s="13">
        <f t="shared" si="40"/>
        <v>0</v>
      </c>
      <c r="AF337" s="13">
        <f t="shared" si="45"/>
        <v>0</v>
      </c>
      <c r="AH337" s="33"/>
      <c r="AM337" s="12">
        <f t="shared" si="46"/>
        <v>0</v>
      </c>
      <c r="AN337" s="13">
        <f t="shared" si="47"/>
        <v>0</v>
      </c>
    </row>
    <row r="338" spans="1:40" x14ac:dyDescent="0.25">
      <c r="A338">
        <v>333</v>
      </c>
      <c r="B338" t="s">
        <v>362</v>
      </c>
      <c r="C338" t="s">
        <v>15</v>
      </c>
      <c r="D338" t="s">
        <v>45</v>
      </c>
      <c r="F338" s="514">
        <f>+'29'!F338+'30'!F338+'31'!F338</f>
        <v>50</v>
      </c>
      <c r="G338" s="12">
        <f>+'29'!G338+'30'!G338+'31'!G338</f>
        <v>865972</v>
      </c>
      <c r="H338" s="12">
        <f>+'29'!H338+'30'!H338+'31'!H338</f>
        <v>1600</v>
      </c>
      <c r="I338" s="271"/>
      <c r="J338" s="514">
        <f>+'29'!J338+'30'!J338+'31'!J338</f>
        <v>0</v>
      </c>
      <c r="K338" s="12">
        <f>+'29'!K338+'30'!K338+'31'!K338</f>
        <v>0</v>
      </c>
      <c r="L338" s="12">
        <f>+'29'!L338+'30'!L338+'31'!L338</f>
        <v>0</v>
      </c>
      <c r="M338" s="271"/>
      <c r="N338" s="514">
        <f>+'29'!N338+'30'!N338+'31'!N338</f>
        <v>50</v>
      </c>
      <c r="O338" s="12">
        <f>+'29'!O338+'30'!O338+'31'!O338</f>
        <v>865972</v>
      </c>
      <c r="P338" s="12">
        <f>+'29'!P338+'30'!P338+'31'!P338</f>
        <v>1600</v>
      </c>
      <c r="Q338" s="532"/>
      <c r="R338" s="270">
        <v>50</v>
      </c>
      <c r="S338" s="12">
        <v>865972</v>
      </c>
      <c r="T338" s="12">
        <v>0</v>
      </c>
      <c r="U338" s="271"/>
      <c r="V338" s="533">
        <f t="shared" si="41"/>
        <v>0</v>
      </c>
      <c r="W338" s="533">
        <f t="shared" si="42"/>
        <v>0</v>
      </c>
      <c r="X338" s="257"/>
      <c r="Y338" s="261">
        <f t="shared" si="43"/>
        <v>0</v>
      </c>
      <c r="Z338" s="12">
        <f t="shared" si="44"/>
        <v>0</v>
      </c>
      <c r="AB338" s="13">
        <f t="shared" si="40"/>
        <v>865972</v>
      </c>
      <c r="AD338" s="16">
        <v>21852.68</v>
      </c>
      <c r="AF338" s="13">
        <f t="shared" si="45"/>
        <v>844119.32</v>
      </c>
      <c r="AG338" s="16">
        <v>20993.303571428572</v>
      </c>
      <c r="AH338" s="33"/>
      <c r="AM338" s="12">
        <f t="shared" si="46"/>
        <v>20993.303571428572</v>
      </c>
      <c r="AN338" s="13">
        <f t="shared" si="47"/>
        <v>823126.01642857143</v>
      </c>
    </row>
    <row r="339" spans="1:40" x14ac:dyDescent="0.25">
      <c r="A339">
        <v>334</v>
      </c>
      <c r="B339" t="s">
        <v>363</v>
      </c>
      <c r="C339" t="s">
        <v>15</v>
      </c>
      <c r="D339" t="s">
        <v>45</v>
      </c>
      <c r="F339" s="514">
        <f>+'29'!F339+'30'!F339+'31'!F339</f>
        <v>2</v>
      </c>
      <c r="G339" s="12">
        <f>+'29'!G339+'30'!G339+'31'!G339</f>
        <v>6767</v>
      </c>
      <c r="H339" s="12">
        <f>+'29'!H339+'30'!H339+'31'!H339</f>
        <v>50</v>
      </c>
      <c r="I339" s="271"/>
      <c r="J339" s="514">
        <f>+'29'!J339+'30'!J339+'31'!J339</f>
        <v>0</v>
      </c>
      <c r="K339" s="12">
        <f>+'29'!K339+'30'!K339+'31'!K339</f>
        <v>0</v>
      </c>
      <c r="L339" s="12">
        <f>+'29'!L339+'30'!L339+'31'!L339</f>
        <v>0</v>
      </c>
      <c r="M339" s="271"/>
      <c r="N339" s="514">
        <f>+'29'!N339+'30'!N339+'31'!N339</f>
        <v>2</v>
      </c>
      <c r="O339" s="12">
        <f>+'29'!O339+'30'!O339+'31'!O339</f>
        <v>6767</v>
      </c>
      <c r="P339" s="12">
        <f>+'29'!P339+'30'!P339+'31'!P339</f>
        <v>50</v>
      </c>
      <c r="Q339" s="532"/>
      <c r="R339" s="270">
        <v>2</v>
      </c>
      <c r="S339" s="12">
        <v>6767</v>
      </c>
      <c r="T339" s="12">
        <v>0</v>
      </c>
      <c r="U339" s="271"/>
      <c r="V339" s="533">
        <f t="shared" si="41"/>
        <v>0</v>
      </c>
      <c r="W339" s="533">
        <f t="shared" si="42"/>
        <v>0</v>
      </c>
      <c r="X339" s="257"/>
      <c r="Y339" s="261">
        <f t="shared" si="43"/>
        <v>0</v>
      </c>
      <c r="Z339" s="12">
        <f t="shared" si="44"/>
        <v>0</v>
      </c>
      <c r="AB339" s="13">
        <f t="shared" si="40"/>
        <v>6767</v>
      </c>
      <c r="AD339" s="16">
        <v>810.27</v>
      </c>
      <c r="AF339" s="13">
        <f t="shared" si="45"/>
        <v>5956.73</v>
      </c>
      <c r="AG339" s="16">
        <v>687.5</v>
      </c>
      <c r="AM339" s="12">
        <f t="shared" si="46"/>
        <v>687.5</v>
      </c>
      <c r="AN339" s="13">
        <f t="shared" si="47"/>
        <v>5269.23</v>
      </c>
    </row>
    <row r="340" spans="1:40" x14ac:dyDescent="0.25">
      <c r="A340">
        <v>335</v>
      </c>
      <c r="B340" t="s">
        <v>364</v>
      </c>
      <c r="C340" t="s">
        <v>25</v>
      </c>
      <c r="D340" t="s">
        <v>16</v>
      </c>
      <c r="F340" s="514">
        <f>+'29'!F340+'30'!F340+'31'!F340</f>
        <v>0</v>
      </c>
      <c r="G340" s="12">
        <f>+'29'!G340+'30'!G340+'31'!G340</f>
        <v>0</v>
      </c>
      <c r="H340" s="12">
        <f>+'29'!H340+'30'!H340+'31'!H340</f>
        <v>0</v>
      </c>
      <c r="I340" s="271"/>
      <c r="J340" s="514">
        <f>+'29'!J340+'30'!J340+'31'!J340</f>
        <v>0</v>
      </c>
      <c r="K340" s="12">
        <f>+'29'!K340+'30'!K340+'31'!K340</f>
        <v>0</v>
      </c>
      <c r="L340" s="12">
        <f>+'29'!L340+'30'!L340+'31'!L340</f>
        <v>0</v>
      </c>
      <c r="M340" s="271"/>
      <c r="N340" s="514">
        <f>+'29'!N340+'30'!N340+'31'!N340</f>
        <v>0</v>
      </c>
      <c r="O340" s="12">
        <f>+'29'!O340+'30'!O340+'31'!O340</f>
        <v>0</v>
      </c>
      <c r="P340" s="12">
        <f>+'29'!P340+'30'!P340+'31'!P340</f>
        <v>0</v>
      </c>
      <c r="Q340" s="532"/>
      <c r="R340" s="270">
        <v>0</v>
      </c>
      <c r="S340" s="12">
        <v>0</v>
      </c>
      <c r="T340" s="12">
        <v>0</v>
      </c>
      <c r="U340" s="271"/>
      <c r="V340" s="533">
        <f t="shared" si="41"/>
        <v>0</v>
      </c>
      <c r="W340" s="533">
        <f t="shared" si="42"/>
        <v>0</v>
      </c>
      <c r="X340" s="257"/>
      <c r="Y340" s="261">
        <f t="shared" si="43"/>
        <v>0</v>
      </c>
      <c r="Z340" s="12">
        <f t="shared" si="44"/>
        <v>0</v>
      </c>
      <c r="AB340" s="13">
        <f t="shared" si="40"/>
        <v>0</v>
      </c>
      <c r="AF340" s="13">
        <f t="shared" si="45"/>
        <v>0</v>
      </c>
      <c r="AM340" s="12">
        <f t="shared" si="46"/>
        <v>0</v>
      </c>
      <c r="AN340" s="13">
        <f t="shared" si="47"/>
        <v>0</v>
      </c>
    </row>
    <row r="341" spans="1:40" x14ac:dyDescent="0.25">
      <c r="A341">
        <v>336</v>
      </c>
      <c r="B341" t="s">
        <v>365</v>
      </c>
      <c r="C341" t="s">
        <v>366</v>
      </c>
      <c r="D341" t="s">
        <v>16</v>
      </c>
      <c r="F341" s="514">
        <f>+'29'!F341+'30'!F341+'31'!F341</f>
        <v>5</v>
      </c>
      <c r="G341" s="12">
        <f>+'29'!G341+'30'!G341+'31'!G341</f>
        <v>29500</v>
      </c>
      <c r="H341" s="12">
        <f>+'29'!H341+'30'!H341+'31'!H341</f>
        <v>110</v>
      </c>
      <c r="I341" s="271"/>
      <c r="J341" s="514">
        <f>+'29'!J341+'30'!J341+'31'!J341</f>
        <v>0</v>
      </c>
      <c r="K341" s="12">
        <f>+'29'!K341+'30'!K341+'31'!K341</f>
        <v>0</v>
      </c>
      <c r="L341" s="12">
        <f>+'29'!L341+'30'!L341+'31'!L341</f>
        <v>0</v>
      </c>
      <c r="M341" s="271"/>
      <c r="N341" s="514">
        <f>+'29'!N341+'30'!N341+'31'!N341</f>
        <v>5</v>
      </c>
      <c r="O341" s="12">
        <f>+'29'!O341+'30'!O341+'31'!O341</f>
        <v>29500</v>
      </c>
      <c r="P341" s="12">
        <f>+'29'!P341+'30'!P341+'31'!P341</f>
        <v>110</v>
      </c>
      <c r="Q341" s="532"/>
      <c r="R341" s="270">
        <v>5</v>
      </c>
      <c r="S341" s="12">
        <v>5985</v>
      </c>
      <c r="T341" s="12">
        <v>0</v>
      </c>
      <c r="U341" s="271"/>
      <c r="V341" s="533">
        <f t="shared" si="41"/>
        <v>0</v>
      </c>
      <c r="W341" s="533">
        <f t="shared" si="42"/>
        <v>23515</v>
      </c>
      <c r="X341" s="257"/>
      <c r="Y341" s="261">
        <f t="shared" si="43"/>
        <v>0</v>
      </c>
      <c r="Z341" s="12">
        <f t="shared" si="44"/>
        <v>23515</v>
      </c>
      <c r="AB341" s="13">
        <f t="shared" si="40"/>
        <v>29500</v>
      </c>
      <c r="AF341" s="13">
        <f t="shared" si="45"/>
        <v>29500</v>
      </c>
      <c r="AM341" s="12">
        <f t="shared" si="46"/>
        <v>0</v>
      </c>
      <c r="AN341" s="13">
        <f t="shared" si="47"/>
        <v>29500</v>
      </c>
    </row>
    <row r="342" spans="1:40" x14ac:dyDescent="0.25">
      <c r="A342">
        <v>337</v>
      </c>
      <c r="B342" t="s">
        <v>367</v>
      </c>
      <c r="C342" t="s">
        <v>51</v>
      </c>
      <c r="D342" t="s">
        <v>16</v>
      </c>
      <c r="F342" s="514">
        <f>+'29'!F342+'30'!F342+'31'!F342</f>
        <v>14</v>
      </c>
      <c r="G342" s="12">
        <f>+'29'!G342+'30'!G342+'31'!G342</f>
        <v>1580070</v>
      </c>
      <c r="H342" s="12">
        <f>+'29'!H342+'30'!H342+'31'!H342</f>
        <v>3350</v>
      </c>
      <c r="I342" s="271"/>
      <c r="J342" s="514">
        <f>+'29'!J342+'30'!J342+'31'!J342</f>
        <v>0</v>
      </c>
      <c r="K342" s="12">
        <f>+'29'!K342+'30'!K342+'31'!K342</f>
        <v>0</v>
      </c>
      <c r="L342" s="12">
        <f>+'29'!L342+'30'!L342+'31'!L342</f>
        <v>0</v>
      </c>
      <c r="M342" s="271"/>
      <c r="N342" s="514">
        <f>+'29'!N342+'30'!N342+'31'!N342</f>
        <v>14</v>
      </c>
      <c r="O342" s="12">
        <f>+'29'!O342+'30'!O342+'31'!O342</f>
        <v>1580070</v>
      </c>
      <c r="P342" s="12">
        <f>+'29'!P342+'30'!P342+'31'!P342</f>
        <v>3350</v>
      </c>
      <c r="Q342" s="532"/>
      <c r="R342" s="270">
        <v>14</v>
      </c>
      <c r="S342" s="12">
        <v>1580070</v>
      </c>
      <c r="T342" s="12">
        <v>0</v>
      </c>
      <c r="U342" s="271"/>
      <c r="V342" s="533">
        <f t="shared" si="41"/>
        <v>0</v>
      </c>
      <c r="W342" s="533">
        <f t="shared" si="42"/>
        <v>0</v>
      </c>
      <c r="X342" s="257"/>
      <c r="Y342" s="261">
        <f t="shared" si="43"/>
        <v>0</v>
      </c>
      <c r="Z342" s="12">
        <f t="shared" si="44"/>
        <v>0</v>
      </c>
      <c r="AB342" s="13">
        <f t="shared" si="40"/>
        <v>1580070</v>
      </c>
      <c r="AF342" s="13">
        <f t="shared" si="45"/>
        <v>1580070</v>
      </c>
      <c r="AM342" s="12">
        <f t="shared" si="46"/>
        <v>0</v>
      </c>
      <c r="AN342" s="13">
        <f t="shared" si="47"/>
        <v>1580070</v>
      </c>
    </row>
    <row r="343" spans="1:40" x14ac:dyDescent="0.25">
      <c r="A343">
        <v>338</v>
      </c>
      <c r="B343" t="s">
        <v>368</v>
      </c>
      <c r="C343" t="s">
        <v>25</v>
      </c>
      <c r="D343" t="s">
        <v>369</v>
      </c>
      <c r="F343" s="514">
        <f>+'29'!F343+'30'!F343+'31'!F343</f>
        <v>671</v>
      </c>
      <c r="G343" s="12">
        <f>+'29'!G343+'30'!G343+'31'!G343</f>
        <v>1368831.3399999999</v>
      </c>
      <c r="H343" s="12">
        <f>+'29'!H343+'30'!H343+'31'!H343</f>
        <v>6039</v>
      </c>
      <c r="I343" s="271"/>
      <c r="J343" s="514">
        <f>+'29'!J343+'30'!J343+'31'!J343</f>
        <v>0</v>
      </c>
      <c r="K343" s="12">
        <f>+'29'!K343+'30'!K343+'31'!K343</f>
        <v>0</v>
      </c>
      <c r="L343" s="12">
        <f>+'29'!L343+'30'!L343+'31'!L343</f>
        <v>0</v>
      </c>
      <c r="M343" s="271"/>
      <c r="N343" s="514">
        <f>+'29'!N343+'30'!N343+'31'!N343</f>
        <v>671</v>
      </c>
      <c r="O343" s="12">
        <f>+'29'!O343+'30'!O343+'31'!O343</f>
        <v>1368831.3399999999</v>
      </c>
      <c r="P343" s="12">
        <f>+'29'!P343+'30'!P343+'31'!P343</f>
        <v>6039</v>
      </c>
      <c r="Q343" s="532"/>
      <c r="R343" s="270">
        <v>671</v>
      </c>
      <c r="S343" s="12">
        <v>1368831.3399999999</v>
      </c>
      <c r="T343" s="12">
        <v>0</v>
      </c>
      <c r="U343" s="271"/>
      <c r="V343" s="533">
        <f t="shared" si="41"/>
        <v>0</v>
      </c>
      <c r="W343" s="533">
        <f t="shared" si="42"/>
        <v>0</v>
      </c>
      <c r="X343" s="257"/>
      <c r="Y343" s="261">
        <f t="shared" si="43"/>
        <v>0</v>
      </c>
      <c r="Z343" s="12">
        <f t="shared" si="44"/>
        <v>0</v>
      </c>
      <c r="AB343" s="13">
        <f t="shared" si="40"/>
        <v>1368831.3399999999</v>
      </c>
      <c r="AF343" s="13">
        <f t="shared" si="45"/>
        <v>1368831.3399999999</v>
      </c>
      <c r="AM343" s="12">
        <f t="shared" si="46"/>
        <v>0</v>
      </c>
      <c r="AN343" s="13">
        <f t="shared" si="47"/>
        <v>1368831.3399999999</v>
      </c>
    </row>
    <row r="344" spans="1:40" x14ac:dyDescent="0.25">
      <c r="A344">
        <v>339</v>
      </c>
      <c r="B344" t="s">
        <v>370</v>
      </c>
      <c r="D344" t="s">
        <v>43</v>
      </c>
      <c r="F344" s="514">
        <f>+'29'!F344+'30'!F344+'31'!F344</f>
        <v>1</v>
      </c>
      <c r="G344" s="12">
        <f>+'29'!G344+'30'!G344+'31'!G344</f>
        <v>688.68</v>
      </c>
      <c r="H344" s="12">
        <f>+'29'!H344+'30'!H344+'31'!H344</f>
        <v>7</v>
      </c>
      <c r="I344" s="271"/>
      <c r="J344" s="514">
        <f>+'29'!J344+'30'!J344+'31'!J344</f>
        <v>0</v>
      </c>
      <c r="K344" s="12">
        <f>+'29'!K344+'30'!K344+'31'!K344</f>
        <v>0</v>
      </c>
      <c r="L344" s="12">
        <f>+'29'!L344+'30'!L344+'31'!L344</f>
        <v>0</v>
      </c>
      <c r="M344" s="271"/>
      <c r="N344" s="514">
        <f>+'29'!N344+'30'!N344+'31'!N344</f>
        <v>1</v>
      </c>
      <c r="O344" s="12">
        <f>+'29'!O344+'30'!O344+'31'!O344</f>
        <v>688.68</v>
      </c>
      <c r="P344" s="12">
        <f>+'29'!P344+'30'!P344+'31'!P344</f>
        <v>7</v>
      </c>
      <c r="Q344" s="532"/>
      <c r="R344" s="270">
        <v>1</v>
      </c>
      <c r="S344" s="12">
        <v>688.68</v>
      </c>
      <c r="T344" s="12">
        <v>0</v>
      </c>
      <c r="U344" s="271"/>
      <c r="V344" s="533">
        <f t="shared" si="41"/>
        <v>0</v>
      </c>
      <c r="W344" s="533">
        <f t="shared" si="42"/>
        <v>0</v>
      </c>
      <c r="X344" s="257"/>
      <c r="Y344" s="261">
        <f t="shared" si="43"/>
        <v>0</v>
      </c>
      <c r="Z344" s="12">
        <f t="shared" si="44"/>
        <v>0</v>
      </c>
      <c r="AB344" s="13">
        <f t="shared" si="40"/>
        <v>688.68</v>
      </c>
      <c r="AD344" s="16">
        <v>474.48</v>
      </c>
      <c r="AF344" s="13">
        <f t="shared" si="45"/>
        <v>214.19999999999993</v>
      </c>
      <c r="AG344" s="16">
        <v>137.5</v>
      </c>
      <c r="AM344" s="12">
        <f t="shared" si="46"/>
        <v>137.5</v>
      </c>
      <c r="AN344" s="13">
        <f t="shared" si="47"/>
        <v>76.699999999999932</v>
      </c>
    </row>
    <row r="345" spans="1:40" x14ac:dyDescent="0.25">
      <c r="A345">
        <v>340</v>
      </c>
      <c r="B345" t="s">
        <v>371</v>
      </c>
      <c r="C345" t="s">
        <v>136</v>
      </c>
      <c r="D345" t="s">
        <v>87</v>
      </c>
      <c r="F345" s="514">
        <f>+'29'!F345+'30'!F345+'31'!F345</f>
        <v>1120</v>
      </c>
      <c r="G345" s="12">
        <f>+'29'!G345+'30'!G345+'31'!G345</f>
        <v>18460133.670000002</v>
      </c>
      <c r="H345" s="12">
        <f>+'29'!H345+'30'!H345+'31'!H345</f>
        <v>44920</v>
      </c>
      <c r="I345" s="271"/>
      <c r="J345" s="514">
        <f>+'29'!J345+'30'!J345+'31'!J345</f>
        <v>0</v>
      </c>
      <c r="K345" s="12">
        <f>+'29'!K345+'30'!K345+'31'!K345</f>
        <v>0</v>
      </c>
      <c r="L345" s="12">
        <f>+'29'!L345+'30'!L345+'31'!L345</f>
        <v>0</v>
      </c>
      <c r="M345" s="271"/>
      <c r="N345" s="514">
        <f>+'29'!N345+'30'!N345+'31'!N345</f>
        <v>1120</v>
      </c>
      <c r="O345" s="12">
        <f>+'29'!O345+'30'!O345+'31'!O345</f>
        <v>18460133.670000002</v>
      </c>
      <c r="P345" s="12">
        <f>+'29'!P345+'30'!P345+'31'!P345</f>
        <v>44920</v>
      </c>
      <c r="Q345" s="532"/>
      <c r="R345" s="270">
        <v>1120</v>
      </c>
      <c r="S345" s="12">
        <v>18415213.670000002</v>
      </c>
      <c r="T345" s="12">
        <v>44920</v>
      </c>
      <c r="U345" s="271"/>
      <c r="V345" s="533">
        <f t="shared" si="41"/>
        <v>0</v>
      </c>
      <c r="W345" s="533">
        <f t="shared" si="42"/>
        <v>44920</v>
      </c>
      <c r="X345" s="257"/>
      <c r="Y345" s="261">
        <f t="shared" si="43"/>
        <v>0</v>
      </c>
      <c r="Z345" s="12">
        <f t="shared" si="44"/>
        <v>44920</v>
      </c>
      <c r="AB345" s="13">
        <f t="shared" si="40"/>
        <v>18460133.670000002</v>
      </c>
      <c r="AF345" s="13">
        <f t="shared" si="45"/>
        <v>18460133.670000002</v>
      </c>
      <c r="AG345" s="16"/>
      <c r="AM345" s="12">
        <f t="shared" si="46"/>
        <v>0</v>
      </c>
      <c r="AN345" s="13">
        <f t="shared" si="47"/>
        <v>18460133.670000002</v>
      </c>
    </row>
    <row r="346" spans="1:40" x14ac:dyDescent="0.25">
      <c r="A346">
        <v>341</v>
      </c>
      <c r="B346" t="s">
        <v>372</v>
      </c>
      <c r="C346" t="s">
        <v>24</v>
      </c>
      <c r="D346" t="s">
        <v>16</v>
      </c>
      <c r="F346" s="514">
        <f>+'29'!F346+'30'!F346+'31'!F346</f>
        <v>64</v>
      </c>
      <c r="G346" s="12">
        <f>+'29'!G346+'30'!G346+'31'!G346</f>
        <v>3845721.3899999997</v>
      </c>
      <c r="H346" s="12">
        <f>+'29'!H346+'30'!H346+'31'!H346</f>
        <v>2450</v>
      </c>
      <c r="I346" s="271"/>
      <c r="J346" s="514">
        <f>+'29'!J346+'30'!J346+'31'!J346</f>
        <v>0</v>
      </c>
      <c r="K346" s="12">
        <f>+'29'!K346+'30'!K346+'31'!K346</f>
        <v>0</v>
      </c>
      <c r="L346" s="12">
        <f>+'29'!L346+'30'!L346+'31'!L346</f>
        <v>0</v>
      </c>
      <c r="M346" s="271"/>
      <c r="N346" s="514">
        <f>+'29'!N346+'30'!N346+'31'!N346</f>
        <v>64</v>
      </c>
      <c r="O346" s="12">
        <f>+'29'!O346+'30'!O346+'31'!O346</f>
        <v>3845721.3899999997</v>
      </c>
      <c r="P346" s="12">
        <f>+'29'!P346+'30'!P346+'31'!P346</f>
        <v>2450</v>
      </c>
      <c r="Q346" s="532"/>
      <c r="R346" s="270">
        <v>64</v>
      </c>
      <c r="S346" s="12">
        <v>3845721.39</v>
      </c>
      <c r="T346" s="12">
        <v>0</v>
      </c>
      <c r="U346" s="271"/>
      <c r="V346" s="533">
        <f t="shared" si="41"/>
        <v>0</v>
      </c>
      <c r="W346" s="533">
        <f t="shared" si="42"/>
        <v>0</v>
      </c>
      <c r="X346" s="257"/>
      <c r="Y346" s="261">
        <f t="shared" si="43"/>
        <v>0</v>
      </c>
      <c r="Z346" s="12">
        <f t="shared" si="44"/>
        <v>0</v>
      </c>
      <c r="AB346" s="13">
        <f t="shared" si="40"/>
        <v>3845721.3899999997</v>
      </c>
      <c r="AD346" s="16"/>
      <c r="AF346" s="13">
        <f t="shared" si="45"/>
        <v>3845721.3899999997</v>
      </c>
      <c r="AG346" s="16"/>
      <c r="AM346" s="12">
        <f t="shared" si="46"/>
        <v>0</v>
      </c>
      <c r="AN346" s="13">
        <f t="shared" si="47"/>
        <v>3845721.3899999997</v>
      </c>
    </row>
    <row r="347" spans="1:40" x14ac:dyDescent="0.25">
      <c r="A347">
        <v>342</v>
      </c>
      <c r="B347" t="s">
        <v>373</v>
      </c>
      <c r="C347" t="s">
        <v>366</v>
      </c>
      <c r="D347" t="s">
        <v>16</v>
      </c>
      <c r="F347" s="514">
        <f>+'29'!F347+'30'!F347+'31'!F347</f>
        <v>1</v>
      </c>
      <c r="G347" s="12">
        <f>+'29'!G347+'30'!G347+'31'!G347</f>
        <v>8000</v>
      </c>
      <c r="H347" s="12">
        <f>+'29'!H347+'30'!H347+'31'!H347</f>
        <v>15</v>
      </c>
      <c r="I347" s="271"/>
      <c r="J347" s="514">
        <f>+'29'!J347+'30'!J347+'31'!J347</f>
        <v>0</v>
      </c>
      <c r="K347" s="12">
        <f>+'29'!K347+'30'!K347+'31'!K347</f>
        <v>0</v>
      </c>
      <c r="L347" s="12">
        <f>+'29'!L347+'30'!L347+'31'!L347</f>
        <v>0</v>
      </c>
      <c r="M347" s="271"/>
      <c r="N347" s="514">
        <f>+'29'!N347+'30'!N347+'31'!N347</f>
        <v>1</v>
      </c>
      <c r="O347" s="12">
        <f>+'29'!O347+'30'!O347+'31'!O347</f>
        <v>8000</v>
      </c>
      <c r="P347" s="12">
        <f>+'29'!P347+'30'!P347+'31'!P347</f>
        <v>15</v>
      </c>
      <c r="Q347" s="532"/>
      <c r="R347" s="270">
        <v>1</v>
      </c>
      <c r="S347" s="12">
        <v>8000</v>
      </c>
      <c r="T347" s="12">
        <v>0</v>
      </c>
      <c r="U347" s="271"/>
      <c r="V347" s="533">
        <f t="shared" si="41"/>
        <v>0</v>
      </c>
      <c r="W347" s="533">
        <f t="shared" si="42"/>
        <v>0</v>
      </c>
      <c r="X347" s="257"/>
      <c r="Y347" s="261">
        <f t="shared" si="43"/>
        <v>0</v>
      </c>
      <c r="Z347" s="12">
        <f t="shared" si="44"/>
        <v>0</v>
      </c>
      <c r="AB347" s="13">
        <f t="shared" si="40"/>
        <v>8000</v>
      </c>
      <c r="AF347" s="13">
        <f t="shared" si="45"/>
        <v>8000</v>
      </c>
      <c r="AG347" s="16"/>
      <c r="AM347" s="12">
        <f t="shared" si="46"/>
        <v>0</v>
      </c>
      <c r="AN347" s="13">
        <f t="shared" si="47"/>
        <v>8000</v>
      </c>
    </row>
    <row r="348" spans="1:40" x14ac:dyDescent="0.25">
      <c r="A348">
        <v>343</v>
      </c>
      <c r="B348" t="s">
        <v>374</v>
      </c>
      <c r="C348" t="s">
        <v>15</v>
      </c>
      <c r="D348" t="s">
        <v>20</v>
      </c>
      <c r="F348" s="514">
        <f>+'29'!F348+'30'!F348+'31'!F348</f>
        <v>27</v>
      </c>
      <c r="G348" s="12">
        <f>+'29'!G348+'30'!G348+'31'!G348</f>
        <v>548574.71999999997</v>
      </c>
      <c r="H348" s="12">
        <f>+'29'!H348+'30'!H348+'31'!H348</f>
        <v>1350</v>
      </c>
      <c r="I348" s="271"/>
      <c r="J348" s="514">
        <f>+'29'!J348+'30'!J348+'31'!J348</f>
        <v>0</v>
      </c>
      <c r="K348" s="12">
        <f>+'29'!K348+'30'!K348+'31'!K348</f>
        <v>0</v>
      </c>
      <c r="L348" s="12">
        <f>+'29'!L348+'30'!L348+'31'!L348</f>
        <v>0</v>
      </c>
      <c r="M348" s="271"/>
      <c r="N348" s="514">
        <f>+'29'!N348+'30'!N348+'31'!N348</f>
        <v>27</v>
      </c>
      <c r="O348" s="12">
        <f>+'29'!O348+'30'!O348+'31'!O348</f>
        <v>548574.71999999997</v>
      </c>
      <c r="P348" s="12">
        <f>+'29'!P348+'30'!P348+'31'!P348</f>
        <v>1350</v>
      </c>
      <c r="Q348" s="532"/>
      <c r="R348" s="270">
        <v>27</v>
      </c>
      <c r="S348" s="12">
        <v>547224.72</v>
      </c>
      <c r="T348" s="12">
        <v>1350</v>
      </c>
      <c r="U348" s="271"/>
      <c r="V348" s="533">
        <f t="shared" si="41"/>
        <v>0</v>
      </c>
      <c r="W348" s="533">
        <f t="shared" si="42"/>
        <v>1350</v>
      </c>
      <c r="X348" s="257"/>
      <c r="Y348" s="261">
        <f t="shared" si="43"/>
        <v>0</v>
      </c>
      <c r="Z348" s="12">
        <f t="shared" si="44"/>
        <v>1350</v>
      </c>
      <c r="AB348" s="13">
        <f t="shared" si="40"/>
        <v>548574.71999999997</v>
      </c>
      <c r="AF348" s="13">
        <f t="shared" si="45"/>
        <v>548574.71999999997</v>
      </c>
      <c r="AM348" s="12">
        <f t="shared" si="46"/>
        <v>0</v>
      </c>
      <c r="AN348" s="13">
        <f t="shared" si="47"/>
        <v>548574.71999999997</v>
      </c>
    </row>
    <row r="349" spans="1:40" x14ac:dyDescent="0.25">
      <c r="A349">
        <v>344</v>
      </c>
      <c r="B349" t="s">
        <v>2986</v>
      </c>
      <c r="C349" t="s">
        <v>355</v>
      </c>
      <c r="D349" t="s">
        <v>16</v>
      </c>
      <c r="F349" s="514">
        <f>+'29'!F349+'30'!F349+'31'!F349</f>
        <v>1</v>
      </c>
      <c r="G349" s="12">
        <f>+'29'!G349+'30'!G349+'31'!G349</f>
        <v>575</v>
      </c>
      <c r="H349" s="12">
        <f>+'29'!H349+'30'!H349+'31'!H349</f>
        <v>10</v>
      </c>
      <c r="I349" s="271"/>
      <c r="J349" s="514">
        <f>+'29'!J349+'30'!J349+'31'!J349</f>
        <v>0</v>
      </c>
      <c r="K349" s="12">
        <f>+'29'!K349+'30'!K349+'31'!K349</f>
        <v>0</v>
      </c>
      <c r="L349" s="12">
        <f>+'29'!L349+'30'!L349+'31'!L349</f>
        <v>0</v>
      </c>
      <c r="M349" s="271"/>
      <c r="N349" s="514">
        <f>+'29'!N349+'30'!N349+'31'!N349</f>
        <v>1</v>
      </c>
      <c r="O349" s="12">
        <f>+'29'!O349+'30'!O349+'31'!O349</f>
        <v>575</v>
      </c>
      <c r="P349" s="12">
        <f>+'29'!P349+'30'!P349+'31'!P349</f>
        <v>10</v>
      </c>
      <c r="Q349" s="532"/>
      <c r="R349" s="270">
        <v>1</v>
      </c>
      <c r="S349" s="12">
        <v>575</v>
      </c>
      <c r="T349" s="12">
        <v>0</v>
      </c>
      <c r="U349" s="271"/>
      <c r="V349" s="533">
        <f t="shared" si="41"/>
        <v>0</v>
      </c>
      <c r="W349" s="533">
        <f t="shared" si="42"/>
        <v>0</v>
      </c>
      <c r="X349" s="257"/>
      <c r="Y349" s="261">
        <f t="shared" si="43"/>
        <v>0</v>
      </c>
      <c r="Z349" s="12">
        <f t="shared" si="44"/>
        <v>0</v>
      </c>
      <c r="AB349" s="13">
        <f t="shared" si="40"/>
        <v>575</v>
      </c>
      <c r="AF349" s="13">
        <f t="shared" si="45"/>
        <v>575</v>
      </c>
      <c r="AM349" s="12">
        <f t="shared" si="46"/>
        <v>0</v>
      </c>
      <c r="AN349" s="13">
        <f t="shared" si="47"/>
        <v>575</v>
      </c>
    </row>
    <row r="350" spans="1:40" x14ac:dyDescent="0.25">
      <c r="A350">
        <v>345</v>
      </c>
      <c r="B350" t="s">
        <v>375</v>
      </c>
      <c r="C350" t="s">
        <v>108</v>
      </c>
      <c r="D350" t="s">
        <v>16</v>
      </c>
      <c r="F350" s="514">
        <f>+'29'!F350+'30'!F350+'31'!F350</f>
        <v>0</v>
      </c>
      <c r="G350" s="12">
        <f>+'29'!G350+'30'!G350+'31'!G350</f>
        <v>0</v>
      </c>
      <c r="H350" s="12">
        <f>+'29'!H350+'30'!H350+'31'!H350</f>
        <v>0</v>
      </c>
      <c r="I350" s="271"/>
      <c r="J350" s="514">
        <f>+'29'!J350+'30'!J350+'31'!J350</f>
        <v>0</v>
      </c>
      <c r="K350" s="12">
        <f>+'29'!K350+'30'!K350+'31'!K350</f>
        <v>0</v>
      </c>
      <c r="L350" s="12">
        <f>+'29'!L350+'30'!L350+'31'!L350</f>
        <v>0</v>
      </c>
      <c r="M350" s="271"/>
      <c r="N350" s="514">
        <f>+'29'!N350+'30'!N350+'31'!N350</f>
        <v>0</v>
      </c>
      <c r="O350" s="12">
        <f>+'29'!O350+'30'!O350+'31'!O350</f>
        <v>0</v>
      </c>
      <c r="P350" s="12">
        <f>+'29'!P350+'30'!P350+'31'!P350</f>
        <v>0</v>
      </c>
      <c r="Q350" s="532"/>
      <c r="R350" s="270">
        <v>0</v>
      </c>
      <c r="S350" s="12">
        <v>0</v>
      </c>
      <c r="T350" s="12">
        <v>0</v>
      </c>
      <c r="U350" s="271"/>
      <c r="V350" s="533">
        <f t="shared" si="41"/>
        <v>0</v>
      </c>
      <c r="W350" s="533">
        <f t="shared" si="42"/>
        <v>0</v>
      </c>
      <c r="X350" s="257"/>
      <c r="Y350" s="261">
        <f t="shared" si="43"/>
        <v>0</v>
      </c>
      <c r="Z350" s="12">
        <f t="shared" si="44"/>
        <v>0</v>
      </c>
      <c r="AB350" s="13">
        <f t="shared" si="40"/>
        <v>0</v>
      </c>
      <c r="AF350" s="13">
        <f t="shared" si="45"/>
        <v>0</v>
      </c>
      <c r="AG350" s="16"/>
      <c r="AM350" s="12">
        <f t="shared" si="46"/>
        <v>0</v>
      </c>
      <c r="AN350" s="13">
        <f t="shared" si="47"/>
        <v>0</v>
      </c>
    </row>
    <row r="351" spans="1:40" x14ac:dyDescent="0.25">
      <c r="A351">
        <v>346</v>
      </c>
      <c r="B351" t="s">
        <v>376</v>
      </c>
      <c r="D351" t="s">
        <v>16</v>
      </c>
      <c r="F351" s="514">
        <f>+'29'!F351+'30'!F351+'31'!F351</f>
        <v>55</v>
      </c>
      <c r="G351" s="12">
        <f>+'29'!G351+'30'!G351+'31'!G351</f>
        <v>33495.56</v>
      </c>
      <c r="H351" s="12">
        <f>+'29'!H351+'30'!H351+'31'!H351</f>
        <v>550</v>
      </c>
      <c r="I351" s="271"/>
      <c r="J351" s="514">
        <f>+'29'!J351+'30'!J351+'31'!J351</f>
        <v>0</v>
      </c>
      <c r="K351" s="12">
        <f>+'29'!K351+'30'!K351+'31'!K351</f>
        <v>0</v>
      </c>
      <c r="L351" s="12">
        <f>+'29'!L351+'30'!L351+'31'!L351</f>
        <v>0</v>
      </c>
      <c r="M351" s="271"/>
      <c r="N351" s="514">
        <f>+'29'!N351+'30'!N351+'31'!N351</f>
        <v>55</v>
      </c>
      <c r="O351" s="12">
        <f>+'29'!O351+'30'!O351+'31'!O351</f>
        <v>33495.56</v>
      </c>
      <c r="P351" s="12">
        <f>+'29'!P351+'30'!P351+'31'!P351</f>
        <v>550</v>
      </c>
      <c r="Q351" s="532"/>
      <c r="R351" s="270">
        <v>55</v>
      </c>
      <c r="S351" s="12">
        <v>33495.56</v>
      </c>
      <c r="T351" s="12">
        <v>0</v>
      </c>
      <c r="U351" s="271"/>
      <c r="V351" s="533">
        <f t="shared" si="41"/>
        <v>0</v>
      </c>
      <c r="W351" s="533">
        <f t="shared" si="42"/>
        <v>0</v>
      </c>
      <c r="X351" s="257"/>
      <c r="Y351" s="261">
        <f t="shared" si="43"/>
        <v>0</v>
      </c>
      <c r="Z351" s="12">
        <f t="shared" si="44"/>
        <v>0</v>
      </c>
      <c r="AB351" s="13">
        <f t="shared" si="40"/>
        <v>33495.56</v>
      </c>
      <c r="AD351" s="16"/>
      <c r="AF351" s="13">
        <f t="shared" si="45"/>
        <v>33495.56</v>
      </c>
      <c r="AG351" s="16"/>
      <c r="AM351" s="12">
        <f t="shared" si="46"/>
        <v>0</v>
      </c>
      <c r="AN351" s="13">
        <f t="shared" si="47"/>
        <v>33495.56</v>
      </c>
    </row>
    <row r="352" spans="1:40" x14ac:dyDescent="0.25">
      <c r="A352">
        <v>347</v>
      </c>
      <c r="B352" t="s">
        <v>377</v>
      </c>
      <c r="C352" t="s">
        <v>15</v>
      </c>
      <c r="D352" t="s">
        <v>16</v>
      </c>
      <c r="F352" s="514">
        <f>+'29'!F352+'30'!F352+'31'!F352</f>
        <v>58</v>
      </c>
      <c r="G352" s="12">
        <f>+'29'!G352+'30'!G352+'31'!G352</f>
        <v>52274.34</v>
      </c>
      <c r="H352" s="12">
        <f>+'29'!H352+'30'!H352+'31'!H352</f>
        <v>580</v>
      </c>
      <c r="I352" s="271"/>
      <c r="J352" s="514">
        <f>+'29'!J352+'30'!J352+'31'!J352</f>
        <v>0</v>
      </c>
      <c r="K352" s="12">
        <f>+'29'!K352+'30'!K352+'31'!K352</f>
        <v>0</v>
      </c>
      <c r="L352" s="12">
        <f>+'29'!L352+'30'!L352+'31'!L352</f>
        <v>0</v>
      </c>
      <c r="M352" s="271"/>
      <c r="N352" s="514">
        <f>+'29'!N352+'30'!N352+'31'!N352</f>
        <v>58</v>
      </c>
      <c r="O352" s="12">
        <f>+'29'!O352+'30'!O352+'31'!O352</f>
        <v>52274.34</v>
      </c>
      <c r="P352" s="12">
        <f>+'29'!P352+'30'!P352+'31'!P352</f>
        <v>580</v>
      </c>
      <c r="Q352" s="532"/>
      <c r="R352" s="270">
        <v>58</v>
      </c>
      <c r="S352" s="12">
        <v>52274.34</v>
      </c>
      <c r="T352" s="12">
        <v>0</v>
      </c>
      <c r="U352" s="271"/>
      <c r="V352" s="533">
        <f t="shared" si="41"/>
        <v>0</v>
      </c>
      <c r="W352" s="533">
        <f t="shared" si="42"/>
        <v>0</v>
      </c>
      <c r="X352" s="257"/>
      <c r="Y352" s="261">
        <f t="shared" si="43"/>
        <v>0</v>
      </c>
      <c r="Z352" s="12">
        <f t="shared" si="44"/>
        <v>0</v>
      </c>
      <c r="AB352" s="13">
        <f t="shared" si="40"/>
        <v>52274.34</v>
      </c>
      <c r="AD352" s="16"/>
      <c r="AF352" s="13">
        <f t="shared" si="45"/>
        <v>52274.34</v>
      </c>
      <c r="AG352" s="16"/>
      <c r="AM352" s="12">
        <f t="shared" si="46"/>
        <v>0</v>
      </c>
      <c r="AN352" s="13">
        <f t="shared" si="47"/>
        <v>52274.34</v>
      </c>
    </row>
    <row r="353" spans="1:40" x14ac:dyDescent="0.25">
      <c r="A353">
        <v>348</v>
      </c>
      <c r="B353" t="s">
        <v>378</v>
      </c>
      <c r="D353" t="s">
        <v>16</v>
      </c>
      <c r="F353" s="514">
        <f>+'29'!F353+'30'!F353+'31'!F353</f>
        <v>37</v>
      </c>
      <c r="G353" s="12">
        <f>+'29'!G353+'30'!G353+'31'!G353</f>
        <v>19904.589999999997</v>
      </c>
      <c r="H353" s="12">
        <f>+'29'!H353+'30'!H353+'31'!H353</f>
        <v>370</v>
      </c>
      <c r="I353" s="271"/>
      <c r="J353" s="514">
        <f>+'29'!J353+'30'!J353+'31'!J353</f>
        <v>0</v>
      </c>
      <c r="K353" s="12">
        <f>+'29'!K353+'30'!K353+'31'!K353</f>
        <v>0</v>
      </c>
      <c r="L353" s="12">
        <f>+'29'!L353+'30'!L353+'31'!L353</f>
        <v>0</v>
      </c>
      <c r="M353" s="271"/>
      <c r="N353" s="514">
        <f>+'29'!N353+'30'!N353+'31'!N353</f>
        <v>37</v>
      </c>
      <c r="O353" s="12">
        <f>+'29'!O353+'30'!O353+'31'!O353</f>
        <v>19904.589999999997</v>
      </c>
      <c r="P353" s="12">
        <f>+'29'!P353+'30'!P353+'31'!P353</f>
        <v>370</v>
      </c>
      <c r="Q353" s="532"/>
      <c r="R353" s="270">
        <v>37</v>
      </c>
      <c r="S353" s="12">
        <v>19904.59</v>
      </c>
      <c r="T353" s="12">
        <v>0</v>
      </c>
      <c r="U353" s="271"/>
      <c r="V353" s="533">
        <f t="shared" si="41"/>
        <v>0</v>
      </c>
      <c r="W353" s="533">
        <f t="shared" si="42"/>
        <v>0</v>
      </c>
      <c r="X353" s="257"/>
      <c r="Y353" s="261">
        <f t="shared" si="43"/>
        <v>0</v>
      </c>
      <c r="Z353" s="12">
        <f t="shared" si="44"/>
        <v>0</v>
      </c>
      <c r="AB353" s="13">
        <f t="shared" si="40"/>
        <v>19904.589999999997</v>
      </c>
      <c r="AF353" s="13">
        <f t="shared" si="45"/>
        <v>19904.589999999997</v>
      </c>
      <c r="AM353" s="12">
        <f t="shared" si="46"/>
        <v>0</v>
      </c>
      <c r="AN353" s="13">
        <f t="shared" si="47"/>
        <v>19904.589999999997</v>
      </c>
    </row>
    <row r="354" spans="1:40" x14ac:dyDescent="0.25">
      <c r="A354">
        <v>349</v>
      </c>
      <c r="B354" t="s">
        <v>379</v>
      </c>
      <c r="C354" t="s">
        <v>24</v>
      </c>
      <c r="D354" t="s">
        <v>16</v>
      </c>
      <c r="F354" s="514">
        <f>+'29'!F354+'30'!F354+'31'!F354</f>
        <v>3</v>
      </c>
      <c r="G354" s="12">
        <f>+'29'!G354+'30'!G354+'31'!G354</f>
        <v>11658</v>
      </c>
      <c r="H354" s="12">
        <f>+'29'!H354+'30'!H354+'31'!H354</f>
        <v>300</v>
      </c>
      <c r="I354" s="271"/>
      <c r="J354" s="514">
        <f>+'29'!J354+'30'!J354+'31'!J354</f>
        <v>0</v>
      </c>
      <c r="K354" s="12">
        <f>+'29'!K354+'30'!K354+'31'!K354</f>
        <v>0</v>
      </c>
      <c r="L354" s="12">
        <f>+'29'!L354+'30'!L354+'31'!L354</f>
        <v>0</v>
      </c>
      <c r="M354" s="271"/>
      <c r="N354" s="514">
        <f>+'29'!N354+'30'!N354+'31'!N354</f>
        <v>3</v>
      </c>
      <c r="O354" s="12">
        <f>+'29'!O354+'30'!O354+'31'!O354</f>
        <v>11658</v>
      </c>
      <c r="P354" s="12">
        <f>+'29'!P354+'30'!P354+'31'!P354</f>
        <v>300</v>
      </c>
      <c r="Q354" s="532"/>
      <c r="R354" s="270">
        <v>3</v>
      </c>
      <c r="S354" s="12">
        <v>11658</v>
      </c>
      <c r="T354" s="12">
        <v>0</v>
      </c>
      <c r="U354" s="271"/>
      <c r="V354" s="533">
        <f t="shared" si="41"/>
        <v>0</v>
      </c>
      <c r="W354" s="533">
        <f t="shared" si="42"/>
        <v>0</v>
      </c>
      <c r="X354" s="257"/>
      <c r="Y354" s="261">
        <f t="shared" si="43"/>
        <v>0</v>
      </c>
      <c r="Z354" s="12">
        <f t="shared" si="44"/>
        <v>0</v>
      </c>
      <c r="AB354" s="13">
        <f t="shared" si="40"/>
        <v>11658</v>
      </c>
      <c r="AF354" s="13">
        <f t="shared" si="45"/>
        <v>11658</v>
      </c>
      <c r="AM354" s="12">
        <f t="shared" si="46"/>
        <v>0</v>
      </c>
      <c r="AN354" s="13">
        <f t="shared" si="47"/>
        <v>11658</v>
      </c>
    </row>
    <row r="355" spans="1:40" x14ac:dyDescent="0.25">
      <c r="A355">
        <v>350</v>
      </c>
      <c r="B355" t="s">
        <v>3304</v>
      </c>
      <c r="C355" t="s">
        <v>22</v>
      </c>
      <c r="D355" t="s">
        <v>20</v>
      </c>
      <c r="F355" s="514">
        <f>+'29'!F355+'30'!F355+'31'!F355</f>
        <v>16</v>
      </c>
      <c r="G355" s="12">
        <f>+'29'!G355+'30'!G355+'31'!G355</f>
        <v>112000</v>
      </c>
      <c r="H355" s="12">
        <f>+'29'!H355+'30'!H355+'31'!H355</f>
        <v>320</v>
      </c>
      <c r="I355" s="271"/>
      <c r="J355" s="514">
        <f>+'29'!J355+'30'!J355+'31'!J355</f>
        <v>0</v>
      </c>
      <c r="K355" s="12">
        <f>+'29'!K355+'30'!K355+'31'!K355</f>
        <v>0</v>
      </c>
      <c r="L355" s="12">
        <f>+'29'!L355+'30'!L355+'31'!L355</f>
        <v>0</v>
      </c>
      <c r="M355" s="271"/>
      <c r="N355" s="514">
        <f>+'29'!N355+'30'!N355+'31'!N355</f>
        <v>16</v>
      </c>
      <c r="O355" s="12">
        <f>+'29'!O355+'30'!O355+'31'!O355</f>
        <v>112000</v>
      </c>
      <c r="P355" s="12">
        <f>+'29'!P355+'30'!P355+'31'!P355</f>
        <v>320</v>
      </c>
      <c r="Q355" s="532"/>
      <c r="R355" s="270">
        <v>16</v>
      </c>
      <c r="S355" s="12">
        <v>111680</v>
      </c>
      <c r="T355" s="12">
        <v>320</v>
      </c>
      <c r="U355" s="271"/>
      <c r="V355" s="533">
        <f t="shared" si="41"/>
        <v>0</v>
      </c>
      <c r="W355" s="533">
        <f t="shared" si="42"/>
        <v>320</v>
      </c>
      <c r="X355" s="257"/>
      <c r="Y355" s="261">
        <f t="shared" si="43"/>
        <v>0</v>
      </c>
      <c r="Z355" s="12">
        <f t="shared" si="44"/>
        <v>320</v>
      </c>
      <c r="AB355" s="13">
        <f t="shared" si="40"/>
        <v>112000</v>
      </c>
      <c r="AF355" s="13">
        <f t="shared" si="45"/>
        <v>112000</v>
      </c>
      <c r="AM355" s="12">
        <f t="shared" si="46"/>
        <v>0</v>
      </c>
      <c r="AN355" s="13">
        <f t="shared" si="47"/>
        <v>112000</v>
      </c>
    </row>
    <row r="356" spans="1:40" x14ac:dyDescent="0.25">
      <c r="A356">
        <v>351</v>
      </c>
      <c r="B356" t="s">
        <v>3227</v>
      </c>
      <c r="C356" t="s">
        <v>3228</v>
      </c>
      <c r="D356" t="s">
        <v>380</v>
      </c>
      <c r="F356" s="514">
        <f>+'29'!F356+'30'!F356+'31'!F356</f>
        <v>0</v>
      </c>
      <c r="G356" s="12">
        <f>+'29'!G356+'30'!G356+'31'!G356</f>
        <v>0</v>
      </c>
      <c r="H356" s="12">
        <f>+'29'!H356+'30'!H356+'31'!H356</f>
        <v>0</v>
      </c>
      <c r="I356" s="271"/>
      <c r="J356" s="514">
        <f>+'29'!J356+'30'!J356+'31'!J356</f>
        <v>0</v>
      </c>
      <c r="K356" s="12">
        <f>+'29'!K356+'30'!K356+'31'!K356</f>
        <v>0</v>
      </c>
      <c r="L356" s="12">
        <f>+'29'!L356+'30'!L356+'31'!L356</f>
        <v>0</v>
      </c>
      <c r="M356" s="271"/>
      <c r="N356" s="514">
        <f>+'29'!N356+'30'!N356+'31'!N356</f>
        <v>0</v>
      </c>
      <c r="O356" s="12">
        <f>+'29'!O356+'30'!O356+'31'!O356</f>
        <v>0</v>
      </c>
      <c r="P356" s="12">
        <f>+'29'!P356+'30'!P356+'31'!P356</f>
        <v>0</v>
      </c>
      <c r="Q356" s="532"/>
      <c r="R356" s="270">
        <v>0</v>
      </c>
      <c r="S356" s="12">
        <v>0</v>
      </c>
      <c r="T356" s="12">
        <v>0</v>
      </c>
      <c r="U356" s="271"/>
      <c r="V356" s="533">
        <f t="shared" si="41"/>
        <v>0</v>
      </c>
      <c r="W356" s="533">
        <f t="shared" si="42"/>
        <v>0</v>
      </c>
      <c r="X356" s="257"/>
      <c r="Y356" s="261">
        <f t="shared" si="43"/>
        <v>0</v>
      </c>
      <c r="Z356" s="12">
        <f t="shared" si="44"/>
        <v>0</v>
      </c>
      <c r="AB356" s="13">
        <f t="shared" si="40"/>
        <v>0</v>
      </c>
      <c r="AF356" s="13">
        <f t="shared" si="45"/>
        <v>0</v>
      </c>
      <c r="AM356" s="12">
        <f t="shared" si="46"/>
        <v>0</v>
      </c>
      <c r="AN356" s="13">
        <f t="shared" si="47"/>
        <v>0</v>
      </c>
    </row>
    <row r="357" spans="1:40" x14ac:dyDescent="0.25">
      <c r="A357">
        <v>352</v>
      </c>
      <c r="B357" t="s">
        <v>381</v>
      </c>
      <c r="D357" t="s">
        <v>20</v>
      </c>
      <c r="F357" s="514">
        <f>+'29'!F357+'30'!F357+'31'!F357</f>
        <v>2883</v>
      </c>
      <c r="G357" s="12">
        <f>+'29'!G357+'30'!G357+'31'!G357</f>
        <v>2647581.0599999996</v>
      </c>
      <c r="H357" s="12">
        <f>+'29'!H357+'30'!H357+'31'!H357</f>
        <v>14500</v>
      </c>
      <c r="I357" s="271"/>
      <c r="J357" s="514">
        <f>+'29'!J357+'30'!J357+'31'!J357</f>
        <v>0</v>
      </c>
      <c r="K357" s="12">
        <f>+'29'!K357+'30'!K357+'31'!K357</f>
        <v>0</v>
      </c>
      <c r="L357" s="12">
        <f>+'29'!L357+'30'!L357+'31'!L357</f>
        <v>0</v>
      </c>
      <c r="M357" s="271"/>
      <c r="N357" s="514">
        <f>+'29'!N357+'30'!N357+'31'!N357</f>
        <v>2883</v>
      </c>
      <c r="O357" s="12">
        <f>+'29'!O357+'30'!O357+'31'!O357</f>
        <v>2647581.0599999996</v>
      </c>
      <c r="P357" s="12">
        <f>+'29'!P357+'30'!P357+'31'!P357</f>
        <v>14500</v>
      </c>
      <c r="Q357" s="532"/>
      <c r="R357" s="270">
        <v>2883</v>
      </c>
      <c r="S357" s="12">
        <v>2647581.06</v>
      </c>
      <c r="T357" s="12">
        <v>0</v>
      </c>
      <c r="U357" s="271"/>
      <c r="V357" s="533">
        <f t="shared" si="41"/>
        <v>0</v>
      </c>
      <c r="W357" s="533">
        <f t="shared" si="42"/>
        <v>0</v>
      </c>
      <c r="X357" s="257"/>
      <c r="Y357" s="261">
        <f t="shared" si="43"/>
        <v>0</v>
      </c>
      <c r="Z357" s="12">
        <f t="shared" si="44"/>
        <v>0</v>
      </c>
      <c r="AB357" s="13">
        <f t="shared" si="40"/>
        <v>2647581.0599999996</v>
      </c>
      <c r="AF357" s="13">
        <f t="shared" si="45"/>
        <v>2647581.0599999996</v>
      </c>
      <c r="AI357" s="33">
        <v>276</v>
      </c>
      <c r="AL357" s="33">
        <v>3973</v>
      </c>
      <c r="AM357" s="12">
        <f t="shared" si="46"/>
        <v>4249</v>
      </c>
      <c r="AN357" s="13">
        <f t="shared" si="47"/>
        <v>2643332.0599999996</v>
      </c>
    </row>
    <row r="358" spans="1:40" x14ac:dyDescent="0.25">
      <c r="A358">
        <v>353</v>
      </c>
      <c r="B358" t="s">
        <v>382</v>
      </c>
      <c r="C358" t="s">
        <v>25</v>
      </c>
      <c r="D358" t="s">
        <v>369</v>
      </c>
      <c r="F358" s="514">
        <f>+'29'!F358+'30'!F358+'31'!F358</f>
        <v>575</v>
      </c>
      <c r="G358" s="12">
        <f>+'29'!G358+'30'!G358+'31'!G358</f>
        <v>11755547</v>
      </c>
      <c r="H358" s="12">
        <f>+'29'!H358+'30'!H358+'31'!H358</f>
        <v>20130</v>
      </c>
      <c r="I358" s="271"/>
      <c r="J358" s="514">
        <f>+'29'!J358+'30'!J358+'31'!J358</f>
        <v>0</v>
      </c>
      <c r="K358" s="12">
        <f>+'29'!K358+'30'!K358+'31'!K358</f>
        <v>0</v>
      </c>
      <c r="L358" s="12">
        <f>+'29'!L358+'30'!L358+'31'!L358</f>
        <v>0</v>
      </c>
      <c r="M358" s="271"/>
      <c r="N358" s="514">
        <f>+'29'!N358+'30'!N358+'31'!N358</f>
        <v>575</v>
      </c>
      <c r="O358" s="12">
        <f>+'29'!O358+'30'!O358+'31'!O358</f>
        <v>11755547</v>
      </c>
      <c r="P358" s="12">
        <f>+'29'!P358+'30'!P358+'31'!P358</f>
        <v>20130</v>
      </c>
      <c r="Q358" s="532"/>
      <c r="R358" s="270">
        <v>575</v>
      </c>
      <c r="S358" s="12">
        <v>11755547</v>
      </c>
      <c r="T358" s="12">
        <v>0</v>
      </c>
      <c r="U358" s="271"/>
      <c r="V358" s="533">
        <f t="shared" si="41"/>
        <v>0</v>
      </c>
      <c r="W358" s="533">
        <f t="shared" si="42"/>
        <v>0</v>
      </c>
      <c r="X358" s="257"/>
      <c r="Y358" s="261">
        <f t="shared" si="43"/>
        <v>0</v>
      </c>
      <c r="Z358" s="12">
        <f t="shared" si="44"/>
        <v>0</v>
      </c>
      <c r="AB358" s="13">
        <f t="shared" si="40"/>
        <v>11755547</v>
      </c>
      <c r="AF358" s="13">
        <f t="shared" si="45"/>
        <v>11755547</v>
      </c>
      <c r="AG358" s="16">
        <v>3351650.8928571427</v>
      </c>
      <c r="AM358" s="12">
        <f t="shared" si="46"/>
        <v>3351650.8928571427</v>
      </c>
      <c r="AN358" s="13">
        <f t="shared" si="47"/>
        <v>8403896.1071428582</v>
      </c>
    </row>
    <row r="359" spans="1:40" x14ac:dyDescent="0.25">
      <c r="A359">
        <v>354</v>
      </c>
      <c r="B359" t="s">
        <v>383</v>
      </c>
      <c r="C359" t="s">
        <v>25</v>
      </c>
      <c r="D359" t="s">
        <v>45</v>
      </c>
      <c r="F359" s="514">
        <f>+'29'!F359+'30'!F359+'31'!F359</f>
        <v>0</v>
      </c>
      <c r="G359" s="12">
        <f>+'29'!G359+'30'!G359+'31'!G359</f>
        <v>0</v>
      </c>
      <c r="H359" s="12">
        <f>+'29'!H359+'30'!H359+'31'!H359</f>
        <v>0</v>
      </c>
      <c r="I359" s="271"/>
      <c r="J359" s="514">
        <f>+'29'!J359+'30'!J359+'31'!J359</f>
        <v>0</v>
      </c>
      <c r="K359" s="12">
        <f>+'29'!K359+'30'!K359+'31'!K359</f>
        <v>0</v>
      </c>
      <c r="L359" s="12">
        <f>+'29'!L359+'30'!L359+'31'!L359</f>
        <v>0</v>
      </c>
      <c r="M359" s="271"/>
      <c r="N359" s="514">
        <f>+'29'!N359+'30'!N359+'31'!N359</f>
        <v>0</v>
      </c>
      <c r="O359" s="12">
        <f>+'29'!O359+'30'!O359+'31'!O359</f>
        <v>0</v>
      </c>
      <c r="P359" s="12">
        <f>+'29'!P359+'30'!P359+'31'!P359</f>
        <v>0</v>
      </c>
      <c r="Q359" s="532"/>
      <c r="R359" s="270">
        <v>0</v>
      </c>
      <c r="S359" s="12">
        <v>0</v>
      </c>
      <c r="T359" s="12">
        <v>0</v>
      </c>
      <c r="U359" s="271"/>
      <c r="V359" s="533">
        <f t="shared" si="41"/>
        <v>0</v>
      </c>
      <c r="W359" s="533">
        <f t="shared" si="42"/>
        <v>0</v>
      </c>
      <c r="X359" s="257"/>
      <c r="Y359" s="261">
        <f t="shared" si="43"/>
        <v>0</v>
      </c>
      <c r="Z359" s="12">
        <f t="shared" si="44"/>
        <v>0</v>
      </c>
      <c r="AB359" s="13">
        <f t="shared" si="40"/>
        <v>0</v>
      </c>
      <c r="AF359" s="13">
        <f t="shared" si="45"/>
        <v>0</v>
      </c>
      <c r="AM359" s="12">
        <f t="shared" si="46"/>
        <v>0</v>
      </c>
      <c r="AN359" s="13">
        <f t="shared" si="47"/>
        <v>0</v>
      </c>
    </row>
    <row r="360" spans="1:40" x14ac:dyDescent="0.25">
      <c r="A360">
        <v>355</v>
      </c>
      <c r="B360" t="s">
        <v>384</v>
      </c>
      <c r="C360" t="s">
        <v>15</v>
      </c>
      <c r="D360" t="s">
        <v>45</v>
      </c>
      <c r="F360" s="514">
        <f>+'29'!F360+'30'!F360+'31'!F360</f>
        <v>66</v>
      </c>
      <c r="G360" s="12">
        <f>+'29'!G360+'30'!G360+'31'!G360</f>
        <v>3779417.57</v>
      </c>
      <c r="H360" s="12">
        <f>+'29'!H360+'30'!H360+'31'!H360</f>
        <v>5050</v>
      </c>
      <c r="I360" s="271"/>
      <c r="J360" s="514">
        <f>+'29'!J360+'30'!J360+'31'!J360</f>
        <v>0</v>
      </c>
      <c r="K360" s="12">
        <f>+'29'!K360+'30'!K360+'31'!K360</f>
        <v>0</v>
      </c>
      <c r="L360" s="12">
        <f>+'29'!L360+'30'!L360+'31'!L360</f>
        <v>0</v>
      </c>
      <c r="M360" s="271"/>
      <c r="N360" s="514">
        <f>+'29'!N360+'30'!N360+'31'!N360</f>
        <v>66</v>
      </c>
      <c r="O360" s="12">
        <f>+'29'!O360+'30'!O360+'31'!O360</f>
        <v>3779417.57</v>
      </c>
      <c r="P360" s="12">
        <f>+'29'!P360+'30'!P360+'31'!P360</f>
        <v>5050</v>
      </c>
      <c r="Q360" s="532"/>
      <c r="R360" s="270">
        <v>66</v>
      </c>
      <c r="S360" s="12">
        <v>3779417.57</v>
      </c>
      <c r="T360" s="12">
        <v>0</v>
      </c>
      <c r="U360" s="271"/>
      <c r="V360" s="533">
        <f t="shared" si="41"/>
        <v>0</v>
      </c>
      <c r="W360" s="533">
        <f t="shared" si="42"/>
        <v>0</v>
      </c>
      <c r="X360" s="257"/>
      <c r="Y360" s="261">
        <f t="shared" si="43"/>
        <v>0</v>
      </c>
      <c r="Z360" s="12">
        <f t="shared" si="44"/>
        <v>0</v>
      </c>
      <c r="AB360" s="13">
        <f t="shared" si="40"/>
        <v>3779417.57</v>
      </c>
      <c r="AD360" s="16">
        <v>61708.035714285717</v>
      </c>
      <c r="AF360" s="13">
        <f t="shared" si="45"/>
        <v>3717709.5342857139</v>
      </c>
      <c r="AG360" s="16">
        <v>55108.035714285717</v>
      </c>
      <c r="AM360" s="12">
        <f t="shared" si="46"/>
        <v>55108.035714285717</v>
      </c>
      <c r="AN360" s="13">
        <f t="shared" si="47"/>
        <v>3662601.498571428</v>
      </c>
    </row>
    <row r="361" spans="1:40" x14ac:dyDescent="0.25">
      <c r="A361">
        <v>356</v>
      </c>
      <c r="B361" t="s">
        <v>385</v>
      </c>
      <c r="C361" t="s">
        <v>78</v>
      </c>
      <c r="D361" t="s">
        <v>20</v>
      </c>
      <c r="F361" s="514">
        <f>+'29'!F361+'30'!F361+'31'!F361</f>
        <v>0</v>
      </c>
      <c r="G361" s="12">
        <f>+'29'!G361+'30'!G361+'31'!G361</f>
        <v>0</v>
      </c>
      <c r="H361" s="12">
        <f>+'29'!H361+'30'!H361+'31'!H361</f>
        <v>0</v>
      </c>
      <c r="I361" s="271"/>
      <c r="J361" s="514">
        <f>+'29'!J361+'30'!J361+'31'!J361</f>
        <v>0</v>
      </c>
      <c r="K361" s="12">
        <f>+'29'!K361+'30'!K361+'31'!K361</f>
        <v>0</v>
      </c>
      <c r="L361" s="12">
        <f>+'29'!L361+'30'!L361+'31'!L361</f>
        <v>0</v>
      </c>
      <c r="M361" s="271"/>
      <c r="N361" s="514">
        <f>+'29'!N361+'30'!N361+'31'!N361</f>
        <v>0</v>
      </c>
      <c r="O361" s="12">
        <f>+'29'!O361+'30'!O361+'31'!O361</f>
        <v>0</v>
      </c>
      <c r="P361" s="12">
        <f>+'29'!P361+'30'!P361+'31'!P361</f>
        <v>0</v>
      </c>
      <c r="Q361" s="532"/>
      <c r="R361" s="270">
        <v>0</v>
      </c>
      <c r="S361" s="12">
        <v>0</v>
      </c>
      <c r="T361" s="12">
        <v>0</v>
      </c>
      <c r="U361" s="271"/>
      <c r="V361" s="533">
        <f t="shared" si="41"/>
        <v>0</v>
      </c>
      <c r="W361" s="533">
        <f t="shared" si="42"/>
        <v>0</v>
      </c>
      <c r="X361" s="257"/>
      <c r="Y361" s="261">
        <f t="shared" si="43"/>
        <v>0</v>
      </c>
      <c r="Z361" s="12">
        <f t="shared" si="44"/>
        <v>0</v>
      </c>
      <c r="AB361" s="13">
        <f t="shared" si="40"/>
        <v>0</v>
      </c>
      <c r="AF361" s="13">
        <f t="shared" si="45"/>
        <v>0</v>
      </c>
      <c r="AM361" s="12">
        <f t="shared" si="46"/>
        <v>0</v>
      </c>
      <c r="AN361" s="13">
        <f t="shared" si="47"/>
        <v>0</v>
      </c>
    </row>
    <row r="362" spans="1:40" x14ac:dyDescent="0.25">
      <c r="A362">
        <v>357</v>
      </c>
      <c r="B362" t="s">
        <v>386</v>
      </c>
      <c r="C362" t="s">
        <v>18</v>
      </c>
      <c r="D362" t="s">
        <v>20</v>
      </c>
      <c r="F362" s="514">
        <f>+'29'!F362+'30'!F362+'31'!F362</f>
        <v>0</v>
      </c>
      <c r="G362" s="12">
        <f>+'29'!G362+'30'!G362+'31'!G362</f>
        <v>0</v>
      </c>
      <c r="H362" s="12">
        <f>+'29'!H362+'30'!H362+'31'!H362</f>
        <v>0</v>
      </c>
      <c r="I362" s="271"/>
      <c r="J362" s="514">
        <f>+'29'!J362+'30'!J362+'31'!J362</f>
        <v>0</v>
      </c>
      <c r="K362" s="12">
        <f>+'29'!K362+'30'!K362+'31'!K362</f>
        <v>0</v>
      </c>
      <c r="L362" s="12">
        <f>+'29'!L362+'30'!L362+'31'!L362</f>
        <v>0</v>
      </c>
      <c r="M362" s="271"/>
      <c r="N362" s="514">
        <f>+'29'!N362+'30'!N362+'31'!N362</f>
        <v>0</v>
      </c>
      <c r="O362" s="12">
        <f>+'29'!O362+'30'!O362+'31'!O362</f>
        <v>0</v>
      </c>
      <c r="P362" s="12">
        <f>+'29'!P362+'30'!P362+'31'!P362</f>
        <v>0</v>
      </c>
      <c r="Q362" s="532"/>
      <c r="R362" s="270">
        <v>0</v>
      </c>
      <c r="S362" s="12">
        <v>0</v>
      </c>
      <c r="T362" s="12">
        <v>0</v>
      </c>
      <c r="U362" s="271"/>
      <c r="V362" s="533">
        <f t="shared" si="41"/>
        <v>0</v>
      </c>
      <c r="W362" s="533">
        <f t="shared" si="42"/>
        <v>0</v>
      </c>
      <c r="X362" s="257"/>
      <c r="Y362" s="261">
        <f t="shared" si="43"/>
        <v>0</v>
      </c>
      <c r="Z362" s="12">
        <f t="shared" si="44"/>
        <v>0</v>
      </c>
      <c r="AB362" s="13">
        <f t="shared" si="40"/>
        <v>0</v>
      </c>
      <c r="AF362" s="13">
        <f t="shared" si="45"/>
        <v>0</v>
      </c>
      <c r="AM362" s="12">
        <f t="shared" si="46"/>
        <v>0</v>
      </c>
      <c r="AN362" s="13">
        <f t="shared" si="47"/>
        <v>0</v>
      </c>
    </row>
    <row r="363" spans="1:40" x14ac:dyDescent="0.25">
      <c r="A363">
        <v>358</v>
      </c>
      <c r="B363" t="s">
        <v>387</v>
      </c>
      <c r="C363" t="s">
        <v>18</v>
      </c>
      <c r="D363" t="s">
        <v>20</v>
      </c>
      <c r="F363" s="514">
        <f>+'29'!F363+'30'!F363+'31'!F363</f>
        <v>3</v>
      </c>
      <c r="G363" s="12">
        <f>+'29'!G363+'30'!G363+'31'!G363</f>
        <v>2930</v>
      </c>
      <c r="H363" s="12">
        <f>+'29'!H363+'30'!H363+'31'!H363</f>
        <v>30</v>
      </c>
      <c r="I363" s="271"/>
      <c r="J363" s="514">
        <f>+'29'!J363+'30'!J363+'31'!J363</f>
        <v>0</v>
      </c>
      <c r="K363" s="12">
        <f>+'29'!K363+'30'!K363+'31'!K363</f>
        <v>0</v>
      </c>
      <c r="L363" s="12">
        <f>+'29'!L363+'30'!L363+'31'!L363</f>
        <v>0</v>
      </c>
      <c r="M363" s="271"/>
      <c r="N363" s="514">
        <f>+'29'!N363+'30'!N363+'31'!N363</f>
        <v>3</v>
      </c>
      <c r="O363" s="12">
        <f>+'29'!O363+'30'!O363+'31'!O363</f>
        <v>2930</v>
      </c>
      <c r="P363" s="12">
        <f>+'29'!P363+'30'!P363+'31'!P363</f>
        <v>30</v>
      </c>
      <c r="Q363" s="532"/>
      <c r="R363" s="270">
        <v>3</v>
      </c>
      <c r="S363" s="12">
        <v>2900</v>
      </c>
      <c r="T363" s="12">
        <v>30</v>
      </c>
      <c r="U363" s="271"/>
      <c r="V363" s="533">
        <f t="shared" si="41"/>
        <v>0</v>
      </c>
      <c r="W363" s="533">
        <f t="shared" si="42"/>
        <v>30</v>
      </c>
      <c r="X363" s="257"/>
      <c r="Y363" s="261">
        <f t="shared" si="43"/>
        <v>0</v>
      </c>
      <c r="Z363" s="12">
        <f t="shared" si="44"/>
        <v>30</v>
      </c>
      <c r="AB363" s="13">
        <f t="shared" si="40"/>
        <v>2930</v>
      </c>
      <c r="AF363" s="13">
        <f t="shared" si="45"/>
        <v>2930</v>
      </c>
      <c r="AI363" s="33"/>
      <c r="AL363" s="33"/>
      <c r="AM363" s="12">
        <f t="shared" si="46"/>
        <v>0</v>
      </c>
      <c r="AN363" s="13">
        <f t="shared" si="47"/>
        <v>2930</v>
      </c>
    </row>
    <row r="364" spans="1:40" x14ac:dyDescent="0.25">
      <c r="A364">
        <v>359</v>
      </c>
      <c r="B364" t="s">
        <v>388</v>
      </c>
      <c r="C364" t="s">
        <v>108</v>
      </c>
      <c r="D364" t="s">
        <v>16</v>
      </c>
      <c r="F364" s="514">
        <f>+'29'!F364+'30'!F364+'31'!F364</f>
        <v>0</v>
      </c>
      <c r="G364" s="12">
        <f>+'29'!G364+'30'!G364+'31'!G364</f>
        <v>0</v>
      </c>
      <c r="H364" s="12">
        <f>+'29'!H364+'30'!H364+'31'!H364</f>
        <v>0</v>
      </c>
      <c r="I364" s="271"/>
      <c r="J364" s="514">
        <f>+'29'!J364+'30'!J364+'31'!J364</f>
        <v>0</v>
      </c>
      <c r="K364" s="12">
        <f>+'29'!K364+'30'!K364+'31'!K364</f>
        <v>0</v>
      </c>
      <c r="L364" s="12">
        <f>+'29'!L364+'30'!L364+'31'!L364</f>
        <v>0</v>
      </c>
      <c r="M364" s="271"/>
      <c r="N364" s="514">
        <f>+'29'!N364+'30'!N364+'31'!N364</f>
        <v>0</v>
      </c>
      <c r="O364" s="12">
        <f>+'29'!O364+'30'!O364+'31'!O364</f>
        <v>0</v>
      </c>
      <c r="P364" s="12">
        <f>+'29'!P364+'30'!P364+'31'!P364</f>
        <v>0</v>
      </c>
      <c r="Q364" s="532"/>
      <c r="R364" s="270">
        <v>0</v>
      </c>
      <c r="S364" s="12">
        <v>0</v>
      </c>
      <c r="T364" s="12">
        <v>0</v>
      </c>
      <c r="U364" s="271"/>
      <c r="V364" s="533">
        <f t="shared" si="41"/>
        <v>0</v>
      </c>
      <c r="W364" s="533">
        <f t="shared" si="42"/>
        <v>0</v>
      </c>
      <c r="X364" s="257"/>
      <c r="Y364" s="261">
        <f t="shared" si="43"/>
        <v>0</v>
      </c>
      <c r="Z364" s="12">
        <f t="shared" si="44"/>
        <v>0</v>
      </c>
      <c r="AB364" s="13">
        <f t="shared" si="40"/>
        <v>0</v>
      </c>
      <c r="AD364" s="16"/>
      <c r="AF364" s="13">
        <f t="shared" si="45"/>
        <v>0</v>
      </c>
      <c r="AG364" s="16"/>
      <c r="AM364" s="12">
        <f t="shared" si="46"/>
        <v>0</v>
      </c>
      <c r="AN364" s="13">
        <f t="shared" si="47"/>
        <v>0</v>
      </c>
    </row>
    <row r="365" spans="1:40" x14ac:dyDescent="0.25">
      <c r="A365">
        <v>360</v>
      </c>
      <c r="B365" t="s">
        <v>389</v>
      </c>
      <c r="C365" t="s">
        <v>51</v>
      </c>
      <c r="D365" t="s">
        <v>16</v>
      </c>
      <c r="F365" s="514">
        <f>+'29'!F365+'30'!F365+'31'!F365</f>
        <v>828</v>
      </c>
      <c r="G365" s="12">
        <f>+'29'!G365+'30'!G365+'31'!G365</f>
        <v>1376753.7499999998</v>
      </c>
      <c r="H365" s="12">
        <f>+'29'!H365+'30'!H365+'31'!H365</f>
        <v>8280</v>
      </c>
      <c r="I365" s="271"/>
      <c r="J365" s="514">
        <f>+'29'!J365+'30'!J365+'31'!J365</f>
        <v>0</v>
      </c>
      <c r="K365" s="12">
        <f>+'29'!K365+'30'!K365+'31'!K365</f>
        <v>0</v>
      </c>
      <c r="L365" s="12">
        <f>+'29'!L365+'30'!L365+'31'!L365</f>
        <v>0</v>
      </c>
      <c r="M365" s="271"/>
      <c r="N365" s="514">
        <f>+'29'!N365+'30'!N365+'31'!N365</f>
        <v>828</v>
      </c>
      <c r="O365" s="12">
        <f>+'29'!O365+'30'!O365+'31'!O365</f>
        <v>1376753.7499999998</v>
      </c>
      <c r="P365" s="12">
        <f>+'29'!P365+'30'!P365+'31'!P365</f>
        <v>8280</v>
      </c>
      <c r="Q365" s="532"/>
      <c r="R365" s="270">
        <v>828</v>
      </c>
      <c r="S365" s="12">
        <v>1376753.75</v>
      </c>
      <c r="T365" s="12">
        <v>0</v>
      </c>
      <c r="U365" s="271"/>
      <c r="V365" s="533">
        <f t="shared" si="41"/>
        <v>0</v>
      </c>
      <c r="W365" s="533">
        <f t="shared" si="42"/>
        <v>0</v>
      </c>
      <c r="X365" s="257"/>
      <c r="Y365" s="261">
        <f t="shared" si="43"/>
        <v>0</v>
      </c>
      <c r="Z365" s="12">
        <f t="shared" si="44"/>
        <v>0</v>
      </c>
      <c r="AB365" s="13">
        <f t="shared" si="40"/>
        <v>1376753.7499999998</v>
      </c>
      <c r="AF365" s="13">
        <f t="shared" si="45"/>
        <v>1376753.7499999998</v>
      </c>
      <c r="AI365" s="33"/>
      <c r="AL365" s="33"/>
      <c r="AM365" s="12">
        <f t="shared" si="46"/>
        <v>0</v>
      </c>
      <c r="AN365" s="13">
        <f t="shared" si="47"/>
        <v>1376753.7499999998</v>
      </c>
    </row>
    <row r="366" spans="1:40" x14ac:dyDescent="0.25">
      <c r="A366">
        <v>361</v>
      </c>
      <c r="B366" t="s">
        <v>390</v>
      </c>
      <c r="C366" t="s">
        <v>15</v>
      </c>
      <c r="D366" t="s">
        <v>16</v>
      </c>
      <c r="F366" s="514">
        <f>+'29'!F366+'30'!F366+'31'!F366</f>
        <v>0</v>
      </c>
      <c r="G366" s="12">
        <f>+'29'!G366+'30'!G366+'31'!G366</f>
        <v>0</v>
      </c>
      <c r="H366" s="12">
        <f>+'29'!H366+'30'!H366+'31'!H366</f>
        <v>0</v>
      </c>
      <c r="I366" s="271"/>
      <c r="J366" s="514">
        <f>+'29'!J366+'30'!J366+'31'!J366</f>
        <v>0</v>
      </c>
      <c r="K366" s="12">
        <f>+'29'!K366+'30'!K366+'31'!K366</f>
        <v>0</v>
      </c>
      <c r="L366" s="12">
        <f>+'29'!L366+'30'!L366+'31'!L366</f>
        <v>0</v>
      </c>
      <c r="M366" s="271"/>
      <c r="N366" s="514">
        <f>+'29'!N366+'30'!N366+'31'!N366</f>
        <v>0</v>
      </c>
      <c r="O366" s="12">
        <f>+'29'!O366+'30'!O366+'31'!O366</f>
        <v>0</v>
      </c>
      <c r="P366" s="12">
        <f>+'29'!P366+'30'!P366+'31'!P366</f>
        <v>0</v>
      </c>
      <c r="Q366" s="532"/>
      <c r="R366" s="270">
        <v>0</v>
      </c>
      <c r="S366" s="12">
        <v>0</v>
      </c>
      <c r="T366" s="12">
        <v>0</v>
      </c>
      <c r="U366" s="271"/>
      <c r="V366" s="533">
        <f t="shared" si="41"/>
        <v>0</v>
      </c>
      <c r="W366" s="533">
        <f t="shared" si="42"/>
        <v>0</v>
      </c>
      <c r="X366" s="257"/>
      <c r="Y366" s="261">
        <f t="shared" si="43"/>
        <v>0</v>
      </c>
      <c r="Z366" s="12">
        <f t="shared" si="44"/>
        <v>0</v>
      </c>
      <c r="AB366" s="13">
        <f t="shared" si="40"/>
        <v>0</v>
      </c>
      <c r="AD366" s="16"/>
      <c r="AF366" s="13">
        <f t="shared" si="45"/>
        <v>0</v>
      </c>
      <c r="AG366" s="16"/>
      <c r="AM366" s="12">
        <f t="shared" si="46"/>
        <v>0</v>
      </c>
      <c r="AN366" s="13">
        <f t="shared" si="47"/>
        <v>0</v>
      </c>
    </row>
    <row r="367" spans="1:40" x14ac:dyDescent="0.25">
      <c r="A367">
        <v>362</v>
      </c>
      <c r="B367" t="s">
        <v>391</v>
      </c>
      <c r="C367" t="s">
        <v>15</v>
      </c>
      <c r="D367" t="s">
        <v>16</v>
      </c>
      <c r="F367" s="514">
        <f>+'29'!F367+'30'!F367+'31'!F367</f>
        <v>681</v>
      </c>
      <c r="G367" s="12">
        <f>+'29'!G367+'30'!G367+'31'!G367</f>
        <v>21895115.82</v>
      </c>
      <c r="H367" s="12">
        <f>+'29'!H367+'30'!H367+'31'!H367</f>
        <v>23835</v>
      </c>
      <c r="I367" s="271"/>
      <c r="J367" s="514">
        <f>+'29'!J367+'30'!J367+'31'!J367</f>
        <v>0</v>
      </c>
      <c r="K367" s="12">
        <f>+'29'!K367+'30'!K367+'31'!K367</f>
        <v>0</v>
      </c>
      <c r="L367" s="12">
        <f>+'29'!L367+'30'!L367+'31'!L367</f>
        <v>0</v>
      </c>
      <c r="M367" s="271"/>
      <c r="N367" s="514">
        <f>+'29'!N367+'30'!N367+'31'!N367</f>
        <v>681</v>
      </c>
      <c r="O367" s="12">
        <f>+'29'!O367+'30'!O367+'31'!O367</f>
        <v>21895115.82</v>
      </c>
      <c r="P367" s="12">
        <f>+'29'!P367+'30'!P367+'31'!P367</f>
        <v>23835</v>
      </c>
      <c r="Q367" s="532"/>
      <c r="R367" s="270">
        <v>681</v>
      </c>
      <c r="S367" s="12">
        <v>21895115.82</v>
      </c>
      <c r="T367" s="12">
        <v>0</v>
      </c>
      <c r="U367" s="271"/>
      <c r="V367" s="533">
        <f t="shared" si="41"/>
        <v>0</v>
      </c>
      <c r="W367" s="533">
        <f t="shared" si="42"/>
        <v>0</v>
      </c>
      <c r="X367" s="257"/>
      <c r="Y367" s="261">
        <f t="shared" si="43"/>
        <v>0</v>
      </c>
      <c r="Z367" s="12">
        <f t="shared" si="44"/>
        <v>0</v>
      </c>
      <c r="AB367" s="13">
        <f t="shared" si="40"/>
        <v>21895115.82</v>
      </c>
      <c r="AD367" s="16"/>
      <c r="AF367" s="13">
        <f t="shared" si="45"/>
        <v>21895115.82</v>
      </c>
      <c r="AG367" s="16"/>
      <c r="AM367" s="12">
        <f t="shared" si="46"/>
        <v>0</v>
      </c>
      <c r="AN367" s="13">
        <f t="shared" si="47"/>
        <v>21895115.82</v>
      </c>
    </row>
    <row r="368" spans="1:40" x14ac:dyDescent="0.25">
      <c r="A368">
        <v>363</v>
      </c>
      <c r="B368" t="s">
        <v>392</v>
      </c>
      <c r="D368" t="s">
        <v>40</v>
      </c>
      <c r="F368" s="514">
        <f>+'29'!F368+'30'!F368+'31'!F368</f>
        <v>0</v>
      </c>
      <c r="G368" s="12">
        <f>+'29'!G368+'30'!G368+'31'!G368</f>
        <v>0</v>
      </c>
      <c r="H368" s="12">
        <f>+'29'!H368+'30'!H368+'31'!H368</f>
        <v>0</v>
      </c>
      <c r="I368" s="271"/>
      <c r="J368" s="514">
        <f>+'29'!J368+'30'!J368+'31'!J368</f>
        <v>0</v>
      </c>
      <c r="K368" s="12">
        <f>+'29'!K368+'30'!K368+'31'!K368</f>
        <v>0</v>
      </c>
      <c r="L368" s="12">
        <f>+'29'!L368+'30'!L368+'31'!L368</f>
        <v>0</v>
      </c>
      <c r="M368" s="271"/>
      <c r="N368" s="514">
        <f>+'29'!N368+'30'!N368+'31'!N368</f>
        <v>0</v>
      </c>
      <c r="O368" s="12">
        <f>+'29'!O368+'30'!O368+'31'!O368</f>
        <v>0</v>
      </c>
      <c r="P368" s="12">
        <f>+'29'!P368+'30'!P368+'31'!P368</f>
        <v>0</v>
      </c>
      <c r="Q368" s="532"/>
      <c r="R368" s="270">
        <v>0</v>
      </c>
      <c r="S368" s="12">
        <v>0</v>
      </c>
      <c r="T368" s="12">
        <v>0</v>
      </c>
      <c r="U368" s="271"/>
      <c r="V368" s="533">
        <f t="shared" si="41"/>
        <v>0</v>
      </c>
      <c r="W368" s="533">
        <f t="shared" si="42"/>
        <v>0</v>
      </c>
      <c r="X368" s="257"/>
      <c r="Y368" s="261">
        <f t="shared" si="43"/>
        <v>0</v>
      </c>
      <c r="Z368" s="12">
        <f t="shared" si="44"/>
        <v>0</v>
      </c>
      <c r="AB368" s="13">
        <f t="shared" si="40"/>
        <v>0</v>
      </c>
      <c r="AD368" s="16"/>
      <c r="AF368" s="13">
        <f t="shared" si="45"/>
        <v>0</v>
      </c>
      <c r="AG368" s="16"/>
      <c r="AM368" s="12">
        <f t="shared" si="46"/>
        <v>0</v>
      </c>
      <c r="AN368" s="13">
        <f t="shared" si="47"/>
        <v>0</v>
      </c>
    </row>
    <row r="369" spans="1:40" x14ac:dyDescent="0.25">
      <c r="A369">
        <v>364</v>
      </c>
      <c r="B369" t="s">
        <v>393</v>
      </c>
      <c r="D369" t="s">
        <v>16</v>
      </c>
      <c r="F369" s="514">
        <f>+'29'!F369+'30'!F369+'31'!F369</f>
        <v>1</v>
      </c>
      <c r="G369" s="12">
        <f>+'29'!G369+'30'!G369+'31'!G369</f>
        <v>58624.959999999999</v>
      </c>
      <c r="H369" s="12">
        <f>+'29'!H369+'30'!H369+'31'!H369</f>
        <v>20</v>
      </c>
      <c r="I369" s="271"/>
      <c r="J369" s="514">
        <f>+'29'!J369+'30'!J369+'31'!J369</f>
        <v>0</v>
      </c>
      <c r="K369" s="12">
        <f>+'29'!K369+'30'!K369+'31'!K369</f>
        <v>0</v>
      </c>
      <c r="L369" s="12">
        <f>+'29'!L369+'30'!L369+'31'!L369</f>
        <v>0</v>
      </c>
      <c r="M369" s="271"/>
      <c r="N369" s="514">
        <f>+'29'!N369+'30'!N369+'31'!N369</f>
        <v>1</v>
      </c>
      <c r="O369" s="12">
        <f>+'29'!O369+'30'!O369+'31'!O369</f>
        <v>58624.959999999999</v>
      </c>
      <c r="P369" s="12">
        <f>+'29'!P369+'30'!P369+'31'!P369</f>
        <v>20</v>
      </c>
      <c r="Q369" s="532"/>
      <c r="R369" s="270">
        <v>1</v>
      </c>
      <c r="S369" s="12">
        <v>58624.959999999999</v>
      </c>
      <c r="T369" s="12">
        <v>0</v>
      </c>
      <c r="U369" s="271"/>
      <c r="V369" s="533">
        <f t="shared" si="41"/>
        <v>0</v>
      </c>
      <c r="W369" s="533">
        <f t="shared" si="42"/>
        <v>0</v>
      </c>
      <c r="X369" s="257"/>
      <c r="Y369" s="261">
        <f t="shared" si="43"/>
        <v>0</v>
      </c>
      <c r="Z369" s="12">
        <f t="shared" si="44"/>
        <v>0</v>
      </c>
      <c r="AB369" s="13">
        <f t="shared" si="40"/>
        <v>58624.959999999999</v>
      </c>
      <c r="AD369" s="16"/>
      <c r="AF369" s="13">
        <f t="shared" si="45"/>
        <v>58624.959999999999</v>
      </c>
      <c r="AG369" s="16"/>
      <c r="AM369" s="12">
        <f t="shared" si="46"/>
        <v>0</v>
      </c>
      <c r="AN369" s="13">
        <f t="shared" si="47"/>
        <v>58624.959999999999</v>
      </c>
    </row>
    <row r="370" spans="1:40" x14ac:dyDescent="0.25">
      <c r="A370">
        <v>365</v>
      </c>
      <c r="B370" t="s">
        <v>394</v>
      </c>
      <c r="D370" t="s">
        <v>16</v>
      </c>
      <c r="F370" s="514">
        <f>+'29'!F370+'30'!F370+'31'!F370</f>
        <v>0</v>
      </c>
      <c r="G370" s="12">
        <f>+'29'!G370+'30'!G370+'31'!G370</f>
        <v>0</v>
      </c>
      <c r="H370" s="12">
        <f>+'29'!H370+'30'!H370+'31'!H370</f>
        <v>0</v>
      </c>
      <c r="I370" s="271"/>
      <c r="J370" s="514">
        <f>+'29'!J370+'30'!J370+'31'!J370</f>
        <v>0</v>
      </c>
      <c r="K370" s="12">
        <f>+'29'!K370+'30'!K370+'31'!K370</f>
        <v>0</v>
      </c>
      <c r="L370" s="12">
        <f>+'29'!L370+'30'!L370+'31'!L370</f>
        <v>0</v>
      </c>
      <c r="M370" s="271"/>
      <c r="N370" s="514">
        <f>+'29'!N370+'30'!N370+'31'!N370</f>
        <v>0</v>
      </c>
      <c r="O370" s="12">
        <f>+'29'!O370+'30'!O370+'31'!O370</f>
        <v>0</v>
      </c>
      <c r="P370" s="12">
        <f>+'29'!P370+'30'!P370+'31'!P370</f>
        <v>0</v>
      </c>
      <c r="Q370" s="532"/>
      <c r="R370" s="270">
        <v>0</v>
      </c>
      <c r="S370" s="12">
        <v>0</v>
      </c>
      <c r="T370" s="12">
        <v>0</v>
      </c>
      <c r="U370" s="271"/>
      <c r="V370" s="533">
        <f t="shared" si="41"/>
        <v>0</v>
      </c>
      <c r="W370" s="533">
        <f t="shared" si="42"/>
        <v>0</v>
      </c>
      <c r="X370" s="257"/>
      <c r="Y370" s="261">
        <f t="shared" si="43"/>
        <v>0</v>
      </c>
      <c r="Z370" s="12">
        <f t="shared" si="44"/>
        <v>0</v>
      </c>
      <c r="AB370" s="13">
        <f t="shared" si="40"/>
        <v>0</v>
      </c>
      <c r="AD370" s="16"/>
      <c r="AF370" s="13">
        <f t="shared" si="45"/>
        <v>0</v>
      </c>
      <c r="AG370" s="16"/>
      <c r="AM370" s="12">
        <f t="shared" si="46"/>
        <v>0</v>
      </c>
      <c r="AN370" s="13">
        <f t="shared" si="47"/>
        <v>0</v>
      </c>
    </row>
    <row r="371" spans="1:40" x14ac:dyDescent="0.25">
      <c r="A371">
        <v>366</v>
      </c>
      <c r="B371" t="s">
        <v>2177</v>
      </c>
      <c r="F371" s="514">
        <f>+'29'!F371+'30'!F371+'31'!F371</f>
        <v>8</v>
      </c>
      <c r="G371" s="12">
        <f>+'29'!G371+'30'!G371+'31'!G371</f>
        <v>94036.46</v>
      </c>
      <c r="H371" s="12">
        <f>+'29'!H371+'30'!H371+'31'!H371</f>
        <v>240</v>
      </c>
      <c r="I371" s="271"/>
      <c r="J371" s="514">
        <f>+'29'!J371+'30'!J371+'31'!J371</f>
        <v>0</v>
      </c>
      <c r="K371" s="12">
        <f>+'29'!K371+'30'!K371+'31'!K371</f>
        <v>0</v>
      </c>
      <c r="L371" s="12">
        <f>+'29'!L371+'30'!L371+'31'!L371</f>
        <v>0</v>
      </c>
      <c r="M371" s="271"/>
      <c r="N371" s="514">
        <f>+'29'!N371+'30'!N371+'31'!N371</f>
        <v>8</v>
      </c>
      <c r="O371" s="12">
        <f>+'29'!O371+'30'!O371+'31'!O371</f>
        <v>94036.46</v>
      </c>
      <c r="P371" s="12">
        <f>+'29'!P371+'30'!P371+'31'!P371</f>
        <v>240</v>
      </c>
      <c r="Q371" s="532"/>
      <c r="R371" s="270">
        <v>0</v>
      </c>
      <c r="S371" s="12">
        <v>0</v>
      </c>
      <c r="T371" s="12">
        <v>0</v>
      </c>
      <c r="U371" s="271"/>
      <c r="V371" s="533">
        <f t="shared" si="41"/>
        <v>8</v>
      </c>
      <c r="W371" s="533">
        <f t="shared" si="42"/>
        <v>94036.46</v>
      </c>
      <c r="X371" s="257"/>
      <c r="Y371" s="261">
        <f t="shared" si="43"/>
        <v>8</v>
      </c>
      <c r="Z371" s="12">
        <f t="shared" si="44"/>
        <v>94036.46</v>
      </c>
      <c r="AB371" s="13">
        <f t="shared" si="40"/>
        <v>94036.46</v>
      </c>
      <c r="AF371" s="13">
        <f t="shared" si="45"/>
        <v>94036.46</v>
      </c>
      <c r="AM371" s="12">
        <f t="shared" si="46"/>
        <v>0</v>
      </c>
      <c r="AN371" s="13">
        <f t="shared" si="47"/>
        <v>94036.46</v>
      </c>
    </row>
    <row r="372" spans="1:40" x14ac:dyDescent="0.25">
      <c r="A372">
        <v>367</v>
      </c>
      <c r="B372" t="s">
        <v>3225</v>
      </c>
      <c r="D372" t="s">
        <v>16</v>
      </c>
      <c r="F372" s="514">
        <f>+'29'!F372+'30'!F372+'31'!F372</f>
        <v>0</v>
      </c>
      <c r="G372" s="12">
        <f>+'29'!G372+'30'!G372+'31'!G372</f>
        <v>0</v>
      </c>
      <c r="H372" s="12">
        <f>+'29'!H372+'30'!H372+'31'!H372</f>
        <v>0</v>
      </c>
      <c r="I372" s="271"/>
      <c r="J372" s="514">
        <f>+'29'!J372+'30'!J372+'31'!J372</f>
        <v>0</v>
      </c>
      <c r="K372" s="12">
        <f>+'29'!K372+'30'!K372+'31'!K372</f>
        <v>0</v>
      </c>
      <c r="L372" s="12">
        <f>+'29'!L372+'30'!L372+'31'!L372</f>
        <v>0</v>
      </c>
      <c r="M372" s="271"/>
      <c r="N372" s="514">
        <f>+'29'!N372+'30'!N372+'31'!N372</f>
        <v>0</v>
      </c>
      <c r="O372" s="12">
        <f>+'29'!O372+'30'!O372+'31'!O372</f>
        <v>0</v>
      </c>
      <c r="P372" s="12">
        <f>+'29'!P372+'30'!P372+'31'!P372</f>
        <v>0</v>
      </c>
      <c r="Q372" s="532"/>
      <c r="R372" s="270">
        <v>0</v>
      </c>
      <c r="S372" s="12">
        <v>0</v>
      </c>
      <c r="T372" s="12">
        <v>0</v>
      </c>
      <c r="U372" s="271"/>
      <c r="V372" s="533">
        <f t="shared" si="41"/>
        <v>0</v>
      </c>
      <c r="W372" s="533">
        <f t="shared" si="42"/>
        <v>0</v>
      </c>
      <c r="X372" s="257"/>
      <c r="Y372" s="261">
        <f t="shared" si="43"/>
        <v>0</v>
      </c>
      <c r="Z372" s="12">
        <f t="shared" si="44"/>
        <v>0</v>
      </c>
      <c r="AB372" s="13">
        <f t="shared" si="40"/>
        <v>0</v>
      </c>
      <c r="AF372" s="13">
        <f t="shared" si="45"/>
        <v>0</v>
      </c>
      <c r="AM372" s="12">
        <f t="shared" si="46"/>
        <v>0</v>
      </c>
      <c r="AN372" s="13">
        <f t="shared" si="47"/>
        <v>0</v>
      </c>
    </row>
    <row r="373" spans="1:40" x14ac:dyDescent="0.25">
      <c r="A373">
        <v>368</v>
      </c>
      <c r="B373" t="s">
        <v>3229</v>
      </c>
      <c r="C373" t="s">
        <v>15</v>
      </c>
      <c r="D373" t="s">
        <v>20</v>
      </c>
      <c r="F373" s="514">
        <f>+'29'!F373+'30'!F373+'31'!F373</f>
        <v>0</v>
      </c>
      <c r="G373" s="12">
        <f>+'29'!G373+'30'!G373+'31'!G373</f>
        <v>0</v>
      </c>
      <c r="H373" s="12">
        <f>+'29'!H373+'30'!H373+'31'!H373</f>
        <v>0</v>
      </c>
      <c r="I373" s="271"/>
      <c r="J373" s="514">
        <f>+'29'!J373+'30'!J373+'31'!J373</f>
        <v>0</v>
      </c>
      <c r="K373" s="12">
        <f>+'29'!K373+'30'!K373+'31'!K373</f>
        <v>0</v>
      </c>
      <c r="L373" s="12">
        <f>+'29'!L373+'30'!L373+'31'!L373</f>
        <v>0</v>
      </c>
      <c r="M373" s="271"/>
      <c r="N373" s="514">
        <f>+'29'!N373+'30'!N373+'31'!N373</f>
        <v>0</v>
      </c>
      <c r="O373" s="12">
        <f>+'29'!O373+'30'!O373+'31'!O373</f>
        <v>0</v>
      </c>
      <c r="P373" s="12">
        <f>+'29'!P373+'30'!P373+'31'!P373</f>
        <v>0</v>
      </c>
      <c r="Q373" s="532"/>
      <c r="R373" s="270">
        <v>0</v>
      </c>
      <c r="S373" s="12">
        <v>0</v>
      </c>
      <c r="T373" s="12">
        <v>0</v>
      </c>
      <c r="U373" s="271"/>
      <c r="V373" s="533">
        <f t="shared" si="41"/>
        <v>0</v>
      </c>
      <c r="W373" s="533">
        <f t="shared" si="42"/>
        <v>0</v>
      </c>
      <c r="X373" s="257"/>
      <c r="Y373" s="261">
        <f t="shared" si="43"/>
        <v>0</v>
      </c>
      <c r="Z373" s="12">
        <f t="shared" si="44"/>
        <v>0</v>
      </c>
      <c r="AB373" s="13">
        <f t="shared" si="40"/>
        <v>0</v>
      </c>
      <c r="AF373" s="13">
        <f t="shared" si="45"/>
        <v>0</v>
      </c>
      <c r="AM373" s="12">
        <f t="shared" si="46"/>
        <v>0</v>
      </c>
      <c r="AN373" s="13">
        <f t="shared" si="47"/>
        <v>0</v>
      </c>
    </row>
    <row r="374" spans="1:40" x14ac:dyDescent="0.25">
      <c r="A374">
        <v>369</v>
      </c>
      <c r="B374" t="s">
        <v>2987</v>
      </c>
      <c r="F374" s="514">
        <f>+'29'!F374+'30'!F374+'31'!F374</f>
        <v>35</v>
      </c>
      <c r="G374" s="12">
        <f>+'29'!G374+'30'!G374+'31'!G374</f>
        <v>634837.75</v>
      </c>
      <c r="H374" s="12">
        <f>+'29'!H374+'30'!H374+'31'!H374</f>
        <v>1050</v>
      </c>
      <c r="I374" s="271"/>
      <c r="J374" s="514">
        <f>+'29'!J374+'30'!J374+'31'!J374</f>
        <v>0</v>
      </c>
      <c r="K374" s="12">
        <f>+'29'!K374+'30'!K374+'31'!K374</f>
        <v>0</v>
      </c>
      <c r="L374" s="12">
        <f>+'29'!L374+'30'!L374+'31'!L374</f>
        <v>0</v>
      </c>
      <c r="M374" s="271"/>
      <c r="N374" s="514">
        <f>+'29'!N374+'30'!N374+'31'!N374</f>
        <v>35</v>
      </c>
      <c r="O374" s="12">
        <f>+'29'!O374+'30'!O374+'31'!O374</f>
        <v>634837.75</v>
      </c>
      <c r="P374" s="12">
        <f>+'29'!P374+'30'!P374+'31'!P374</f>
        <v>1050</v>
      </c>
      <c r="Q374" s="532"/>
      <c r="R374" s="270">
        <v>0</v>
      </c>
      <c r="S374" s="12">
        <v>0</v>
      </c>
      <c r="T374" s="12">
        <v>0</v>
      </c>
      <c r="U374" s="271"/>
      <c r="V374" s="533">
        <f t="shared" si="41"/>
        <v>35</v>
      </c>
      <c r="W374" s="533">
        <f t="shared" si="42"/>
        <v>634837.75</v>
      </c>
      <c r="X374" s="257"/>
      <c r="Y374" s="261">
        <f t="shared" si="43"/>
        <v>35</v>
      </c>
      <c r="Z374" s="12">
        <f t="shared" si="44"/>
        <v>634837.75</v>
      </c>
      <c r="AB374" s="13">
        <f t="shared" si="40"/>
        <v>634837.75</v>
      </c>
      <c r="AF374" s="13">
        <f t="shared" si="45"/>
        <v>634837.75</v>
      </c>
      <c r="AG374" s="16"/>
      <c r="AM374" s="12">
        <f t="shared" si="46"/>
        <v>0</v>
      </c>
      <c r="AN374" s="13">
        <f t="shared" si="47"/>
        <v>634837.75</v>
      </c>
    </row>
    <row r="375" spans="1:40" x14ac:dyDescent="0.25">
      <c r="A375">
        <v>370</v>
      </c>
      <c r="B375" t="s">
        <v>395</v>
      </c>
      <c r="D375" t="s">
        <v>40</v>
      </c>
      <c r="F375" s="514">
        <f>+'29'!F375+'30'!F375+'31'!F375</f>
        <v>0</v>
      </c>
      <c r="G375" s="12">
        <f>+'29'!G375+'30'!G375+'31'!G375</f>
        <v>0</v>
      </c>
      <c r="H375" s="12">
        <f>+'29'!H375+'30'!H375+'31'!H375</f>
        <v>0</v>
      </c>
      <c r="I375" s="271"/>
      <c r="J375" s="514">
        <f>+'29'!J375+'30'!J375+'31'!J375</f>
        <v>0</v>
      </c>
      <c r="K375" s="12">
        <f>+'29'!K375+'30'!K375+'31'!K375</f>
        <v>0</v>
      </c>
      <c r="L375" s="12">
        <f>+'29'!L375+'30'!L375+'31'!L375</f>
        <v>0</v>
      </c>
      <c r="M375" s="271"/>
      <c r="N375" s="514">
        <f>+'29'!N375+'30'!N375+'31'!N375</f>
        <v>0</v>
      </c>
      <c r="O375" s="12">
        <f>+'29'!O375+'30'!O375+'31'!O375</f>
        <v>0</v>
      </c>
      <c r="P375" s="12">
        <f>+'29'!P375+'30'!P375+'31'!P375</f>
        <v>0</v>
      </c>
      <c r="Q375" s="532"/>
      <c r="R375" s="270">
        <v>0</v>
      </c>
      <c r="S375" s="12">
        <v>0</v>
      </c>
      <c r="T375" s="12">
        <v>0</v>
      </c>
      <c r="U375" s="271"/>
      <c r="V375" s="533">
        <f t="shared" si="41"/>
        <v>0</v>
      </c>
      <c r="W375" s="533">
        <f t="shared" si="42"/>
        <v>0</v>
      </c>
      <c r="X375" s="257"/>
      <c r="Y375" s="261">
        <f t="shared" si="43"/>
        <v>0</v>
      </c>
      <c r="Z375" s="12">
        <f t="shared" si="44"/>
        <v>0</v>
      </c>
      <c r="AB375" s="13">
        <f t="shared" si="40"/>
        <v>0</v>
      </c>
      <c r="AD375" s="16"/>
      <c r="AF375" s="13">
        <f t="shared" si="45"/>
        <v>0</v>
      </c>
      <c r="AG375" s="16"/>
      <c r="AM375" s="12">
        <f t="shared" si="46"/>
        <v>0</v>
      </c>
      <c r="AN375" s="13">
        <f t="shared" si="47"/>
        <v>0</v>
      </c>
    </row>
    <row r="376" spans="1:40" x14ac:dyDescent="0.25">
      <c r="A376">
        <v>371</v>
      </c>
      <c r="B376" t="s">
        <v>396</v>
      </c>
      <c r="C376" t="s">
        <v>154</v>
      </c>
      <c r="D376" t="s">
        <v>16</v>
      </c>
      <c r="F376" s="514">
        <f>+'29'!F376+'30'!F376+'31'!F376</f>
        <v>0</v>
      </c>
      <c r="G376" s="12">
        <f>+'29'!G376+'30'!G376+'31'!G376</f>
        <v>0</v>
      </c>
      <c r="H376" s="12">
        <f>+'29'!H376+'30'!H376+'31'!H376</f>
        <v>0</v>
      </c>
      <c r="I376" s="271"/>
      <c r="J376" s="514">
        <f>+'29'!J376+'30'!J376+'31'!J376</f>
        <v>0</v>
      </c>
      <c r="K376" s="12">
        <f>+'29'!K376+'30'!K376+'31'!K376</f>
        <v>0</v>
      </c>
      <c r="L376" s="12">
        <f>+'29'!L376+'30'!L376+'31'!L376</f>
        <v>0</v>
      </c>
      <c r="M376" s="271"/>
      <c r="N376" s="514">
        <f>+'29'!N376+'30'!N376+'31'!N376</f>
        <v>0</v>
      </c>
      <c r="O376" s="12">
        <f>+'29'!O376+'30'!O376+'31'!O376</f>
        <v>0</v>
      </c>
      <c r="P376" s="12">
        <f>+'29'!P376+'30'!P376+'31'!P376</f>
        <v>0</v>
      </c>
      <c r="Q376" s="532"/>
      <c r="R376" s="270">
        <v>0</v>
      </c>
      <c r="S376" s="12">
        <v>0</v>
      </c>
      <c r="T376" s="12">
        <v>0</v>
      </c>
      <c r="U376" s="271"/>
      <c r="V376" s="533">
        <f t="shared" si="41"/>
        <v>0</v>
      </c>
      <c r="W376" s="533">
        <f t="shared" si="42"/>
        <v>0</v>
      </c>
      <c r="X376" s="257"/>
      <c r="Y376" s="261">
        <f t="shared" si="43"/>
        <v>0</v>
      </c>
      <c r="Z376" s="12">
        <f t="shared" si="44"/>
        <v>0</v>
      </c>
      <c r="AB376" s="13">
        <f t="shared" si="40"/>
        <v>0</v>
      </c>
      <c r="AF376" s="13">
        <f t="shared" si="45"/>
        <v>0</v>
      </c>
      <c r="AM376" s="12">
        <f t="shared" si="46"/>
        <v>0</v>
      </c>
      <c r="AN376" s="13">
        <f t="shared" si="47"/>
        <v>0</v>
      </c>
    </row>
    <row r="377" spans="1:40" x14ac:dyDescent="0.25">
      <c r="A377">
        <v>372</v>
      </c>
      <c r="B377" t="s">
        <v>3167</v>
      </c>
      <c r="F377" s="514">
        <f>+'29'!F377+'30'!F377+'31'!F377</f>
        <v>0</v>
      </c>
      <c r="G377" s="12">
        <f>+'29'!G377+'30'!G377+'31'!G377</f>
        <v>0</v>
      </c>
      <c r="H377" s="12">
        <f>+'29'!H377+'30'!H377+'31'!H377</f>
        <v>0</v>
      </c>
      <c r="I377" s="271"/>
      <c r="J377" s="514">
        <f>+'29'!J377+'30'!J377+'31'!J377</f>
        <v>0</v>
      </c>
      <c r="K377" s="12">
        <f>+'29'!K377+'30'!K377+'31'!K377</f>
        <v>0</v>
      </c>
      <c r="L377" s="12">
        <f>+'29'!L377+'30'!L377+'31'!L377</f>
        <v>0</v>
      </c>
      <c r="M377" s="271"/>
      <c r="N377" s="514">
        <f>+'29'!N377+'30'!N377+'31'!N377</f>
        <v>0</v>
      </c>
      <c r="O377" s="12">
        <f>+'29'!O377+'30'!O377+'31'!O377</f>
        <v>0</v>
      </c>
      <c r="P377" s="12">
        <f>+'29'!P377+'30'!P377+'31'!P377</f>
        <v>0</v>
      </c>
      <c r="Q377" s="532"/>
      <c r="R377" s="270">
        <v>0</v>
      </c>
      <c r="S377" s="12">
        <v>0</v>
      </c>
      <c r="T377" s="12">
        <v>0</v>
      </c>
      <c r="U377" s="271"/>
      <c r="V377" s="533">
        <f t="shared" si="41"/>
        <v>0</v>
      </c>
      <c r="W377" s="533">
        <f t="shared" si="42"/>
        <v>0</v>
      </c>
      <c r="X377" s="257"/>
      <c r="Y377" s="261">
        <f t="shared" si="43"/>
        <v>0</v>
      </c>
      <c r="Z377" s="12">
        <f t="shared" si="44"/>
        <v>0</v>
      </c>
      <c r="AB377" s="13">
        <f t="shared" si="40"/>
        <v>0</v>
      </c>
      <c r="AF377" s="13">
        <f t="shared" si="45"/>
        <v>0</v>
      </c>
      <c r="AM377" s="12">
        <f t="shared" si="46"/>
        <v>0</v>
      </c>
      <c r="AN377" s="13">
        <f t="shared" si="47"/>
        <v>0</v>
      </c>
    </row>
    <row r="378" spans="1:40" x14ac:dyDescent="0.25">
      <c r="A378">
        <v>373</v>
      </c>
      <c r="B378" t="s">
        <v>397</v>
      </c>
      <c r="C378" t="s">
        <v>25</v>
      </c>
      <c r="D378" t="s">
        <v>40</v>
      </c>
      <c r="F378" s="514">
        <f>+'29'!F378+'30'!F378+'31'!F378</f>
        <v>9</v>
      </c>
      <c r="G378" s="12">
        <f>+'29'!G378+'30'!G378+'31'!G378</f>
        <v>7620.91</v>
      </c>
      <c r="H378" s="12">
        <f>+'29'!H378+'30'!H378+'31'!H378</f>
        <v>0</v>
      </c>
      <c r="I378" s="271"/>
      <c r="J378" s="514">
        <f>+'29'!J378+'30'!J378+'31'!J378</f>
        <v>0</v>
      </c>
      <c r="K378" s="12">
        <f>+'29'!K378+'30'!K378+'31'!K378</f>
        <v>0</v>
      </c>
      <c r="L378" s="12">
        <f>+'29'!L378+'30'!L378+'31'!L378</f>
        <v>0</v>
      </c>
      <c r="M378" s="271"/>
      <c r="N378" s="514">
        <f>+'29'!N378+'30'!N378+'31'!N378</f>
        <v>9</v>
      </c>
      <c r="O378" s="12">
        <f>+'29'!O378+'30'!O378+'31'!O378</f>
        <v>7620.91</v>
      </c>
      <c r="P378" s="12">
        <f>+'29'!P378+'30'!P378+'31'!P378</f>
        <v>0</v>
      </c>
      <c r="Q378" s="532"/>
      <c r="R378" s="270">
        <v>9</v>
      </c>
      <c r="S378" s="12">
        <v>7620.91</v>
      </c>
      <c r="T378" s="12">
        <v>0</v>
      </c>
      <c r="U378" s="271"/>
      <c r="V378" s="533">
        <f t="shared" si="41"/>
        <v>0</v>
      </c>
      <c r="W378" s="533">
        <f t="shared" si="42"/>
        <v>0</v>
      </c>
      <c r="X378" s="257"/>
      <c r="Y378" s="261">
        <f t="shared" si="43"/>
        <v>0</v>
      </c>
      <c r="Z378" s="12">
        <f t="shared" si="44"/>
        <v>0</v>
      </c>
      <c r="AB378" s="13">
        <f t="shared" si="40"/>
        <v>7620.91</v>
      </c>
      <c r="AF378" s="13">
        <f t="shared" si="45"/>
        <v>7620.91</v>
      </c>
      <c r="AM378" s="12">
        <f t="shared" si="46"/>
        <v>0</v>
      </c>
      <c r="AN378" s="13">
        <f t="shared" si="47"/>
        <v>7620.91</v>
      </c>
    </row>
    <row r="379" spans="1:40" x14ac:dyDescent="0.25">
      <c r="A379">
        <v>374</v>
      </c>
      <c r="B379" t="s">
        <v>2962</v>
      </c>
      <c r="F379" s="514">
        <f>+'29'!F379+'30'!F379+'31'!F379</f>
        <v>10</v>
      </c>
      <c r="G379" s="12">
        <f>+'29'!G379+'30'!G379+'31'!G379</f>
        <v>233815.61</v>
      </c>
      <c r="H379" s="12">
        <f>+'29'!H379+'30'!H379+'31'!H379</f>
        <v>300</v>
      </c>
      <c r="I379" s="271"/>
      <c r="J379" s="514">
        <f>+'29'!J379+'30'!J379+'31'!J379</f>
        <v>0</v>
      </c>
      <c r="K379" s="12">
        <f>+'29'!K379+'30'!K379+'31'!K379</f>
        <v>0</v>
      </c>
      <c r="L379" s="12">
        <f>+'29'!L379+'30'!L379+'31'!L379</f>
        <v>0</v>
      </c>
      <c r="M379" s="271"/>
      <c r="N379" s="514">
        <f>+'29'!N379+'30'!N379+'31'!N379</f>
        <v>10</v>
      </c>
      <c r="O379" s="12">
        <f>+'29'!O379+'30'!O379+'31'!O379</f>
        <v>233815.61</v>
      </c>
      <c r="P379" s="12">
        <f>+'29'!P379+'30'!P379+'31'!P379</f>
        <v>300</v>
      </c>
      <c r="Q379" s="532"/>
      <c r="R379" s="270">
        <v>0</v>
      </c>
      <c r="S379" s="12">
        <v>0</v>
      </c>
      <c r="T379" s="12">
        <v>0</v>
      </c>
      <c r="U379" s="271"/>
      <c r="V379" s="533">
        <f t="shared" si="41"/>
        <v>10</v>
      </c>
      <c r="W379" s="533">
        <f t="shared" si="42"/>
        <v>233815.61</v>
      </c>
      <c r="X379" s="257"/>
      <c r="Y379" s="261">
        <f t="shared" si="43"/>
        <v>10</v>
      </c>
      <c r="Z379" s="12">
        <f t="shared" si="44"/>
        <v>233815.61</v>
      </c>
      <c r="AB379" s="13">
        <f t="shared" si="40"/>
        <v>233815.61</v>
      </c>
      <c r="AF379" s="13">
        <f t="shared" si="45"/>
        <v>233815.61</v>
      </c>
      <c r="AM379" s="12">
        <f t="shared" si="46"/>
        <v>0</v>
      </c>
      <c r="AN379" s="13">
        <f t="shared" si="47"/>
        <v>233815.61</v>
      </c>
    </row>
    <row r="380" spans="1:40" x14ac:dyDescent="0.25">
      <c r="A380">
        <v>375</v>
      </c>
      <c r="B380" t="s">
        <v>398</v>
      </c>
      <c r="C380" t="s">
        <v>18</v>
      </c>
      <c r="D380" t="s">
        <v>16</v>
      </c>
      <c r="F380" s="514">
        <f>+'29'!F380+'30'!F380+'31'!F380</f>
        <v>0</v>
      </c>
      <c r="G380" s="12">
        <f>+'29'!G380+'30'!G380+'31'!G380</f>
        <v>0</v>
      </c>
      <c r="H380" s="12">
        <f>+'29'!H380+'30'!H380+'31'!H380</f>
        <v>0</v>
      </c>
      <c r="I380" s="271"/>
      <c r="J380" s="514">
        <f>+'29'!J380+'30'!J380+'31'!J380</f>
        <v>0</v>
      </c>
      <c r="K380" s="12">
        <f>+'29'!K380+'30'!K380+'31'!K380</f>
        <v>0</v>
      </c>
      <c r="L380" s="12">
        <f>+'29'!L380+'30'!L380+'31'!L380</f>
        <v>0</v>
      </c>
      <c r="M380" s="271"/>
      <c r="N380" s="514">
        <f>+'29'!N380+'30'!N380+'31'!N380</f>
        <v>0</v>
      </c>
      <c r="O380" s="12">
        <f>+'29'!O380+'30'!O380+'31'!O380</f>
        <v>0</v>
      </c>
      <c r="P380" s="12">
        <f>+'29'!P380+'30'!P380+'31'!P380</f>
        <v>0</v>
      </c>
      <c r="Q380" s="532"/>
      <c r="R380" s="270">
        <v>0</v>
      </c>
      <c r="S380" s="12">
        <v>0</v>
      </c>
      <c r="T380" s="12">
        <v>0</v>
      </c>
      <c r="U380" s="271"/>
      <c r="V380" s="533">
        <f t="shared" si="41"/>
        <v>0</v>
      </c>
      <c r="W380" s="533">
        <f t="shared" si="42"/>
        <v>0</v>
      </c>
      <c r="X380" s="257"/>
      <c r="Y380" s="261">
        <f t="shared" si="43"/>
        <v>0</v>
      </c>
      <c r="Z380" s="12">
        <f t="shared" si="44"/>
        <v>0</v>
      </c>
      <c r="AB380" s="13">
        <f t="shared" si="40"/>
        <v>0</v>
      </c>
      <c r="AF380" s="13">
        <f t="shared" si="45"/>
        <v>0</v>
      </c>
      <c r="AM380" s="12">
        <f t="shared" si="46"/>
        <v>0</v>
      </c>
      <c r="AN380" s="13">
        <f t="shared" si="47"/>
        <v>0</v>
      </c>
    </row>
    <row r="381" spans="1:40" x14ac:dyDescent="0.25">
      <c r="A381">
        <v>376</v>
      </c>
      <c r="B381" t="s">
        <v>2995</v>
      </c>
      <c r="C381" t="s">
        <v>294</v>
      </c>
      <c r="D381" t="s">
        <v>16</v>
      </c>
      <c r="F381" s="514">
        <f>+'29'!F381+'30'!F381+'31'!F381</f>
        <v>140</v>
      </c>
      <c r="G381" s="12">
        <f>+'29'!G381+'30'!G381+'31'!G381</f>
        <v>463804.97</v>
      </c>
      <c r="H381" s="12">
        <f>+'29'!H381+'30'!H381+'31'!H381</f>
        <v>1400</v>
      </c>
      <c r="I381" s="271"/>
      <c r="J381" s="514">
        <f>+'29'!J381+'30'!J381+'31'!J381</f>
        <v>0</v>
      </c>
      <c r="K381" s="12">
        <f>+'29'!K381+'30'!K381+'31'!K381</f>
        <v>0</v>
      </c>
      <c r="L381" s="12">
        <f>+'29'!L381+'30'!L381+'31'!L381</f>
        <v>0</v>
      </c>
      <c r="M381" s="271"/>
      <c r="N381" s="514">
        <f>+'29'!N381+'30'!N381+'31'!N381</f>
        <v>140</v>
      </c>
      <c r="O381" s="12">
        <f>+'29'!O381+'30'!O381+'31'!O381</f>
        <v>463804.97</v>
      </c>
      <c r="P381" s="12">
        <f>+'29'!P381+'30'!P381+'31'!P381</f>
        <v>1400</v>
      </c>
      <c r="Q381" s="532"/>
      <c r="R381" s="270">
        <v>140</v>
      </c>
      <c r="S381" s="12">
        <v>463804.97</v>
      </c>
      <c r="T381" s="12">
        <v>0</v>
      </c>
      <c r="U381" s="271"/>
      <c r="V381" s="533">
        <f t="shared" si="41"/>
        <v>0</v>
      </c>
      <c r="W381" s="533">
        <f t="shared" si="42"/>
        <v>0</v>
      </c>
      <c r="X381" s="257"/>
      <c r="Y381" s="261">
        <f t="shared" si="43"/>
        <v>0</v>
      </c>
      <c r="Z381" s="12">
        <f t="shared" si="44"/>
        <v>0</v>
      </c>
      <c r="AB381" s="13">
        <f t="shared" si="40"/>
        <v>463804.97</v>
      </c>
      <c r="AF381" s="13">
        <f t="shared" si="45"/>
        <v>463804.97</v>
      </c>
      <c r="AM381" s="12">
        <f t="shared" si="46"/>
        <v>0</v>
      </c>
      <c r="AN381" s="13">
        <f t="shared" si="47"/>
        <v>463804.97</v>
      </c>
    </row>
    <row r="382" spans="1:40" x14ac:dyDescent="0.25">
      <c r="A382">
        <v>377</v>
      </c>
      <c r="B382" t="s">
        <v>399</v>
      </c>
      <c r="C382" t="s">
        <v>24</v>
      </c>
      <c r="D382" t="s">
        <v>16</v>
      </c>
      <c r="F382" s="514">
        <f>+'29'!F382+'30'!F382+'31'!F382</f>
        <v>88</v>
      </c>
      <c r="G382" s="12">
        <f>+'29'!G382+'30'!G382+'31'!G382</f>
        <v>2830248.75</v>
      </c>
      <c r="H382" s="12">
        <f>+'29'!H382+'30'!H382+'31'!H382</f>
        <v>2925</v>
      </c>
      <c r="I382" s="271"/>
      <c r="J382" s="514">
        <f>+'29'!J382+'30'!J382+'31'!J382</f>
        <v>0</v>
      </c>
      <c r="K382" s="12">
        <f>+'29'!K382+'30'!K382+'31'!K382</f>
        <v>0</v>
      </c>
      <c r="L382" s="12">
        <f>+'29'!L382+'30'!L382+'31'!L382</f>
        <v>0</v>
      </c>
      <c r="M382" s="271"/>
      <c r="N382" s="514">
        <f>+'29'!N382+'30'!N382+'31'!N382</f>
        <v>88</v>
      </c>
      <c r="O382" s="12">
        <f>+'29'!O382+'30'!O382+'31'!O382</f>
        <v>2830248.75</v>
      </c>
      <c r="P382" s="12">
        <f>+'29'!P382+'30'!P382+'31'!P382</f>
        <v>2925</v>
      </c>
      <c r="Q382" s="532"/>
      <c r="R382" s="270">
        <v>88</v>
      </c>
      <c r="S382" s="12">
        <v>2830248.75</v>
      </c>
      <c r="T382" s="12">
        <v>0</v>
      </c>
      <c r="U382" s="271"/>
      <c r="V382" s="533">
        <f t="shared" si="41"/>
        <v>0</v>
      </c>
      <c r="W382" s="533">
        <f t="shared" si="42"/>
        <v>0</v>
      </c>
      <c r="X382" s="257"/>
      <c r="Y382" s="261">
        <f t="shared" si="43"/>
        <v>0</v>
      </c>
      <c r="Z382" s="12">
        <f t="shared" si="44"/>
        <v>0</v>
      </c>
      <c r="AB382" s="13">
        <f t="shared" si="40"/>
        <v>2830248.75</v>
      </c>
      <c r="AF382" s="13">
        <f t="shared" si="45"/>
        <v>2830248.75</v>
      </c>
      <c r="AM382" s="12">
        <f t="shared" si="46"/>
        <v>0</v>
      </c>
      <c r="AN382" s="13">
        <f t="shared" si="47"/>
        <v>2830248.75</v>
      </c>
    </row>
    <row r="383" spans="1:40" x14ac:dyDescent="0.25">
      <c r="A383">
        <v>378</v>
      </c>
      <c r="B383" t="s">
        <v>3089</v>
      </c>
      <c r="C383" t="s">
        <v>18</v>
      </c>
      <c r="D383" t="s">
        <v>20</v>
      </c>
      <c r="F383" s="514">
        <f>+'29'!F383+'30'!F383+'31'!F383</f>
        <v>5</v>
      </c>
      <c r="G383" s="12">
        <f>+'29'!G383+'30'!G383+'31'!G383</f>
        <v>7425</v>
      </c>
      <c r="H383" s="12">
        <f>+'29'!H383+'30'!H383+'31'!H383</f>
        <v>0</v>
      </c>
      <c r="I383" s="271"/>
      <c r="J383" s="514">
        <f>+'29'!J383+'30'!J383+'31'!J383</f>
        <v>0</v>
      </c>
      <c r="K383" s="12">
        <f>+'29'!K383+'30'!K383+'31'!K383</f>
        <v>0</v>
      </c>
      <c r="L383" s="12">
        <f>+'29'!L383+'30'!L383+'31'!L383</f>
        <v>0</v>
      </c>
      <c r="M383" s="271"/>
      <c r="N383" s="514">
        <f>+'29'!N383+'30'!N383+'31'!N383</f>
        <v>5</v>
      </c>
      <c r="O383" s="12">
        <f>+'29'!O383+'30'!O383+'31'!O383</f>
        <v>7425</v>
      </c>
      <c r="P383" s="12">
        <f>+'29'!P383+'30'!P383+'31'!P383</f>
        <v>0</v>
      </c>
      <c r="Q383" s="532"/>
      <c r="R383" s="270">
        <v>13</v>
      </c>
      <c r="S383" s="12">
        <v>19747</v>
      </c>
      <c r="T383" s="12">
        <v>0</v>
      </c>
      <c r="U383" s="271"/>
      <c r="V383" s="533">
        <f t="shared" si="41"/>
        <v>-8</v>
      </c>
      <c r="W383" s="533">
        <f t="shared" si="42"/>
        <v>-12322</v>
      </c>
      <c r="X383" s="257"/>
      <c r="Y383" s="261">
        <f t="shared" si="43"/>
        <v>-8</v>
      </c>
      <c r="Z383" s="12">
        <f t="shared" si="44"/>
        <v>-12322</v>
      </c>
      <c r="AB383" s="13">
        <f t="shared" si="40"/>
        <v>7425</v>
      </c>
      <c r="AF383" s="13">
        <f t="shared" si="45"/>
        <v>7425</v>
      </c>
      <c r="AM383" s="12">
        <f t="shared" si="46"/>
        <v>0</v>
      </c>
      <c r="AN383" s="13">
        <f t="shared" si="47"/>
        <v>7425</v>
      </c>
    </row>
    <row r="384" spans="1:40" x14ac:dyDescent="0.25">
      <c r="A384">
        <v>379</v>
      </c>
      <c r="B384" t="s">
        <v>3090</v>
      </c>
      <c r="C384" t="s">
        <v>18</v>
      </c>
      <c r="D384" t="s">
        <v>20</v>
      </c>
      <c r="F384" s="514">
        <f>+'29'!F384+'30'!F384+'31'!F384</f>
        <v>0</v>
      </c>
      <c r="G384" s="12">
        <f>+'29'!G384+'30'!G384+'31'!G384</f>
        <v>0</v>
      </c>
      <c r="H384" s="12">
        <f>+'29'!H384+'30'!H384+'31'!H384</f>
        <v>0</v>
      </c>
      <c r="I384" s="271"/>
      <c r="J384" s="514">
        <f>+'29'!J384+'30'!J384+'31'!J384</f>
        <v>0</v>
      </c>
      <c r="K384" s="12">
        <f>+'29'!K384+'30'!K384+'31'!K384</f>
        <v>0</v>
      </c>
      <c r="L384" s="12">
        <f>+'29'!L384+'30'!L384+'31'!L384</f>
        <v>0</v>
      </c>
      <c r="M384" s="271"/>
      <c r="N384" s="514">
        <f>+'29'!N384+'30'!N384+'31'!N384</f>
        <v>0</v>
      </c>
      <c r="O384" s="12">
        <f>+'29'!O384+'30'!O384+'31'!O384</f>
        <v>0</v>
      </c>
      <c r="P384" s="12">
        <f>+'29'!P384+'30'!P384+'31'!P384</f>
        <v>0</v>
      </c>
      <c r="Q384" s="532"/>
      <c r="R384" s="270">
        <v>4</v>
      </c>
      <c r="S384" s="12">
        <v>13401</v>
      </c>
      <c r="T384" s="12">
        <v>0</v>
      </c>
      <c r="U384" s="271"/>
      <c r="V384" s="533">
        <f t="shared" si="41"/>
        <v>-4</v>
      </c>
      <c r="W384" s="533">
        <f t="shared" si="42"/>
        <v>-13401</v>
      </c>
      <c r="X384" s="257"/>
      <c r="Y384" s="261">
        <f t="shared" si="43"/>
        <v>-4</v>
      </c>
      <c r="Z384" s="12">
        <f t="shared" si="44"/>
        <v>-13401</v>
      </c>
      <c r="AB384" s="13">
        <f t="shared" si="40"/>
        <v>0</v>
      </c>
      <c r="AF384" s="13">
        <f t="shared" si="45"/>
        <v>0</v>
      </c>
      <c r="AM384" s="12">
        <f t="shared" si="46"/>
        <v>0</v>
      </c>
      <c r="AN384" s="13">
        <f t="shared" si="47"/>
        <v>0</v>
      </c>
    </row>
    <row r="385" spans="1:40" x14ac:dyDescent="0.25">
      <c r="A385">
        <v>380</v>
      </c>
      <c r="B385" t="s">
        <v>400</v>
      </c>
      <c r="C385" t="s">
        <v>148</v>
      </c>
      <c r="D385" t="s">
        <v>20</v>
      </c>
      <c r="F385" s="514">
        <f>+'29'!F385+'30'!F385+'31'!F385</f>
        <v>64</v>
      </c>
      <c r="G385" s="12">
        <f>+'29'!G385+'30'!G385+'31'!G385</f>
        <v>1357275.4</v>
      </c>
      <c r="H385" s="12">
        <f>+'29'!H385+'30'!H385+'31'!H385</f>
        <v>1920</v>
      </c>
      <c r="I385" s="271"/>
      <c r="J385" s="514">
        <f>+'29'!J385+'30'!J385+'31'!J385</f>
        <v>0</v>
      </c>
      <c r="K385" s="12">
        <f>+'29'!K385+'30'!K385+'31'!K385</f>
        <v>0</v>
      </c>
      <c r="L385" s="12">
        <f>+'29'!L385+'30'!L385+'31'!L385</f>
        <v>0</v>
      </c>
      <c r="M385" s="271"/>
      <c r="N385" s="514">
        <f>+'29'!N385+'30'!N385+'31'!N385</f>
        <v>64</v>
      </c>
      <c r="O385" s="12">
        <f>+'29'!O385+'30'!O385+'31'!O385</f>
        <v>1357275.4</v>
      </c>
      <c r="P385" s="12">
        <f>+'29'!P385+'30'!P385+'31'!P385</f>
        <v>1920</v>
      </c>
      <c r="Q385" s="532"/>
      <c r="R385" s="270">
        <v>64</v>
      </c>
      <c r="S385" s="12">
        <v>1355355.4</v>
      </c>
      <c r="T385" s="12">
        <v>1920</v>
      </c>
      <c r="U385" s="271"/>
      <c r="V385" s="533">
        <f t="shared" si="41"/>
        <v>0</v>
      </c>
      <c r="W385" s="533">
        <f t="shared" si="42"/>
        <v>1920</v>
      </c>
      <c r="X385" s="257"/>
      <c r="Y385" s="261">
        <f t="shared" si="43"/>
        <v>0</v>
      </c>
      <c r="Z385" s="12">
        <f t="shared" si="44"/>
        <v>1920</v>
      </c>
      <c r="AB385" s="13">
        <f t="shared" si="40"/>
        <v>1357275.4</v>
      </c>
      <c r="AF385" s="13">
        <f t="shared" si="45"/>
        <v>1357275.4</v>
      </c>
      <c r="AM385" s="12">
        <f t="shared" si="46"/>
        <v>0</v>
      </c>
      <c r="AN385" s="13">
        <f t="shared" si="47"/>
        <v>1357275.4</v>
      </c>
    </row>
    <row r="386" spans="1:40" x14ac:dyDescent="0.25">
      <c r="A386">
        <v>381</v>
      </c>
      <c r="B386" t="s">
        <v>401</v>
      </c>
      <c r="C386" t="s">
        <v>148</v>
      </c>
      <c r="D386" t="s">
        <v>20</v>
      </c>
      <c r="F386" s="514">
        <f>+'29'!F386+'30'!F386+'31'!F386</f>
        <v>12</v>
      </c>
      <c r="G386" s="12">
        <f>+'29'!G386+'30'!G386+'31'!G386</f>
        <v>308081.08999999997</v>
      </c>
      <c r="H386" s="12">
        <f>+'29'!H386+'30'!H386+'31'!H386</f>
        <v>360</v>
      </c>
      <c r="I386" s="271"/>
      <c r="J386" s="514">
        <f>+'29'!J386+'30'!J386+'31'!J386</f>
        <v>0</v>
      </c>
      <c r="K386" s="12">
        <f>+'29'!K386+'30'!K386+'31'!K386</f>
        <v>0</v>
      </c>
      <c r="L386" s="12">
        <f>+'29'!L386+'30'!L386+'31'!L386</f>
        <v>0</v>
      </c>
      <c r="M386" s="271"/>
      <c r="N386" s="514">
        <f>+'29'!N386+'30'!N386+'31'!N386</f>
        <v>12</v>
      </c>
      <c r="O386" s="12">
        <f>+'29'!O386+'30'!O386+'31'!O386</f>
        <v>308081.08999999997</v>
      </c>
      <c r="P386" s="12">
        <f>+'29'!P386+'30'!P386+'31'!P386</f>
        <v>360</v>
      </c>
      <c r="Q386" s="532"/>
      <c r="R386" s="270">
        <v>12</v>
      </c>
      <c r="S386" s="12">
        <v>307721.09000000003</v>
      </c>
      <c r="T386" s="12">
        <v>360</v>
      </c>
      <c r="U386" s="271"/>
      <c r="V386" s="533">
        <f t="shared" si="41"/>
        <v>0</v>
      </c>
      <c r="W386" s="533">
        <f t="shared" si="42"/>
        <v>359.99999999994179</v>
      </c>
      <c r="X386" s="257"/>
      <c r="Y386" s="261">
        <f t="shared" si="43"/>
        <v>0</v>
      </c>
      <c r="Z386" s="12">
        <f t="shared" si="44"/>
        <v>359.99999999994179</v>
      </c>
      <c r="AB386" s="13">
        <f t="shared" si="40"/>
        <v>308081.08999999997</v>
      </c>
      <c r="AF386" s="13">
        <f t="shared" si="45"/>
        <v>308081.08999999997</v>
      </c>
      <c r="AM386" s="12">
        <f t="shared" si="46"/>
        <v>0</v>
      </c>
      <c r="AN386" s="13">
        <f t="shared" si="47"/>
        <v>308081.08999999997</v>
      </c>
    </row>
    <row r="387" spans="1:40" x14ac:dyDescent="0.25">
      <c r="A387">
        <v>382</v>
      </c>
      <c r="B387" t="s">
        <v>402</v>
      </c>
      <c r="C387" t="s">
        <v>148</v>
      </c>
      <c r="D387" t="s">
        <v>20</v>
      </c>
      <c r="F387" s="514">
        <f>+'29'!F387+'30'!F387+'31'!F387</f>
        <v>22</v>
      </c>
      <c r="G387" s="12">
        <f>+'29'!G387+'30'!G387+'31'!G387</f>
        <v>422505.87</v>
      </c>
      <c r="H387" s="12">
        <f>+'29'!H387+'30'!H387+'31'!H387</f>
        <v>660</v>
      </c>
      <c r="I387" s="271"/>
      <c r="J387" s="514">
        <f>+'29'!J387+'30'!J387+'31'!J387</f>
        <v>0</v>
      </c>
      <c r="K387" s="12">
        <f>+'29'!K387+'30'!K387+'31'!K387</f>
        <v>0</v>
      </c>
      <c r="L387" s="12">
        <f>+'29'!L387+'30'!L387+'31'!L387</f>
        <v>0</v>
      </c>
      <c r="M387" s="271"/>
      <c r="N387" s="514">
        <f>+'29'!N387+'30'!N387+'31'!N387</f>
        <v>22</v>
      </c>
      <c r="O387" s="12">
        <f>+'29'!O387+'30'!O387+'31'!O387</f>
        <v>422505.87</v>
      </c>
      <c r="P387" s="12">
        <f>+'29'!P387+'30'!P387+'31'!P387</f>
        <v>660</v>
      </c>
      <c r="Q387" s="532"/>
      <c r="R387" s="270">
        <v>22</v>
      </c>
      <c r="S387" s="12">
        <v>421845.87</v>
      </c>
      <c r="T387" s="12">
        <v>660</v>
      </c>
      <c r="U387" s="271"/>
      <c r="V387" s="533">
        <f t="shared" si="41"/>
        <v>0</v>
      </c>
      <c r="W387" s="533">
        <f t="shared" si="42"/>
        <v>660</v>
      </c>
      <c r="X387" s="257"/>
      <c r="Y387" s="261">
        <f t="shared" si="43"/>
        <v>0</v>
      </c>
      <c r="Z387" s="12">
        <f t="shared" si="44"/>
        <v>660</v>
      </c>
      <c r="AB387" s="13">
        <f t="shared" si="40"/>
        <v>422505.87</v>
      </c>
      <c r="AD387" s="16"/>
      <c r="AF387" s="13">
        <f t="shared" si="45"/>
        <v>422505.87</v>
      </c>
      <c r="AM387" s="12">
        <f t="shared" si="46"/>
        <v>0</v>
      </c>
      <c r="AN387" s="13">
        <f t="shared" si="47"/>
        <v>422505.87</v>
      </c>
    </row>
    <row r="388" spans="1:40" x14ac:dyDescent="0.25">
      <c r="A388">
        <v>383</v>
      </c>
      <c r="B388" t="s">
        <v>403</v>
      </c>
      <c r="C388" t="s">
        <v>355</v>
      </c>
      <c r="D388" t="s">
        <v>16</v>
      </c>
      <c r="F388" s="514">
        <f>+'29'!F388+'30'!F388+'31'!F388</f>
        <v>1</v>
      </c>
      <c r="G388" s="12">
        <f>+'29'!G388+'30'!G388+'31'!G388</f>
        <v>210</v>
      </c>
      <c r="H388" s="12">
        <f>+'29'!H388+'30'!H388+'31'!H388</f>
        <v>10</v>
      </c>
      <c r="I388" s="271"/>
      <c r="J388" s="514">
        <f>+'29'!J388+'30'!J388+'31'!J388</f>
        <v>0</v>
      </c>
      <c r="K388" s="12">
        <f>+'29'!K388+'30'!K388+'31'!K388</f>
        <v>0</v>
      </c>
      <c r="L388" s="12">
        <f>+'29'!L388+'30'!L388+'31'!L388</f>
        <v>0</v>
      </c>
      <c r="M388" s="271"/>
      <c r="N388" s="514">
        <f>+'29'!N388+'30'!N388+'31'!N388</f>
        <v>1</v>
      </c>
      <c r="O388" s="12">
        <f>+'29'!O388+'30'!O388+'31'!O388</f>
        <v>210</v>
      </c>
      <c r="P388" s="12">
        <f>+'29'!P388+'30'!P388+'31'!P388</f>
        <v>10</v>
      </c>
      <c r="Q388" s="532"/>
      <c r="R388" s="270">
        <v>1</v>
      </c>
      <c r="S388" s="12">
        <v>210</v>
      </c>
      <c r="T388" s="12">
        <v>0</v>
      </c>
      <c r="U388" s="271"/>
      <c r="V388" s="533">
        <f t="shared" si="41"/>
        <v>0</v>
      </c>
      <c r="W388" s="533">
        <f t="shared" si="42"/>
        <v>0</v>
      </c>
      <c r="X388" s="257"/>
      <c r="Y388" s="261">
        <f t="shared" si="43"/>
        <v>0</v>
      </c>
      <c r="Z388" s="12">
        <f t="shared" si="44"/>
        <v>0</v>
      </c>
      <c r="AB388" s="13">
        <f t="shared" si="40"/>
        <v>210</v>
      </c>
      <c r="AF388" s="13">
        <f t="shared" si="45"/>
        <v>210</v>
      </c>
      <c r="AI388" s="33"/>
      <c r="AL388" s="33"/>
      <c r="AM388" s="12">
        <f t="shared" si="46"/>
        <v>0</v>
      </c>
      <c r="AN388" s="13">
        <f t="shared" si="47"/>
        <v>210</v>
      </c>
    </row>
    <row r="389" spans="1:40" x14ac:dyDescent="0.25">
      <c r="A389">
        <v>384</v>
      </c>
      <c r="B389" t="s">
        <v>405</v>
      </c>
      <c r="C389" t="s">
        <v>25</v>
      </c>
      <c r="D389" t="s">
        <v>16</v>
      </c>
      <c r="F389" s="514">
        <f>+'29'!F389+'30'!F389+'31'!F389</f>
        <v>30</v>
      </c>
      <c r="G389" s="12">
        <f>+'29'!G389+'30'!G389+'31'!G389</f>
        <v>23287</v>
      </c>
      <c r="H389" s="12">
        <f>+'29'!H389+'30'!H389+'31'!H389</f>
        <v>240</v>
      </c>
      <c r="I389" s="271"/>
      <c r="J389" s="514">
        <f>+'29'!J389+'30'!J389+'31'!J389</f>
        <v>0</v>
      </c>
      <c r="K389" s="12">
        <f>+'29'!K389+'30'!K389+'31'!K389</f>
        <v>0</v>
      </c>
      <c r="L389" s="12">
        <f>+'29'!L389+'30'!L389+'31'!L389</f>
        <v>0</v>
      </c>
      <c r="M389" s="271"/>
      <c r="N389" s="514">
        <f>+'29'!N389+'30'!N389+'31'!N389</f>
        <v>30</v>
      </c>
      <c r="O389" s="12">
        <f>+'29'!O389+'30'!O389+'31'!O389</f>
        <v>23287</v>
      </c>
      <c r="P389" s="12">
        <f>+'29'!P389+'30'!P389+'31'!P389</f>
        <v>240</v>
      </c>
      <c r="Q389" s="532"/>
      <c r="R389" s="270">
        <v>30</v>
      </c>
      <c r="S389" s="12">
        <v>23287</v>
      </c>
      <c r="T389" s="12">
        <v>0</v>
      </c>
      <c r="U389" s="271"/>
      <c r="V389" s="533">
        <f t="shared" si="41"/>
        <v>0</v>
      </c>
      <c r="W389" s="533">
        <f t="shared" si="42"/>
        <v>0</v>
      </c>
      <c r="X389" s="257"/>
      <c r="Y389" s="261">
        <f t="shared" si="43"/>
        <v>0</v>
      </c>
      <c r="Z389" s="12">
        <f t="shared" si="44"/>
        <v>0</v>
      </c>
      <c r="AB389" s="13">
        <f t="shared" si="40"/>
        <v>23287</v>
      </c>
      <c r="AD389" s="16"/>
      <c r="AF389" s="13">
        <f t="shared" si="45"/>
        <v>23287</v>
      </c>
      <c r="AG389" s="16"/>
      <c r="AM389" s="12">
        <f t="shared" si="46"/>
        <v>0</v>
      </c>
      <c r="AN389" s="13">
        <f t="shared" si="47"/>
        <v>23287</v>
      </c>
    </row>
    <row r="390" spans="1:40" x14ac:dyDescent="0.25">
      <c r="A390">
        <v>385</v>
      </c>
      <c r="B390" t="s">
        <v>406</v>
      </c>
      <c r="C390" t="s">
        <v>25</v>
      </c>
      <c r="D390" t="s">
        <v>16</v>
      </c>
      <c r="F390" s="514">
        <f>+'29'!F390+'30'!F390+'31'!F390</f>
        <v>0</v>
      </c>
      <c r="G390" s="12">
        <f>+'29'!G390+'30'!G390+'31'!G390</f>
        <v>0</v>
      </c>
      <c r="H390" s="12">
        <f>+'29'!H390+'30'!H390+'31'!H390</f>
        <v>0</v>
      </c>
      <c r="I390" s="271"/>
      <c r="J390" s="514">
        <f>+'29'!J390+'30'!J390+'31'!J390</f>
        <v>0</v>
      </c>
      <c r="K390" s="12">
        <f>+'29'!K390+'30'!K390+'31'!K390</f>
        <v>0</v>
      </c>
      <c r="L390" s="12">
        <f>+'29'!L390+'30'!L390+'31'!L390</f>
        <v>0</v>
      </c>
      <c r="M390" s="271"/>
      <c r="N390" s="514">
        <f>+'29'!N390+'30'!N390+'31'!N390</f>
        <v>0</v>
      </c>
      <c r="O390" s="12">
        <f>+'29'!O390+'30'!O390+'31'!O390</f>
        <v>0</v>
      </c>
      <c r="P390" s="12">
        <f>+'29'!P390+'30'!P390+'31'!P390</f>
        <v>0</v>
      </c>
      <c r="Q390" s="532"/>
      <c r="R390" s="270">
        <v>0</v>
      </c>
      <c r="S390" s="12">
        <v>0</v>
      </c>
      <c r="T390" s="12">
        <v>0</v>
      </c>
      <c r="U390" s="271"/>
      <c r="V390" s="533">
        <f t="shared" si="41"/>
        <v>0</v>
      </c>
      <c r="W390" s="533">
        <f t="shared" si="42"/>
        <v>0</v>
      </c>
      <c r="X390" s="257"/>
      <c r="Y390" s="261">
        <f t="shared" si="43"/>
        <v>0</v>
      </c>
      <c r="Z390" s="12">
        <f t="shared" si="44"/>
        <v>0</v>
      </c>
      <c r="AB390" s="13">
        <f t="shared" ref="AB390:AB453" si="48">O390</f>
        <v>0</v>
      </c>
      <c r="AF390" s="13">
        <f t="shared" si="45"/>
        <v>0</v>
      </c>
      <c r="AM390" s="12">
        <f t="shared" si="46"/>
        <v>0</v>
      </c>
      <c r="AN390" s="13">
        <f t="shared" si="47"/>
        <v>0</v>
      </c>
    </row>
    <row r="391" spans="1:40" x14ac:dyDescent="0.25">
      <c r="A391">
        <v>386</v>
      </c>
      <c r="B391" t="s">
        <v>407</v>
      </c>
      <c r="C391" t="s">
        <v>25</v>
      </c>
      <c r="D391" t="s">
        <v>16</v>
      </c>
      <c r="F391" s="514">
        <f>+'29'!F391+'30'!F391+'31'!F391</f>
        <v>0</v>
      </c>
      <c r="G391" s="12">
        <f>+'29'!G391+'30'!G391+'31'!G391</f>
        <v>0</v>
      </c>
      <c r="H391" s="12">
        <f>+'29'!H391+'30'!H391+'31'!H391</f>
        <v>0</v>
      </c>
      <c r="I391" s="271"/>
      <c r="J391" s="514">
        <f>+'29'!J391+'30'!J391+'31'!J391</f>
        <v>0</v>
      </c>
      <c r="K391" s="12">
        <f>+'29'!K391+'30'!K391+'31'!K391</f>
        <v>0</v>
      </c>
      <c r="L391" s="12">
        <f>+'29'!L391+'30'!L391+'31'!L391</f>
        <v>0</v>
      </c>
      <c r="M391" s="271"/>
      <c r="N391" s="514">
        <f>+'29'!N391+'30'!N391+'31'!N391</f>
        <v>0</v>
      </c>
      <c r="O391" s="12">
        <f>+'29'!O391+'30'!O391+'31'!O391</f>
        <v>0</v>
      </c>
      <c r="P391" s="12">
        <f>+'29'!P391+'30'!P391+'31'!P391</f>
        <v>0</v>
      </c>
      <c r="Q391" s="532"/>
      <c r="R391" s="270">
        <v>0</v>
      </c>
      <c r="S391" s="12">
        <v>0</v>
      </c>
      <c r="T391" s="12">
        <v>0</v>
      </c>
      <c r="U391" s="271"/>
      <c r="V391" s="533">
        <f t="shared" ref="V391:V454" si="49">N391-R391</f>
        <v>0</v>
      </c>
      <c r="W391" s="533">
        <f t="shared" ref="W391:W454" si="50">O391-S391</f>
        <v>0</v>
      </c>
      <c r="X391" s="257"/>
      <c r="Y391" s="261">
        <f t="shared" ref="Y391:Y454" si="51">V391</f>
        <v>0</v>
      </c>
      <c r="Z391" s="12">
        <f t="shared" ref="Z391:Z454" si="52">W391</f>
        <v>0</v>
      </c>
      <c r="AB391" s="13">
        <f t="shared" si="48"/>
        <v>0</v>
      </c>
      <c r="AD391" s="16"/>
      <c r="AF391" s="13">
        <f t="shared" ref="AF391:AF454" si="53">AB391-AD391</f>
        <v>0</v>
      </c>
      <c r="AG391" s="16"/>
      <c r="AM391" s="12">
        <f t="shared" ref="AM391:AM454" si="54">SUM(AG391:AL391)</f>
        <v>0</v>
      </c>
      <c r="AN391" s="13">
        <f t="shared" ref="AN391:AN454" si="55">AF391-AM391</f>
        <v>0</v>
      </c>
    </row>
    <row r="392" spans="1:40" x14ac:dyDescent="0.25">
      <c r="A392">
        <v>387</v>
      </c>
      <c r="B392" t="s">
        <v>408</v>
      </c>
      <c r="C392" t="s">
        <v>18</v>
      </c>
      <c r="D392" t="s">
        <v>16</v>
      </c>
      <c r="F392" s="514">
        <f>+'29'!F392+'30'!F392+'31'!F392</f>
        <v>3</v>
      </c>
      <c r="G392" s="12">
        <f>+'29'!G392+'30'!G392+'31'!G392</f>
        <v>13050</v>
      </c>
      <c r="H392" s="12">
        <f>+'29'!H392+'30'!H392+'31'!H392</f>
        <v>90</v>
      </c>
      <c r="I392" s="271"/>
      <c r="J392" s="514">
        <f>+'29'!J392+'30'!J392+'31'!J392</f>
        <v>0</v>
      </c>
      <c r="K392" s="12">
        <f>+'29'!K392+'30'!K392+'31'!K392</f>
        <v>0</v>
      </c>
      <c r="L392" s="12">
        <f>+'29'!L392+'30'!L392+'31'!L392</f>
        <v>0</v>
      </c>
      <c r="M392" s="271"/>
      <c r="N392" s="514">
        <f>+'29'!N392+'30'!N392+'31'!N392</f>
        <v>3</v>
      </c>
      <c r="O392" s="12">
        <f>+'29'!O392+'30'!O392+'31'!O392</f>
        <v>13050</v>
      </c>
      <c r="P392" s="12">
        <f>+'29'!P392+'30'!P392+'31'!P392</f>
        <v>90</v>
      </c>
      <c r="Q392" s="532"/>
      <c r="R392" s="270">
        <v>3</v>
      </c>
      <c r="S392" s="12">
        <v>13050</v>
      </c>
      <c r="T392" s="12">
        <v>0</v>
      </c>
      <c r="U392" s="271"/>
      <c r="V392" s="533">
        <f t="shared" si="49"/>
        <v>0</v>
      </c>
      <c r="W392" s="533">
        <f t="shared" si="50"/>
        <v>0</v>
      </c>
      <c r="X392" s="257"/>
      <c r="Y392" s="261">
        <f t="shared" si="51"/>
        <v>0</v>
      </c>
      <c r="Z392" s="12">
        <f t="shared" si="52"/>
        <v>0</v>
      </c>
      <c r="AB392" s="13">
        <f t="shared" si="48"/>
        <v>13050</v>
      </c>
      <c r="AF392" s="13">
        <f t="shared" si="53"/>
        <v>13050</v>
      </c>
      <c r="AI392" s="33"/>
      <c r="AM392" s="12">
        <f t="shared" si="54"/>
        <v>0</v>
      </c>
      <c r="AN392" s="13">
        <f t="shared" si="55"/>
        <v>13050</v>
      </c>
    </row>
    <row r="393" spans="1:40" x14ac:dyDescent="0.25">
      <c r="A393">
        <v>388</v>
      </c>
      <c r="B393" t="s">
        <v>409</v>
      </c>
      <c r="F393" s="514">
        <f>+'29'!F393+'30'!F393+'31'!F393</f>
        <v>0</v>
      </c>
      <c r="G393" s="12">
        <f>+'29'!G393+'30'!G393+'31'!G393</f>
        <v>0</v>
      </c>
      <c r="H393" s="12">
        <f>+'29'!H393+'30'!H393+'31'!H393</f>
        <v>0</v>
      </c>
      <c r="I393" s="271"/>
      <c r="J393" s="514">
        <f>+'29'!J393+'30'!J393+'31'!J393</f>
        <v>0</v>
      </c>
      <c r="K393" s="12">
        <f>+'29'!K393+'30'!K393+'31'!K393</f>
        <v>0</v>
      </c>
      <c r="L393" s="12">
        <f>+'29'!L393+'30'!L393+'31'!L393</f>
        <v>0</v>
      </c>
      <c r="M393" s="271"/>
      <c r="N393" s="514">
        <f>+'29'!N393+'30'!N393+'31'!N393</f>
        <v>0</v>
      </c>
      <c r="O393" s="12">
        <f>+'29'!O393+'30'!O393+'31'!O393</f>
        <v>0</v>
      </c>
      <c r="P393" s="12">
        <f>+'29'!P393+'30'!P393+'31'!P393</f>
        <v>0</v>
      </c>
      <c r="Q393" s="532"/>
      <c r="R393" s="270">
        <v>0</v>
      </c>
      <c r="S393" s="12">
        <v>0</v>
      </c>
      <c r="T393" s="12">
        <v>0</v>
      </c>
      <c r="U393" s="271"/>
      <c r="V393" s="533">
        <f t="shared" si="49"/>
        <v>0</v>
      </c>
      <c r="W393" s="533">
        <f t="shared" si="50"/>
        <v>0</v>
      </c>
      <c r="X393" s="257"/>
      <c r="Y393" s="261">
        <f t="shared" si="51"/>
        <v>0</v>
      </c>
      <c r="Z393" s="12">
        <f t="shared" si="52"/>
        <v>0</v>
      </c>
      <c r="AB393" s="13">
        <f t="shared" si="48"/>
        <v>0</v>
      </c>
      <c r="AD393" s="16"/>
      <c r="AF393" s="13">
        <f t="shared" si="53"/>
        <v>0</v>
      </c>
      <c r="AM393" s="12">
        <f t="shared" si="54"/>
        <v>0</v>
      </c>
      <c r="AN393" s="13">
        <f t="shared" si="55"/>
        <v>0</v>
      </c>
    </row>
    <row r="394" spans="1:40" x14ac:dyDescent="0.25">
      <c r="A394">
        <v>389</v>
      </c>
      <c r="B394" t="s">
        <v>3086</v>
      </c>
      <c r="C394" t="s">
        <v>18</v>
      </c>
      <c r="D394" t="s">
        <v>16</v>
      </c>
      <c r="F394" s="514">
        <f>+'29'!F394+'30'!F394+'31'!F394</f>
        <v>0</v>
      </c>
      <c r="G394" s="12">
        <f>+'29'!G394+'30'!G394+'31'!G394</f>
        <v>0</v>
      </c>
      <c r="H394" s="12">
        <f>+'29'!H394+'30'!H394+'31'!H394</f>
        <v>0</v>
      </c>
      <c r="I394" s="271"/>
      <c r="J394" s="514">
        <f>+'29'!J394+'30'!J394+'31'!J394</f>
        <v>0</v>
      </c>
      <c r="K394" s="12">
        <f>+'29'!K394+'30'!K394+'31'!K394</f>
        <v>0</v>
      </c>
      <c r="L394" s="12">
        <f>+'29'!L394+'30'!L394+'31'!L394</f>
        <v>0</v>
      </c>
      <c r="M394" s="271"/>
      <c r="N394" s="514">
        <f>+'29'!N394+'30'!N394+'31'!N394</f>
        <v>0</v>
      </c>
      <c r="O394" s="12">
        <f>+'29'!O394+'30'!O394+'31'!O394</f>
        <v>0</v>
      </c>
      <c r="P394" s="12">
        <f>+'29'!P394+'30'!P394+'31'!P394</f>
        <v>0</v>
      </c>
      <c r="Q394" s="532"/>
      <c r="R394" s="270">
        <v>0</v>
      </c>
      <c r="S394" s="12">
        <v>0</v>
      </c>
      <c r="T394" s="12">
        <v>0</v>
      </c>
      <c r="U394" s="271"/>
      <c r="V394" s="533">
        <f t="shared" si="49"/>
        <v>0</v>
      </c>
      <c r="W394" s="533">
        <f t="shared" si="50"/>
        <v>0</v>
      </c>
      <c r="X394" s="257"/>
      <c r="Y394" s="261">
        <f t="shared" si="51"/>
        <v>0</v>
      </c>
      <c r="Z394" s="12">
        <f t="shared" si="52"/>
        <v>0</v>
      </c>
      <c r="AB394" s="13">
        <f t="shared" si="48"/>
        <v>0</v>
      </c>
      <c r="AF394" s="13">
        <f t="shared" si="53"/>
        <v>0</v>
      </c>
      <c r="AM394" s="12">
        <f t="shared" si="54"/>
        <v>0</v>
      </c>
      <c r="AN394" s="13">
        <f t="shared" si="55"/>
        <v>0</v>
      </c>
    </row>
    <row r="395" spans="1:40" x14ac:dyDescent="0.25">
      <c r="A395">
        <v>390</v>
      </c>
      <c r="B395" t="s">
        <v>410</v>
      </c>
      <c r="D395" t="s">
        <v>16</v>
      </c>
      <c r="F395" s="514">
        <f>+'29'!F395+'30'!F395+'31'!F395</f>
        <v>0</v>
      </c>
      <c r="G395" s="12">
        <f>+'29'!G395+'30'!G395+'31'!G395</f>
        <v>0</v>
      </c>
      <c r="H395" s="12">
        <f>+'29'!H395+'30'!H395+'31'!H395</f>
        <v>0</v>
      </c>
      <c r="I395" s="271"/>
      <c r="J395" s="514">
        <f>+'29'!J395+'30'!J395+'31'!J395</f>
        <v>0</v>
      </c>
      <c r="K395" s="12">
        <f>+'29'!K395+'30'!K395+'31'!K395</f>
        <v>0</v>
      </c>
      <c r="L395" s="12">
        <f>+'29'!L395+'30'!L395+'31'!L395</f>
        <v>0</v>
      </c>
      <c r="M395" s="271"/>
      <c r="N395" s="514">
        <f>+'29'!N395+'30'!N395+'31'!N395</f>
        <v>0</v>
      </c>
      <c r="O395" s="12">
        <f>+'29'!O395+'30'!O395+'31'!O395</f>
        <v>0</v>
      </c>
      <c r="P395" s="12">
        <f>+'29'!P395+'30'!P395+'31'!P395</f>
        <v>0</v>
      </c>
      <c r="Q395" s="532"/>
      <c r="R395" s="270">
        <v>0</v>
      </c>
      <c r="S395" s="12">
        <v>0</v>
      </c>
      <c r="T395" s="12">
        <v>0</v>
      </c>
      <c r="U395" s="271"/>
      <c r="V395" s="533">
        <f t="shared" si="49"/>
        <v>0</v>
      </c>
      <c r="W395" s="533">
        <f t="shared" si="50"/>
        <v>0</v>
      </c>
      <c r="X395" s="257"/>
      <c r="Y395" s="261">
        <f t="shared" si="51"/>
        <v>0</v>
      </c>
      <c r="Z395" s="12">
        <f t="shared" si="52"/>
        <v>0</v>
      </c>
      <c r="AB395" s="13">
        <f t="shared" si="48"/>
        <v>0</v>
      </c>
      <c r="AF395" s="13">
        <f t="shared" si="53"/>
        <v>0</v>
      </c>
      <c r="AM395" s="12">
        <f t="shared" si="54"/>
        <v>0</v>
      </c>
      <c r="AN395" s="13">
        <f t="shared" si="55"/>
        <v>0</v>
      </c>
    </row>
    <row r="396" spans="1:40" x14ac:dyDescent="0.25">
      <c r="A396">
        <v>391</v>
      </c>
      <c r="B396" t="s">
        <v>411</v>
      </c>
      <c r="C396" t="s">
        <v>15</v>
      </c>
      <c r="D396" t="s">
        <v>16</v>
      </c>
      <c r="F396" s="514">
        <f>+'29'!F396+'30'!F396+'31'!F396</f>
        <v>0</v>
      </c>
      <c r="G396" s="12">
        <f>+'29'!G396+'30'!G396+'31'!G396</f>
        <v>0</v>
      </c>
      <c r="H396" s="12">
        <f>+'29'!H396+'30'!H396+'31'!H396</f>
        <v>0</v>
      </c>
      <c r="I396" s="271"/>
      <c r="J396" s="514">
        <f>+'29'!J396+'30'!J396+'31'!J396</f>
        <v>0</v>
      </c>
      <c r="K396" s="12">
        <f>+'29'!K396+'30'!K396+'31'!K396</f>
        <v>0</v>
      </c>
      <c r="L396" s="12">
        <f>+'29'!L396+'30'!L396+'31'!L396</f>
        <v>0</v>
      </c>
      <c r="M396" s="271"/>
      <c r="N396" s="514">
        <f>+'29'!N396+'30'!N396+'31'!N396</f>
        <v>0</v>
      </c>
      <c r="O396" s="12">
        <f>+'29'!O396+'30'!O396+'31'!O396</f>
        <v>0</v>
      </c>
      <c r="P396" s="12">
        <f>+'29'!P396+'30'!P396+'31'!P396</f>
        <v>0</v>
      </c>
      <c r="Q396" s="532"/>
      <c r="R396" s="270">
        <v>0</v>
      </c>
      <c r="S396" s="12">
        <v>0</v>
      </c>
      <c r="T396" s="12">
        <v>0</v>
      </c>
      <c r="U396" s="271"/>
      <c r="V396" s="533">
        <f t="shared" si="49"/>
        <v>0</v>
      </c>
      <c r="W396" s="533">
        <f t="shared" si="50"/>
        <v>0</v>
      </c>
      <c r="X396" s="257"/>
      <c r="Y396" s="261">
        <f t="shared" si="51"/>
        <v>0</v>
      </c>
      <c r="Z396" s="12">
        <f t="shared" si="52"/>
        <v>0</v>
      </c>
      <c r="AB396" s="13">
        <f t="shared" si="48"/>
        <v>0</v>
      </c>
      <c r="AF396" s="13">
        <f t="shared" si="53"/>
        <v>0</v>
      </c>
      <c r="AM396" s="12">
        <f t="shared" si="54"/>
        <v>0</v>
      </c>
      <c r="AN396" s="13">
        <f t="shared" si="55"/>
        <v>0</v>
      </c>
    </row>
    <row r="397" spans="1:40" x14ac:dyDescent="0.25">
      <c r="A397">
        <v>392</v>
      </c>
      <c r="B397" t="s">
        <v>412</v>
      </c>
      <c r="C397" t="s">
        <v>18</v>
      </c>
      <c r="D397" t="s">
        <v>16</v>
      </c>
      <c r="F397" s="514">
        <f>+'29'!F397+'30'!F397+'31'!F397</f>
        <v>0</v>
      </c>
      <c r="G397" s="12">
        <f>+'29'!G397+'30'!G397+'31'!G397</f>
        <v>0</v>
      </c>
      <c r="H397" s="12">
        <f>+'29'!H397+'30'!H397+'31'!H397</f>
        <v>0</v>
      </c>
      <c r="I397" s="271"/>
      <c r="J397" s="514">
        <f>+'29'!J397+'30'!J397+'31'!J397</f>
        <v>0</v>
      </c>
      <c r="K397" s="12">
        <f>+'29'!K397+'30'!K397+'31'!K397</f>
        <v>0</v>
      </c>
      <c r="L397" s="12">
        <f>+'29'!L397+'30'!L397+'31'!L397</f>
        <v>0</v>
      </c>
      <c r="M397" s="271"/>
      <c r="N397" s="514">
        <f>+'29'!N397+'30'!N397+'31'!N397</f>
        <v>0</v>
      </c>
      <c r="O397" s="12">
        <f>+'29'!O397+'30'!O397+'31'!O397</f>
        <v>0</v>
      </c>
      <c r="P397" s="12">
        <f>+'29'!P397+'30'!P397+'31'!P397</f>
        <v>0</v>
      </c>
      <c r="Q397" s="532"/>
      <c r="R397" s="270">
        <v>0</v>
      </c>
      <c r="S397" s="12">
        <v>0</v>
      </c>
      <c r="T397" s="12">
        <v>0</v>
      </c>
      <c r="U397" s="271"/>
      <c r="V397" s="533">
        <f t="shared" si="49"/>
        <v>0</v>
      </c>
      <c r="W397" s="533">
        <f t="shared" si="50"/>
        <v>0</v>
      </c>
      <c r="X397" s="257"/>
      <c r="Y397" s="261">
        <f t="shared" si="51"/>
        <v>0</v>
      </c>
      <c r="Z397" s="12">
        <f t="shared" si="52"/>
        <v>0</v>
      </c>
      <c r="AB397" s="13">
        <f t="shared" si="48"/>
        <v>0</v>
      </c>
      <c r="AF397" s="13">
        <f t="shared" si="53"/>
        <v>0</v>
      </c>
      <c r="AM397" s="12">
        <f t="shared" si="54"/>
        <v>0</v>
      </c>
      <c r="AN397" s="13">
        <f t="shared" si="55"/>
        <v>0</v>
      </c>
    </row>
    <row r="398" spans="1:40" x14ac:dyDescent="0.25">
      <c r="A398">
        <v>393</v>
      </c>
      <c r="B398" t="s">
        <v>413</v>
      </c>
      <c r="D398" t="s">
        <v>16</v>
      </c>
      <c r="F398" s="514">
        <f>+'29'!F398+'30'!F398+'31'!F398</f>
        <v>0</v>
      </c>
      <c r="G398" s="12">
        <f>+'29'!G398+'30'!G398+'31'!G398</f>
        <v>0</v>
      </c>
      <c r="H398" s="12">
        <f>+'29'!H398+'30'!H398+'31'!H398</f>
        <v>0</v>
      </c>
      <c r="I398" s="271"/>
      <c r="J398" s="514">
        <f>+'29'!J398+'30'!J398+'31'!J398</f>
        <v>0</v>
      </c>
      <c r="K398" s="12">
        <f>+'29'!K398+'30'!K398+'31'!K398</f>
        <v>0</v>
      </c>
      <c r="L398" s="12">
        <f>+'29'!L398+'30'!L398+'31'!L398</f>
        <v>0</v>
      </c>
      <c r="M398" s="271"/>
      <c r="N398" s="514">
        <f>+'29'!N398+'30'!N398+'31'!N398</f>
        <v>0</v>
      </c>
      <c r="O398" s="12">
        <f>+'29'!O398+'30'!O398+'31'!O398</f>
        <v>0</v>
      </c>
      <c r="P398" s="12">
        <f>+'29'!P398+'30'!P398+'31'!P398</f>
        <v>0</v>
      </c>
      <c r="Q398" s="532"/>
      <c r="R398" s="270">
        <v>0</v>
      </c>
      <c r="S398" s="12">
        <v>0</v>
      </c>
      <c r="T398" s="12">
        <v>0</v>
      </c>
      <c r="U398" s="271"/>
      <c r="V398" s="533">
        <f t="shared" si="49"/>
        <v>0</v>
      </c>
      <c r="W398" s="533">
        <f t="shared" si="50"/>
        <v>0</v>
      </c>
      <c r="X398" s="257"/>
      <c r="Y398" s="261">
        <f t="shared" si="51"/>
        <v>0</v>
      </c>
      <c r="Z398" s="12">
        <f t="shared" si="52"/>
        <v>0</v>
      </c>
      <c r="AB398" s="13">
        <f t="shared" si="48"/>
        <v>0</v>
      </c>
      <c r="AF398" s="13">
        <f t="shared" si="53"/>
        <v>0</v>
      </c>
      <c r="AM398" s="12">
        <f t="shared" si="54"/>
        <v>0</v>
      </c>
      <c r="AN398" s="13">
        <f t="shared" si="55"/>
        <v>0</v>
      </c>
    </row>
    <row r="399" spans="1:40" x14ac:dyDescent="0.25">
      <c r="A399">
        <v>394</v>
      </c>
      <c r="B399" t="s">
        <v>415</v>
      </c>
      <c r="C399" t="s">
        <v>51</v>
      </c>
      <c r="D399" t="s">
        <v>16</v>
      </c>
      <c r="F399" s="514">
        <f>+'29'!F399+'30'!F399+'31'!F399</f>
        <v>2144</v>
      </c>
      <c r="G399" s="12">
        <f>+'29'!G399+'30'!G399+'31'!G399</f>
        <v>1855482.0499999998</v>
      </c>
      <c r="H399" s="12">
        <f>+'29'!H399+'30'!H399+'31'!H399</f>
        <v>10810</v>
      </c>
      <c r="I399" s="271"/>
      <c r="J399" s="514">
        <f>+'29'!J399+'30'!J399+'31'!J399</f>
        <v>0</v>
      </c>
      <c r="K399" s="12">
        <f>+'29'!K399+'30'!K399+'31'!K399</f>
        <v>0</v>
      </c>
      <c r="L399" s="12">
        <f>+'29'!L399+'30'!L399+'31'!L399</f>
        <v>0</v>
      </c>
      <c r="M399" s="271"/>
      <c r="N399" s="514">
        <f>+'29'!N399+'30'!N399+'31'!N399</f>
        <v>2144</v>
      </c>
      <c r="O399" s="12">
        <f>+'29'!O399+'30'!O399+'31'!O399</f>
        <v>1855482.0499999998</v>
      </c>
      <c r="P399" s="12">
        <f>+'29'!P399+'30'!P399+'31'!P399</f>
        <v>10810</v>
      </c>
      <c r="Q399" s="532"/>
      <c r="R399" s="270">
        <v>2140</v>
      </c>
      <c r="S399" s="12">
        <v>1855482.05</v>
      </c>
      <c r="T399" s="12">
        <v>0</v>
      </c>
      <c r="U399" s="271"/>
      <c r="V399" s="533">
        <f t="shared" si="49"/>
        <v>4</v>
      </c>
      <c r="W399" s="533">
        <f t="shared" si="50"/>
        <v>0</v>
      </c>
      <c r="X399" s="257"/>
      <c r="Y399" s="261">
        <f t="shared" si="51"/>
        <v>4</v>
      </c>
      <c r="Z399" s="12">
        <f t="shared" si="52"/>
        <v>0</v>
      </c>
      <c r="AB399" s="13">
        <f t="shared" si="48"/>
        <v>1855482.0499999998</v>
      </c>
      <c r="AF399" s="13">
        <f t="shared" si="53"/>
        <v>1855482.0499999998</v>
      </c>
      <c r="AM399" s="12">
        <f t="shared" si="54"/>
        <v>0</v>
      </c>
      <c r="AN399" s="13">
        <f t="shared" si="55"/>
        <v>1855482.0499999998</v>
      </c>
    </row>
    <row r="400" spans="1:40" x14ac:dyDescent="0.25">
      <c r="A400">
        <v>395</v>
      </c>
      <c r="B400" t="s">
        <v>416</v>
      </c>
      <c r="D400" t="s">
        <v>16</v>
      </c>
      <c r="F400" s="514">
        <f>+'29'!F400+'30'!F400+'31'!F400</f>
        <v>0</v>
      </c>
      <c r="G400" s="12">
        <f>+'29'!G400+'30'!G400+'31'!G400</f>
        <v>0</v>
      </c>
      <c r="H400" s="12">
        <f>+'29'!H400+'30'!H400+'31'!H400</f>
        <v>0</v>
      </c>
      <c r="I400" s="271"/>
      <c r="J400" s="514">
        <f>+'29'!J400+'30'!J400+'31'!J400</f>
        <v>0</v>
      </c>
      <c r="K400" s="12">
        <f>+'29'!K400+'30'!K400+'31'!K400</f>
        <v>0</v>
      </c>
      <c r="L400" s="12">
        <f>+'29'!L400+'30'!L400+'31'!L400</f>
        <v>0</v>
      </c>
      <c r="M400" s="271"/>
      <c r="N400" s="514">
        <f>+'29'!N400+'30'!N400+'31'!N400</f>
        <v>0</v>
      </c>
      <c r="O400" s="12">
        <f>+'29'!O400+'30'!O400+'31'!O400</f>
        <v>0</v>
      </c>
      <c r="P400" s="12">
        <f>+'29'!P400+'30'!P400+'31'!P400</f>
        <v>0</v>
      </c>
      <c r="Q400" s="532"/>
      <c r="R400" s="270">
        <v>0</v>
      </c>
      <c r="S400" s="12">
        <v>0</v>
      </c>
      <c r="T400" s="12">
        <v>0</v>
      </c>
      <c r="U400" s="271"/>
      <c r="V400" s="533">
        <f t="shared" si="49"/>
        <v>0</v>
      </c>
      <c r="W400" s="533">
        <f t="shared" si="50"/>
        <v>0</v>
      </c>
      <c r="X400" s="257"/>
      <c r="Y400" s="261">
        <f t="shared" si="51"/>
        <v>0</v>
      </c>
      <c r="Z400" s="12">
        <f t="shared" si="52"/>
        <v>0</v>
      </c>
      <c r="AB400" s="13">
        <f t="shared" si="48"/>
        <v>0</v>
      </c>
      <c r="AF400" s="13">
        <f t="shared" si="53"/>
        <v>0</v>
      </c>
      <c r="AM400" s="12">
        <f t="shared" si="54"/>
        <v>0</v>
      </c>
      <c r="AN400" s="13">
        <f t="shared" si="55"/>
        <v>0</v>
      </c>
    </row>
    <row r="401" spans="1:40" x14ac:dyDescent="0.25">
      <c r="A401">
        <v>396</v>
      </c>
      <c r="B401" t="s">
        <v>417</v>
      </c>
      <c r="D401" t="s">
        <v>16</v>
      </c>
      <c r="F401" s="514">
        <f>+'29'!F401+'30'!F401+'31'!F401</f>
        <v>0</v>
      </c>
      <c r="G401" s="12">
        <f>+'29'!G401+'30'!G401+'31'!G401</f>
        <v>0</v>
      </c>
      <c r="H401" s="12">
        <f>+'29'!H401+'30'!H401+'31'!H401</f>
        <v>0</v>
      </c>
      <c r="I401" s="271"/>
      <c r="J401" s="514">
        <f>+'29'!J401+'30'!J401+'31'!J401</f>
        <v>0</v>
      </c>
      <c r="K401" s="12">
        <f>+'29'!K401+'30'!K401+'31'!K401</f>
        <v>0</v>
      </c>
      <c r="L401" s="12">
        <f>+'29'!L401+'30'!L401+'31'!L401</f>
        <v>0</v>
      </c>
      <c r="M401" s="271"/>
      <c r="N401" s="514">
        <f>+'29'!N401+'30'!N401+'31'!N401</f>
        <v>0</v>
      </c>
      <c r="O401" s="12">
        <f>+'29'!O401+'30'!O401+'31'!O401</f>
        <v>0</v>
      </c>
      <c r="P401" s="12">
        <f>+'29'!P401+'30'!P401+'31'!P401</f>
        <v>0</v>
      </c>
      <c r="Q401" s="532"/>
      <c r="R401" s="270">
        <v>0</v>
      </c>
      <c r="S401" s="12">
        <v>0</v>
      </c>
      <c r="T401" s="12">
        <v>0</v>
      </c>
      <c r="U401" s="271"/>
      <c r="V401" s="533">
        <f t="shared" si="49"/>
        <v>0</v>
      </c>
      <c r="W401" s="533">
        <f t="shared" si="50"/>
        <v>0</v>
      </c>
      <c r="X401" s="257"/>
      <c r="Y401" s="261">
        <f t="shared" si="51"/>
        <v>0</v>
      </c>
      <c r="Z401" s="12">
        <f t="shared" si="52"/>
        <v>0</v>
      </c>
      <c r="AB401" s="13">
        <f t="shared" si="48"/>
        <v>0</v>
      </c>
      <c r="AF401" s="13">
        <f t="shared" si="53"/>
        <v>0</v>
      </c>
      <c r="AJ401" s="13">
        <v>1116.3699999999999</v>
      </c>
      <c r="AM401" s="12">
        <f t="shared" si="54"/>
        <v>1116.3699999999999</v>
      </c>
      <c r="AN401" s="13">
        <f t="shared" si="55"/>
        <v>-1116.3699999999999</v>
      </c>
    </row>
    <row r="402" spans="1:40" x14ac:dyDescent="0.25">
      <c r="A402">
        <v>397</v>
      </c>
      <c r="B402" t="s">
        <v>418</v>
      </c>
      <c r="C402" t="s">
        <v>51</v>
      </c>
      <c r="D402" t="s">
        <v>414</v>
      </c>
      <c r="F402" s="514">
        <f>+'29'!F402+'30'!F402+'31'!F402</f>
        <v>7</v>
      </c>
      <c r="G402" s="12">
        <f>+'29'!G402+'30'!G402+'31'!G402</f>
        <v>301191.83</v>
      </c>
      <c r="H402" s="12">
        <f>+'29'!H402+'30'!H402+'31'!H402</f>
        <v>350</v>
      </c>
      <c r="I402" s="271"/>
      <c r="J402" s="514">
        <f>+'29'!J402+'30'!J402+'31'!J402</f>
        <v>0</v>
      </c>
      <c r="K402" s="12">
        <f>+'29'!K402+'30'!K402+'31'!K402</f>
        <v>0</v>
      </c>
      <c r="L402" s="12">
        <f>+'29'!L402+'30'!L402+'31'!L402</f>
        <v>0</v>
      </c>
      <c r="M402" s="271"/>
      <c r="N402" s="514">
        <f>+'29'!N402+'30'!N402+'31'!N402</f>
        <v>7</v>
      </c>
      <c r="O402" s="12">
        <f>+'29'!O402+'30'!O402+'31'!O402</f>
        <v>301191.83</v>
      </c>
      <c r="P402" s="12">
        <f>+'29'!P402+'30'!P402+'31'!P402</f>
        <v>350</v>
      </c>
      <c r="Q402" s="532"/>
      <c r="R402" s="270">
        <v>7</v>
      </c>
      <c r="S402" s="12">
        <v>301191.83</v>
      </c>
      <c r="T402" s="12">
        <v>0</v>
      </c>
      <c r="U402" s="271"/>
      <c r="V402" s="533">
        <f t="shared" si="49"/>
        <v>0</v>
      </c>
      <c r="W402" s="533">
        <f t="shared" si="50"/>
        <v>0</v>
      </c>
      <c r="X402" s="257"/>
      <c r="Y402" s="261">
        <f t="shared" si="51"/>
        <v>0</v>
      </c>
      <c r="Z402" s="12">
        <f t="shared" si="52"/>
        <v>0</v>
      </c>
      <c r="AB402" s="13">
        <f t="shared" si="48"/>
        <v>301191.83</v>
      </c>
      <c r="AF402" s="13">
        <f t="shared" si="53"/>
        <v>301191.83</v>
      </c>
      <c r="AG402" s="16">
        <v>110687.50000000006</v>
      </c>
      <c r="AM402" s="12">
        <f t="shared" si="54"/>
        <v>110687.50000000006</v>
      </c>
      <c r="AN402" s="13">
        <f t="shared" si="55"/>
        <v>190504.32999999996</v>
      </c>
    </row>
    <row r="403" spans="1:40" x14ac:dyDescent="0.25">
      <c r="A403">
        <v>398</v>
      </c>
      <c r="B403" t="s">
        <v>419</v>
      </c>
      <c r="C403" t="s">
        <v>25</v>
      </c>
      <c r="D403" t="s">
        <v>20</v>
      </c>
      <c r="F403" s="514">
        <f>+'29'!F403+'30'!F403+'31'!F403</f>
        <v>0</v>
      </c>
      <c r="G403" s="12">
        <f>+'29'!G403+'30'!G403+'31'!G403</f>
        <v>0</v>
      </c>
      <c r="H403" s="12">
        <f>+'29'!H403+'30'!H403+'31'!H403</f>
        <v>0</v>
      </c>
      <c r="I403" s="271"/>
      <c r="J403" s="514">
        <f>+'29'!J403+'30'!J403+'31'!J403</f>
        <v>0</v>
      </c>
      <c r="K403" s="12">
        <f>+'29'!K403+'30'!K403+'31'!K403</f>
        <v>0</v>
      </c>
      <c r="L403" s="12">
        <f>+'29'!L403+'30'!L403+'31'!L403</f>
        <v>0</v>
      </c>
      <c r="M403" s="271"/>
      <c r="N403" s="514">
        <f>+'29'!N403+'30'!N403+'31'!N403</f>
        <v>0</v>
      </c>
      <c r="O403" s="12">
        <f>+'29'!O403+'30'!O403+'31'!O403</f>
        <v>0</v>
      </c>
      <c r="P403" s="12">
        <f>+'29'!P403+'30'!P403+'31'!P403</f>
        <v>0</v>
      </c>
      <c r="Q403" s="532"/>
      <c r="R403" s="270">
        <v>0</v>
      </c>
      <c r="S403" s="12">
        <v>0</v>
      </c>
      <c r="T403" s="12">
        <v>0</v>
      </c>
      <c r="U403" s="271"/>
      <c r="V403" s="533">
        <f t="shared" si="49"/>
        <v>0</v>
      </c>
      <c r="W403" s="533">
        <f t="shared" si="50"/>
        <v>0</v>
      </c>
      <c r="X403" s="257"/>
      <c r="Y403" s="261">
        <f t="shared" si="51"/>
        <v>0</v>
      </c>
      <c r="Z403" s="12">
        <f t="shared" si="52"/>
        <v>0</v>
      </c>
      <c r="AB403" s="13">
        <f t="shared" si="48"/>
        <v>0</v>
      </c>
      <c r="AF403" s="13">
        <f t="shared" si="53"/>
        <v>0</v>
      </c>
      <c r="AM403" s="12">
        <f t="shared" si="54"/>
        <v>0</v>
      </c>
      <c r="AN403" s="13">
        <f t="shared" si="55"/>
        <v>0</v>
      </c>
    </row>
    <row r="404" spans="1:40" x14ac:dyDescent="0.25">
      <c r="A404">
        <v>399</v>
      </c>
      <c r="B404" t="s">
        <v>420</v>
      </c>
      <c r="C404" t="s">
        <v>25</v>
      </c>
      <c r="D404" t="s">
        <v>20</v>
      </c>
      <c r="F404" s="514">
        <f>+'29'!F404+'30'!F404+'31'!F404</f>
        <v>0</v>
      </c>
      <c r="G404" s="12">
        <f>+'29'!G404+'30'!G404+'31'!G404</f>
        <v>0</v>
      </c>
      <c r="H404" s="12">
        <f>+'29'!H404+'30'!H404+'31'!H404</f>
        <v>0</v>
      </c>
      <c r="I404" s="271"/>
      <c r="J404" s="514">
        <f>+'29'!J404+'30'!J404+'31'!J404</f>
        <v>0</v>
      </c>
      <c r="K404" s="12">
        <f>+'29'!K404+'30'!K404+'31'!K404</f>
        <v>0</v>
      </c>
      <c r="L404" s="12">
        <f>+'29'!L404+'30'!L404+'31'!L404</f>
        <v>0</v>
      </c>
      <c r="M404" s="271"/>
      <c r="N404" s="514">
        <f>+'29'!N404+'30'!N404+'31'!N404</f>
        <v>0</v>
      </c>
      <c r="O404" s="12">
        <f>+'29'!O404+'30'!O404+'31'!O404</f>
        <v>0</v>
      </c>
      <c r="P404" s="12">
        <f>+'29'!P404+'30'!P404+'31'!P404</f>
        <v>0</v>
      </c>
      <c r="Q404" s="532"/>
      <c r="R404" s="270">
        <v>0</v>
      </c>
      <c r="S404" s="12">
        <v>0</v>
      </c>
      <c r="T404" s="12">
        <v>0</v>
      </c>
      <c r="U404" s="271"/>
      <c r="V404" s="533">
        <f t="shared" si="49"/>
        <v>0</v>
      </c>
      <c r="W404" s="533">
        <f t="shared" si="50"/>
        <v>0</v>
      </c>
      <c r="X404" s="257"/>
      <c r="Y404" s="261">
        <f t="shared" si="51"/>
        <v>0</v>
      </c>
      <c r="Z404" s="12">
        <f t="shared" si="52"/>
        <v>0</v>
      </c>
      <c r="AB404" s="13">
        <f t="shared" si="48"/>
        <v>0</v>
      </c>
      <c r="AF404" s="13">
        <f t="shared" si="53"/>
        <v>0</v>
      </c>
      <c r="AJ404" s="13"/>
      <c r="AM404" s="12">
        <f t="shared" si="54"/>
        <v>0</v>
      </c>
      <c r="AN404" s="13">
        <f t="shared" si="55"/>
        <v>0</v>
      </c>
    </row>
    <row r="405" spans="1:40" x14ac:dyDescent="0.25">
      <c r="A405">
        <v>400</v>
      </c>
      <c r="B405" t="s">
        <v>421</v>
      </c>
      <c r="C405" t="s">
        <v>15</v>
      </c>
      <c r="D405" t="s">
        <v>16</v>
      </c>
      <c r="F405" s="514">
        <f>+'29'!F405+'30'!F405+'31'!F405</f>
        <v>1082</v>
      </c>
      <c r="G405" s="12">
        <f>+'29'!G405+'30'!G405+'31'!G405</f>
        <v>1359174.7199999997</v>
      </c>
      <c r="H405" s="12">
        <f>+'29'!H405+'30'!H405+'31'!H405</f>
        <v>10820</v>
      </c>
      <c r="I405" s="271"/>
      <c r="J405" s="514">
        <f>+'29'!J405+'30'!J405+'31'!J405</f>
        <v>-1</v>
      </c>
      <c r="K405" s="12">
        <f>+'29'!K405+'30'!K405+'31'!K405</f>
        <v>-603.62</v>
      </c>
      <c r="L405" s="12">
        <f>+'29'!L405+'30'!L405+'31'!L405</f>
        <v>-10</v>
      </c>
      <c r="M405" s="271"/>
      <c r="N405" s="514">
        <f>+'29'!N405+'30'!N405+'31'!N405</f>
        <v>1081</v>
      </c>
      <c r="O405" s="12">
        <f>+'29'!O405+'30'!O405+'31'!O405</f>
        <v>1358571.0999999999</v>
      </c>
      <c r="P405" s="12">
        <f>+'29'!P405+'30'!P405+'31'!P405</f>
        <v>10810</v>
      </c>
      <c r="Q405" s="532"/>
      <c r="R405" s="270">
        <v>1081</v>
      </c>
      <c r="S405" s="12">
        <v>1358571.1</v>
      </c>
      <c r="T405" s="12">
        <v>0</v>
      </c>
      <c r="U405" s="271"/>
      <c r="V405" s="533">
        <f t="shared" si="49"/>
        <v>0</v>
      </c>
      <c r="W405" s="533">
        <f t="shared" si="50"/>
        <v>0</v>
      </c>
      <c r="X405" s="257"/>
      <c r="Y405" s="261">
        <f t="shared" si="51"/>
        <v>0</v>
      </c>
      <c r="Z405" s="12">
        <f t="shared" si="52"/>
        <v>0</v>
      </c>
      <c r="AB405" s="13">
        <f t="shared" si="48"/>
        <v>1358571.0999999999</v>
      </c>
      <c r="AF405" s="13">
        <f t="shared" si="53"/>
        <v>1358571.0999999999</v>
      </c>
      <c r="AG405" s="16"/>
      <c r="AJ405" s="13"/>
      <c r="AM405" s="12">
        <f t="shared" si="54"/>
        <v>0</v>
      </c>
      <c r="AN405" s="13">
        <f t="shared" si="55"/>
        <v>1358571.0999999999</v>
      </c>
    </row>
    <row r="406" spans="1:40" x14ac:dyDescent="0.25">
      <c r="A406">
        <v>401</v>
      </c>
      <c r="B406" t="s">
        <v>422</v>
      </c>
      <c r="D406" t="s">
        <v>16</v>
      </c>
      <c r="F406" s="514">
        <f>+'29'!F406+'30'!F406+'31'!F406</f>
        <v>85</v>
      </c>
      <c r="G406" s="12">
        <f>+'29'!G406+'30'!G406+'31'!G406</f>
        <v>336179.63</v>
      </c>
      <c r="H406" s="12">
        <f>+'29'!H406+'30'!H406+'31'!H406</f>
        <v>1960</v>
      </c>
      <c r="I406" s="271"/>
      <c r="J406" s="514">
        <f>+'29'!J406+'30'!J406+'31'!J406</f>
        <v>0</v>
      </c>
      <c r="K406" s="12">
        <f>+'29'!K406+'30'!K406+'31'!K406</f>
        <v>0</v>
      </c>
      <c r="L406" s="12">
        <f>+'29'!L406+'30'!L406+'31'!L406</f>
        <v>0</v>
      </c>
      <c r="M406" s="271"/>
      <c r="N406" s="514">
        <f>+'29'!N406+'30'!N406+'31'!N406</f>
        <v>85</v>
      </c>
      <c r="O406" s="12">
        <f>+'29'!O406+'30'!O406+'31'!O406</f>
        <v>336179.63</v>
      </c>
      <c r="P406" s="12">
        <f>+'29'!P406+'30'!P406+'31'!P406</f>
        <v>1960</v>
      </c>
      <c r="Q406" s="532"/>
      <c r="R406" s="270">
        <v>85</v>
      </c>
      <c r="S406" s="12">
        <v>336179.63</v>
      </c>
      <c r="T406" s="12">
        <v>0</v>
      </c>
      <c r="U406" s="271"/>
      <c r="V406" s="533">
        <f t="shared" si="49"/>
        <v>0</v>
      </c>
      <c r="W406" s="533">
        <f t="shared" si="50"/>
        <v>0</v>
      </c>
      <c r="X406" s="257"/>
      <c r="Y406" s="261">
        <f t="shared" si="51"/>
        <v>0</v>
      </c>
      <c r="Z406" s="12">
        <f t="shared" si="52"/>
        <v>0</v>
      </c>
      <c r="AB406" s="13">
        <f t="shared" si="48"/>
        <v>336179.63</v>
      </c>
      <c r="AD406" s="16"/>
      <c r="AF406" s="13">
        <f t="shared" si="53"/>
        <v>336179.63</v>
      </c>
      <c r="AG406" s="16"/>
      <c r="AM406" s="12">
        <f t="shared" si="54"/>
        <v>0</v>
      </c>
      <c r="AN406" s="13">
        <f t="shared" si="55"/>
        <v>336179.63</v>
      </c>
    </row>
    <row r="407" spans="1:40" x14ac:dyDescent="0.25">
      <c r="A407">
        <v>402</v>
      </c>
      <c r="B407" t="s">
        <v>423</v>
      </c>
      <c r="D407" t="s">
        <v>20</v>
      </c>
      <c r="F407" s="514">
        <f>+'29'!F407+'30'!F407+'31'!F407</f>
        <v>1</v>
      </c>
      <c r="G407" s="12">
        <f>+'29'!G407+'30'!G407+'31'!G407</f>
        <v>2000</v>
      </c>
      <c r="H407" s="12">
        <f>+'29'!H407+'30'!H407+'31'!H407</f>
        <v>30</v>
      </c>
      <c r="I407" s="271"/>
      <c r="J407" s="514">
        <f>+'29'!J407+'30'!J407+'31'!J407</f>
        <v>0</v>
      </c>
      <c r="K407" s="12">
        <f>+'29'!K407+'30'!K407+'31'!K407</f>
        <v>0</v>
      </c>
      <c r="L407" s="12">
        <f>+'29'!L407+'30'!L407+'31'!L407</f>
        <v>0</v>
      </c>
      <c r="M407" s="271"/>
      <c r="N407" s="514">
        <f>+'29'!N407+'30'!N407+'31'!N407</f>
        <v>1</v>
      </c>
      <c r="O407" s="12">
        <f>+'29'!O407+'30'!O407+'31'!O407</f>
        <v>2000</v>
      </c>
      <c r="P407" s="12">
        <f>+'29'!P407+'30'!P407+'31'!P407</f>
        <v>30</v>
      </c>
      <c r="Q407" s="532"/>
      <c r="R407" s="270">
        <v>1</v>
      </c>
      <c r="S407" s="12">
        <v>1970</v>
      </c>
      <c r="T407" s="12">
        <v>30</v>
      </c>
      <c r="U407" s="271"/>
      <c r="V407" s="533">
        <f t="shared" si="49"/>
        <v>0</v>
      </c>
      <c r="W407" s="533">
        <f t="shared" si="50"/>
        <v>30</v>
      </c>
      <c r="X407" s="257"/>
      <c r="Y407" s="261">
        <f t="shared" si="51"/>
        <v>0</v>
      </c>
      <c r="Z407" s="12">
        <f t="shared" si="52"/>
        <v>30</v>
      </c>
      <c r="AB407" s="13">
        <f t="shared" si="48"/>
        <v>2000</v>
      </c>
      <c r="AF407" s="13">
        <f t="shared" si="53"/>
        <v>2000</v>
      </c>
      <c r="AM407" s="12">
        <f t="shared" si="54"/>
        <v>0</v>
      </c>
      <c r="AN407" s="13">
        <f t="shared" si="55"/>
        <v>2000</v>
      </c>
    </row>
    <row r="408" spans="1:40" x14ac:dyDescent="0.25">
      <c r="A408">
        <v>403</v>
      </c>
      <c r="B408" t="s">
        <v>424</v>
      </c>
      <c r="D408" t="s">
        <v>16</v>
      </c>
      <c r="F408" s="514">
        <f>+'29'!F408+'30'!F408+'31'!F408</f>
        <v>0</v>
      </c>
      <c r="G408" s="12">
        <f>+'29'!G408+'30'!G408+'31'!G408</f>
        <v>0</v>
      </c>
      <c r="H408" s="12">
        <f>+'29'!H408+'30'!H408+'31'!H408</f>
        <v>0</v>
      </c>
      <c r="I408" s="271"/>
      <c r="J408" s="514">
        <f>+'29'!J408+'30'!J408+'31'!J408</f>
        <v>0</v>
      </c>
      <c r="K408" s="12">
        <f>+'29'!K408+'30'!K408+'31'!K408</f>
        <v>0</v>
      </c>
      <c r="L408" s="12">
        <f>+'29'!L408+'30'!L408+'31'!L408</f>
        <v>0</v>
      </c>
      <c r="M408" s="271"/>
      <c r="N408" s="514">
        <f>+'29'!N408+'30'!N408+'31'!N408</f>
        <v>0</v>
      </c>
      <c r="O408" s="12">
        <f>+'29'!O408+'30'!O408+'31'!O408</f>
        <v>0</v>
      </c>
      <c r="P408" s="12">
        <f>+'29'!P408+'30'!P408+'31'!P408</f>
        <v>0</v>
      </c>
      <c r="Q408" s="532"/>
      <c r="R408" s="270">
        <v>0</v>
      </c>
      <c r="S408" s="12">
        <v>0</v>
      </c>
      <c r="T408" s="12">
        <v>0</v>
      </c>
      <c r="U408" s="271"/>
      <c r="V408" s="533">
        <f t="shared" si="49"/>
        <v>0</v>
      </c>
      <c r="W408" s="533">
        <f t="shared" si="50"/>
        <v>0</v>
      </c>
      <c r="X408" s="257"/>
      <c r="Y408" s="261">
        <f t="shared" si="51"/>
        <v>0</v>
      </c>
      <c r="Z408" s="12">
        <f t="shared" si="52"/>
        <v>0</v>
      </c>
      <c r="AB408" s="13">
        <f t="shared" si="48"/>
        <v>0</v>
      </c>
      <c r="AF408" s="13">
        <f t="shared" si="53"/>
        <v>0</v>
      </c>
      <c r="AM408" s="12">
        <f t="shared" si="54"/>
        <v>0</v>
      </c>
      <c r="AN408" s="13">
        <f t="shared" si="55"/>
        <v>0</v>
      </c>
    </row>
    <row r="409" spans="1:40" x14ac:dyDescent="0.25">
      <c r="A409">
        <v>404</v>
      </c>
      <c r="B409" t="s">
        <v>2219</v>
      </c>
      <c r="D409" t="s">
        <v>16</v>
      </c>
      <c r="F409" s="514">
        <f>+'29'!F409+'30'!F409+'31'!F409</f>
        <v>225</v>
      </c>
      <c r="G409" s="12">
        <f>+'29'!G409+'30'!G409+'31'!G409</f>
        <v>463832.35</v>
      </c>
      <c r="H409" s="12">
        <f>+'29'!H409+'30'!H409+'31'!H409</f>
        <v>2250</v>
      </c>
      <c r="I409" s="271"/>
      <c r="J409" s="514">
        <f>+'29'!J409+'30'!J409+'31'!J409</f>
        <v>0</v>
      </c>
      <c r="K409" s="12">
        <f>+'29'!K409+'30'!K409+'31'!K409</f>
        <v>0</v>
      </c>
      <c r="L409" s="12">
        <f>+'29'!L409+'30'!L409+'31'!L409</f>
        <v>0</v>
      </c>
      <c r="M409" s="271"/>
      <c r="N409" s="514">
        <f>+'29'!N409+'30'!N409+'31'!N409</f>
        <v>225</v>
      </c>
      <c r="O409" s="12">
        <f>+'29'!O409+'30'!O409+'31'!O409</f>
        <v>463832.35</v>
      </c>
      <c r="P409" s="12">
        <f>+'29'!P409+'30'!P409+'31'!P409</f>
        <v>2250</v>
      </c>
      <c r="Q409" s="532"/>
      <c r="R409" s="270">
        <v>225</v>
      </c>
      <c r="S409" s="12">
        <v>463832.35</v>
      </c>
      <c r="T409" s="12">
        <v>0</v>
      </c>
      <c r="U409" s="271"/>
      <c r="V409" s="533">
        <f t="shared" si="49"/>
        <v>0</v>
      </c>
      <c r="W409" s="533">
        <f t="shared" si="50"/>
        <v>0</v>
      </c>
      <c r="X409" s="257"/>
      <c r="Y409" s="261">
        <f t="shared" si="51"/>
        <v>0</v>
      </c>
      <c r="Z409" s="12">
        <f t="shared" si="52"/>
        <v>0</v>
      </c>
      <c r="AB409" s="13">
        <f t="shared" si="48"/>
        <v>463832.35</v>
      </c>
      <c r="AF409" s="13">
        <f t="shared" si="53"/>
        <v>463832.35</v>
      </c>
      <c r="AM409" s="12">
        <f t="shared" si="54"/>
        <v>0</v>
      </c>
      <c r="AN409" s="13">
        <f t="shared" si="55"/>
        <v>463832.35</v>
      </c>
    </row>
    <row r="410" spans="1:40" x14ac:dyDescent="0.25">
      <c r="A410">
        <v>405</v>
      </c>
      <c r="B410" t="s">
        <v>425</v>
      </c>
      <c r="C410" t="s">
        <v>41</v>
      </c>
      <c r="D410" t="s">
        <v>16</v>
      </c>
      <c r="F410" s="514">
        <f>+'29'!F410+'30'!F410+'31'!F410</f>
        <v>0</v>
      </c>
      <c r="G410" s="12">
        <f>+'29'!G410+'30'!G410+'31'!G410</f>
        <v>0</v>
      </c>
      <c r="H410" s="12">
        <f>+'29'!H410+'30'!H410+'31'!H410</f>
        <v>0</v>
      </c>
      <c r="I410" s="271"/>
      <c r="J410" s="514">
        <f>+'29'!J410+'30'!J410+'31'!J410</f>
        <v>0</v>
      </c>
      <c r="K410" s="12">
        <f>+'29'!K410+'30'!K410+'31'!K410</f>
        <v>0</v>
      </c>
      <c r="L410" s="12">
        <f>+'29'!L410+'30'!L410+'31'!L410</f>
        <v>0</v>
      </c>
      <c r="M410" s="271"/>
      <c r="N410" s="514">
        <f>+'29'!N410+'30'!N410+'31'!N410</f>
        <v>0</v>
      </c>
      <c r="O410" s="12">
        <f>+'29'!O410+'30'!O410+'31'!O410</f>
        <v>0</v>
      </c>
      <c r="P410" s="12">
        <f>+'29'!P410+'30'!P410+'31'!P410</f>
        <v>0</v>
      </c>
      <c r="Q410" s="532"/>
      <c r="R410" s="270">
        <v>0</v>
      </c>
      <c r="S410" s="12">
        <v>0</v>
      </c>
      <c r="T410" s="12">
        <v>0</v>
      </c>
      <c r="U410" s="271"/>
      <c r="V410" s="533">
        <f t="shared" si="49"/>
        <v>0</v>
      </c>
      <c r="W410" s="533">
        <f t="shared" si="50"/>
        <v>0</v>
      </c>
      <c r="X410" s="257"/>
      <c r="Y410" s="261">
        <f t="shared" si="51"/>
        <v>0</v>
      </c>
      <c r="Z410" s="12">
        <f t="shared" si="52"/>
        <v>0</v>
      </c>
      <c r="AB410" s="13">
        <f t="shared" si="48"/>
        <v>0</v>
      </c>
      <c r="AF410" s="13">
        <f t="shared" si="53"/>
        <v>0</v>
      </c>
      <c r="AM410" s="12">
        <f t="shared" si="54"/>
        <v>0</v>
      </c>
      <c r="AN410" s="13">
        <f t="shared" si="55"/>
        <v>0</v>
      </c>
    </row>
    <row r="411" spans="1:40" x14ac:dyDescent="0.25">
      <c r="A411">
        <v>406</v>
      </c>
      <c r="B411" t="s">
        <v>426</v>
      </c>
      <c r="C411" t="s">
        <v>15</v>
      </c>
      <c r="D411" t="s">
        <v>16</v>
      </c>
      <c r="F411" s="514">
        <f>+'29'!F411+'30'!F411+'31'!F411</f>
        <v>0</v>
      </c>
      <c r="G411" s="12">
        <f>+'29'!G411+'30'!G411+'31'!G411</f>
        <v>0</v>
      </c>
      <c r="H411" s="12">
        <f>+'29'!H411+'30'!H411+'31'!H411</f>
        <v>0</v>
      </c>
      <c r="I411" s="271"/>
      <c r="J411" s="514">
        <f>+'29'!J411+'30'!J411+'31'!J411</f>
        <v>0</v>
      </c>
      <c r="K411" s="12">
        <f>+'29'!K411+'30'!K411+'31'!K411</f>
        <v>0</v>
      </c>
      <c r="L411" s="12">
        <f>+'29'!L411+'30'!L411+'31'!L411</f>
        <v>0</v>
      </c>
      <c r="M411" s="271"/>
      <c r="N411" s="514">
        <f>+'29'!N411+'30'!N411+'31'!N411</f>
        <v>0</v>
      </c>
      <c r="O411" s="12">
        <f>+'29'!O411+'30'!O411+'31'!O411</f>
        <v>0</v>
      </c>
      <c r="P411" s="12">
        <f>+'29'!P411+'30'!P411+'31'!P411</f>
        <v>0</v>
      </c>
      <c r="Q411" s="532"/>
      <c r="R411" s="270">
        <v>0</v>
      </c>
      <c r="S411" s="12">
        <v>0</v>
      </c>
      <c r="T411" s="12">
        <v>0</v>
      </c>
      <c r="U411" s="271"/>
      <c r="V411" s="533">
        <f t="shared" si="49"/>
        <v>0</v>
      </c>
      <c r="W411" s="533">
        <f t="shared" si="50"/>
        <v>0</v>
      </c>
      <c r="X411" s="257"/>
      <c r="Y411" s="261">
        <f t="shared" si="51"/>
        <v>0</v>
      </c>
      <c r="Z411" s="12">
        <f t="shared" si="52"/>
        <v>0</v>
      </c>
      <c r="AB411" s="13">
        <f t="shared" si="48"/>
        <v>0</v>
      </c>
      <c r="AF411" s="13">
        <f t="shared" si="53"/>
        <v>0</v>
      </c>
      <c r="AM411" s="12">
        <f t="shared" si="54"/>
        <v>0</v>
      </c>
      <c r="AN411" s="13">
        <f t="shared" si="55"/>
        <v>0</v>
      </c>
    </row>
    <row r="412" spans="1:40" x14ac:dyDescent="0.25">
      <c r="A412">
        <v>407</v>
      </c>
      <c r="B412" t="s">
        <v>427</v>
      </c>
      <c r="C412" t="s">
        <v>15</v>
      </c>
      <c r="D412" t="s">
        <v>16</v>
      </c>
      <c r="F412" s="514">
        <f>+'29'!F412+'30'!F412+'31'!F412</f>
        <v>37</v>
      </c>
      <c r="G412" s="12">
        <f>+'29'!G412+'30'!G412+'31'!G412</f>
        <v>46877.78</v>
      </c>
      <c r="H412" s="12">
        <f>+'29'!H412+'30'!H412+'31'!H412</f>
        <v>259</v>
      </c>
      <c r="I412" s="271"/>
      <c r="J412" s="514">
        <f>+'29'!J412+'30'!J412+'31'!J412</f>
        <v>0</v>
      </c>
      <c r="K412" s="12">
        <f>+'29'!K412+'30'!K412+'31'!K412</f>
        <v>0</v>
      </c>
      <c r="L412" s="12">
        <f>+'29'!L412+'30'!L412+'31'!L412</f>
        <v>0</v>
      </c>
      <c r="M412" s="271"/>
      <c r="N412" s="514">
        <f>+'29'!N412+'30'!N412+'31'!N412</f>
        <v>37</v>
      </c>
      <c r="O412" s="12">
        <f>+'29'!O412+'30'!O412+'31'!O412</f>
        <v>46877.78</v>
      </c>
      <c r="P412" s="12">
        <f>+'29'!P412+'30'!P412+'31'!P412</f>
        <v>259</v>
      </c>
      <c r="Q412" s="532"/>
      <c r="R412" s="270">
        <v>37</v>
      </c>
      <c r="S412" s="12">
        <v>46877.78</v>
      </c>
      <c r="T412" s="12">
        <v>0</v>
      </c>
      <c r="U412" s="271"/>
      <c r="V412" s="533">
        <f t="shared" si="49"/>
        <v>0</v>
      </c>
      <c r="W412" s="533">
        <f t="shared" si="50"/>
        <v>0</v>
      </c>
      <c r="X412" s="257"/>
      <c r="Y412" s="261">
        <f t="shared" si="51"/>
        <v>0</v>
      </c>
      <c r="Z412" s="12">
        <f t="shared" si="52"/>
        <v>0</v>
      </c>
      <c r="AB412" s="13">
        <f t="shared" si="48"/>
        <v>46877.78</v>
      </c>
      <c r="AF412" s="13">
        <f t="shared" si="53"/>
        <v>46877.78</v>
      </c>
      <c r="AM412" s="12">
        <f t="shared" si="54"/>
        <v>0</v>
      </c>
      <c r="AN412" s="13">
        <f t="shared" si="55"/>
        <v>46877.78</v>
      </c>
    </row>
    <row r="413" spans="1:40" x14ac:dyDescent="0.25">
      <c r="A413">
        <v>408</v>
      </c>
      <c r="B413" t="s">
        <v>428</v>
      </c>
      <c r="D413" t="s">
        <v>43</v>
      </c>
      <c r="F413" s="514">
        <f>+'29'!F413+'30'!F413+'31'!F413</f>
        <v>0</v>
      </c>
      <c r="G413" s="12">
        <f>+'29'!G413+'30'!G413+'31'!G413</f>
        <v>0</v>
      </c>
      <c r="H413" s="12">
        <f>+'29'!H413+'30'!H413+'31'!H413</f>
        <v>0</v>
      </c>
      <c r="I413" s="271"/>
      <c r="J413" s="514">
        <f>+'29'!J413+'30'!J413+'31'!J413</f>
        <v>0</v>
      </c>
      <c r="K413" s="12">
        <f>+'29'!K413+'30'!K413+'31'!K413</f>
        <v>0</v>
      </c>
      <c r="L413" s="12">
        <f>+'29'!L413+'30'!L413+'31'!L413</f>
        <v>0</v>
      </c>
      <c r="M413" s="271"/>
      <c r="N413" s="514">
        <f>+'29'!N413+'30'!N413+'31'!N413</f>
        <v>0</v>
      </c>
      <c r="O413" s="12">
        <f>+'29'!O413+'30'!O413+'31'!O413</f>
        <v>0</v>
      </c>
      <c r="P413" s="12">
        <f>+'29'!P413+'30'!P413+'31'!P413</f>
        <v>0</v>
      </c>
      <c r="Q413" s="532"/>
      <c r="R413" s="270">
        <v>0</v>
      </c>
      <c r="S413" s="12">
        <v>0</v>
      </c>
      <c r="T413" s="12">
        <v>0</v>
      </c>
      <c r="U413" s="271"/>
      <c r="V413" s="533">
        <f t="shared" si="49"/>
        <v>0</v>
      </c>
      <c r="W413" s="533">
        <f t="shared" si="50"/>
        <v>0</v>
      </c>
      <c r="X413" s="257"/>
      <c r="Y413" s="261">
        <f t="shared" si="51"/>
        <v>0</v>
      </c>
      <c r="Z413" s="12">
        <f t="shared" si="52"/>
        <v>0</v>
      </c>
      <c r="AB413" s="13">
        <f t="shared" si="48"/>
        <v>0</v>
      </c>
      <c r="AF413" s="13">
        <f t="shared" si="53"/>
        <v>0</v>
      </c>
      <c r="AG413" s="16">
        <v>55</v>
      </c>
      <c r="AM413" s="12">
        <f t="shared" si="54"/>
        <v>55</v>
      </c>
      <c r="AN413" s="13">
        <f t="shared" si="55"/>
        <v>-55</v>
      </c>
    </row>
    <row r="414" spans="1:40" x14ac:dyDescent="0.25">
      <c r="A414">
        <v>409</v>
      </c>
      <c r="B414" t="s">
        <v>429</v>
      </c>
      <c r="C414" t="s">
        <v>18</v>
      </c>
      <c r="D414" t="s">
        <v>16</v>
      </c>
      <c r="F414" s="514">
        <f>+'29'!F414+'30'!F414+'31'!F414</f>
        <v>2</v>
      </c>
      <c r="G414" s="12">
        <f>+'29'!G414+'30'!G414+'31'!G414</f>
        <v>69582</v>
      </c>
      <c r="H414" s="12">
        <f>+'29'!H414+'30'!H414+'31'!H414</f>
        <v>100</v>
      </c>
      <c r="I414" s="271"/>
      <c r="J414" s="514">
        <f>+'29'!J414+'30'!J414+'31'!J414</f>
        <v>0</v>
      </c>
      <c r="K414" s="12">
        <f>+'29'!K414+'30'!K414+'31'!K414</f>
        <v>0</v>
      </c>
      <c r="L414" s="12">
        <f>+'29'!L414+'30'!L414+'31'!L414</f>
        <v>0</v>
      </c>
      <c r="M414" s="271"/>
      <c r="N414" s="514">
        <f>+'29'!N414+'30'!N414+'31'!N414</f>
        <v>2</v>
      </c>
      <c r="O414" s="12">
        <f>+'29'!O414+'30'!O414+'31'!O414</f>
        <v>69582</v>
      </c>
      <c r="P414" s="12">
        <f>+'29'!P414+'30'!P414+'31'!P414</f>
        <v>100</v>
      </c>
      <c r="Q414" s="532"/>
      <c r="R414" s="270">
        <v>2</v>
      </c>
      <c r="S414" s="12">
        <v>69582</v>
      </c>
      <c r="T414" s="12">
        <v>0</v>
      </c>
      <c r="U414" s="271"/>
      <c r="V414" s="533">
        <f t="shared" si="49"/>
        <v>0</v>
      </c>
      <c r="W414" s="533">
        <f t="shared" si="50"/>
        <v>0</v>
      </c>
      <c r="X414" s="257"/>
      <c r="Y414" s="261">
        <f t="shared" si="51"/>
        <v>0</v>
      </c>
      <c r="Z414" s="12">
        <f t="shared" si="52"/>
        <v>0</v>
      </c>
      <c r="AB414" s="13">
        <f t="shared" si="48"/>
        <v>69582</v>
      </c>
      <c r="AF414" s="13">
        <f t="shared" si="53"/>
        <v>69582</v>
      </c>
      <c r="AM414" s="12">
        <f t="shared" si="54"/>
        <v>0</v>
      </c>
      <c r="AN414" s="13">
        <f t="shared" si="55"/>
        <v>69582</v>
      </c>
    </row>
    <row r="415" spans="1:40" x14ac:dyDescent="0.25">
      <c r="A415">
        <v>410</v>
      </c>
      <c r="B415" t="s">
        <v>430</v>
      </c>
      <c r="C415" t="s">
        <v>92</v>
      </c>
      <c r="D415" t="s">
        <v>16</v>
      </c>
      <c r="F415" s="514">
        <f>+'29'!F415+'30'!F415+'31'!F415</f>
        <v>100</v>
      </c>
      <c r="G415" s="12">
        <f>+'29'!G415+'30'!G415+'31'!G415</f>
        <v>263221.58999999997</v>
      </c>
      <c r="H415" s="12">
        <f>+'29'!H415+'30'!H415+'31'!H415</f>
        <v>707</v>
      </c>
      <c r="I415" s="271"/>
      <c r="J415" s="514">
        <f>+'29'!J415+'30'!J415+'31'!J415</f>
        <v>0</v>
      </c>
      <c r="K415" s="12">
        <f>+'29'!K415+'30'!K415+'31'!K415</f>
        <v>0</v>
      </c>
      <c r="L415" s="12">
        <f>+'29'!L415+'30'!L415+'31'!L415</f>
        <v>0</v>
      </c>
      <c r="M415" s="271"/>
      <c r="N415" s="514">
        <f>+'29'!N415+'30'!N415+'31'!N415</f>
        <v>100</v>
      </c>
      <c r="O415" s="12">
        <f>+'29'!O415+'30'!O415+'31'!O415</f>
        <v>263221.58999999997</v>
      </c>
      <c r="P415" s="12">
        <f>+'29'!P415+'30'!P415+'31'!P415</f>
        <v>707</v>
      </c>
      <c r="Q415" s="532"/>
      <c r="R415" s="270">
        <v>100</v>
      </c>
      <c r="S415" s="12">
        <v>263221.59000000003</v>
      </c>
      <c r="T415" s="12">
        <v>0</v>
      </c>
      <c r="U415" s="271"/>
      <c r="V415" s="533">
        <f t="shared" si="49"/>
        <v>0</v>
      </c>
      <c r="W415" s="533">
        <f t="shared" si="50"/>
        <v>0</v>
      </c>
      <c r="X415" s="257"/>
      <c r="Y415" s="261">
        <f t="shared" si="51"/>
        <v>0</v>
      </c>
      <c r="Z415" s="12">
        <f t="shared" si="52"/>
        <v>0</v>
      </c>
      <c r="AB415" s="13">
        <f t="shared" si="48"/>
        <v>263221.58999999997</v>
      </c>
      <c r="AF415" s="13">
        <f t="shared" si="53"/>
        <v>263221.58999999997</v>
      </c>
      <c r="AM415" s="12">
        <f t="shared" si="54"/>
        <v>0</v>
      </c>
      <c r="AN415" s="13">
        <f t="shared" si="55"/>
        <v>263221.58999999997</v>
      </c>
    </row>
    <row r="416" spans="1:40" x14ac:dyDescent="0.25">
      <c r="A416">
        <v>411</v>
      </c>
      <c r="B416" t="s">
        <v>431</v>
      </c>
      <c r="C416" t="s">
        <v>432</v>
      </c>
      <c r="D416" t="s">
        <v>16</v>
      </c>
      <c r="F416" s="514">
        <f>+'29'!F416+'30'!F416+'31'!F416</f>
        <v>2</v>
      </c>
      <c r="G416" s="12">
        <f>+'29'!G416+'30'!G416+'31'!G416</f>
        <v>1100</v>
      </c>
      <c r="H416" s="12">
        <f>+'29'!H416+'30'!H416+'31'!H416</f>
        <v>20</v>
      </c>
      <c r="I416" s="271"/>
      <c r="J416" s="514">
        <f>+'29'!J416+'30'!J416+'31'!J416</f>
        <v>0</v>
      </c>
      <c r="K416" s="12">
        <f>+'29'!K416+'30'!K416+'31'!K416</f>
        <v>0</v>
      </c>
      <c r="L416" s="12">
        <f>+'29'!L416+'30'!L416+'31'!L416</f>
        <v>0</v>
      </c>
      <c r="M416" s="271"/>
      <c r="N416" s="514">
        <f>+'29'!N416+'30'!N416+'31'!N416</f>
        <v>2</v>
      </c>
      <c r="O416" s="12">
        <f>+'29'!O416+'30'!O416+'31'!O416</f>
        <v>1100</v>
      </c>
      <c r="P416" s="12">
        <f>+'29'!P416+'30'!P416+'31'!P416</f>
        <v>20</v>
      </c>
      <c r="Q416" s="532"/>
      <c r="R416" s="270">
        <v>2</v>
      </c>
      <c r="S416" s="12">
        <v>1100</v>
      </c>
      <c r="T416" s="12">
        <v>0</v>
      </c>
      <c r="U416" s="271"/>
      <c r="V416" s="533">
        <f t="shared" si="49"/>
        <v>0</v>
      </c>
      <c r="W416" s="533">
        <f t="shared" si="50"/>
        <v>0</v>
      </c>
      <c r="X416" s="257"/>
      <c r="Y416" s="261">
        <f t="shared" si="51"/>
        <v>0</v>
      </c>
      <c r="Z416" s="12">
        <f t="shared" si="52"/>
        <v>0</v>
      </c>
      <c r="AB416" s="13">
        <f t="shared" si="48"/>
        <v>1100</v>
      </c>
      <c r="AF416" s="13">
        <f t="shared" si="53"/>
        <v>1100</v>
      </c>
      <c r="AG416" s="16"/>
      <c r="AM416" s="12">
        <f t="shared" si="54"/>
        <v>0</v>
      </c>
      <c r="AN416" s="13">
        <f t="shared" si="55"/>
        <v>1100</v>
      </c>
    </row>
    <row r="417" spans="1:40" x14ac:dyDescent="0.25">
      <c r="A417">
        <v>412</v>
      </c>
      <c r="B417" t="s">
        <v>433</v>
      </c>
      <c r="C417" t="s">
        <v>349</v>
      </c>
      <c r="D417" t="s">
        <v>16</v>
      </c>
      <c r="F417" s="514">
        <f>+'29'!F417+'30'!F417+'31'!F417</f>
        <v>0</v>
      </c>
      <c r="G417" s="12">
        <f>+'29'!G417+'30'!G417+'31'!G417</f>
        <v>0</v>
      </c>
      <c r="H417" s="12">
        <f>+'29'!H417+'30'!H417+'31'!H417</f>
        <v>0</v>
      </c>
      <c r="I417" s="271"/>
      <c r="J417" s="514">
        <f>+'29'!J417+'30'!J417+'31'!J417</f>
        <v>0</v>
      </c>
      <c r="K417" s="12">
        <f>+'29'!K417+'30'!K417+'31'!K417</f>
        <v>0</v>
      </c>
      <c r="L417" s="12">
        <f>+'29'!L417+'30'!L417+'31'!L417</f>
        <v>0</v>
      </c>
      <c r="M417" s="271"/>
      <c r="N417" s="514">
        <f>+'29'!N417+'30'!N417+'31'!N417</f>
        <v>0</v>
      </c>
      <c r="O417" s="12">
        <f>+'29'!O417+'30'!O417+'31'!O417</f>
        <v>0</v>
      </c>
      <c r="P417" s="12">
        <f>+'29'!P417+'30'!P417+'31'!P417</f>
        <v>0</v>
      </c>
      <c r="Q417" s="532"/>
      <c r="R417" s="270">
        <v>0</v>
      </c>
      <c r="S417" s="12">
        <v>0</v>
      </c>
      <c r="T417" s="12">
        <v>0</v>
      </c>
      <c r="U417" s="271"/>
      <c r="V417" s="533">
        <f t="shared" si="49"/>
        <v>0</v>
      </c>
      <c r="W417" s="533">
        <f t="shared" si="50"/>
        <v>0</v>
      </c>
      <c r="X417" s="257"/>
      <c r="Y417" s="261">
        <f t="shared" si="51"/>
        <v>0</v>
      </c>
      <c r="Z417" s="12">
        <f t="shared" si="52"/>
        <v>0</v>
      </c>
      <c r="AB417" s="13">
        <f t="shared" si="48"/>
        <v>0</v>
      </c>
      <c r="AF417" s="13">
        <f t="shared" si="53"/>
        <v>0</v>
      </c>
      <c r="AG417" s="16"/>
      <c r="AI417" s="33"/>
      <c r="AM417" s="12">
        <f t="shared" si="54"/>
        <v>0</v>
      </c>
      <c r="AN417" s="13">
        <f t="shared" si="55"/>
        <v>0</v>
      </c>
    </row>
    <row r="418" spans="1:40" x14ac:dyDescent="0.25">
      <c r="A418">
        <v>413</v>
      </c>
      <c r="B418" t="s">
        <v>434</v>
      </c>
      <c r="C418" t="s">
        <v>108</v>
      </c>
      <c r="D418" t="s">
        <v>16</v>
      </c>
      <c r="F418" s="514">
        <f>+'29'!F418+'30'!F418+'31'!F418</f>
        <v>0</v>
      </c>
      <c r="G418" s="12">
        <f>+'29'!G418+'30'!G418+'31'!G418</f>
        <v>0</v>
      </c>
      <c r="H418" s="12">
        <f>+'29'!H418+'30'!H418+'31'!H418</f>
        <v>0</v>
      </c>
      <c r="I418" s="271"/>
      <c r="J418" s="514">
        <f>+'29'!J418+'30'!J418+'31'!J418</f>
        <v>0</v>
      </c>
      <c r="K418" s="12">
        <f>+'29'!K418+'30'!K418+'31'!K418</f>
        <v>0</v>
      </c>
      <c r="L418" s="12">
        <f>+'29'!L418+'30'!L418+'31'!L418</f>
        <v>0</v>
      </c>
      <c r="M418" s="271"/>
      <c r="N418" s="514">
        <f>+'29'!N418+'30'!N418+'31'!N418</f>
        <v>0</v>
      </c>
      <c r="O418" s="12">
        <f>+'29'!O418+'30'!O418+'31'!O418</f>
        <v>0</v>
      </c>
      <c r="P418" s="12">
        <f>+'29'!P418+'30'!P418+'31'!P418</f>
        <v>0</v>
      </c>
      <c r="Q418" s="532"/>
      <c r="R418" s="270">
        <v>0</v>
      </c>
      <c r="S418" s="12">
        <v>0</v>
      </c>
      <c r="T418" s="12">
        <v>0</v>
      </c>
      <c r="U418" s="271"/>
      <c r="V418" s="533">
        <f t="shared" si="49"/>
        <v>0</v>
      </c>
      <c r="W418" s="533">
        <f t="shared" si="50"/>
        <v>0</v>
      </c>
      <c r="X418" s="257"/>
      <c r="Y418" s="261">
        <f t="shared" si="51"/>
        <v>0</v>
      </c>
      <c r="Z418" s="12">
        <f t="shared" si="52"/>
        <v>0</v>
      </c>
      <c r="AB418" s="13">
        <f t="shared" si="48"/>
        <v>0</v>
      </c>
      <c r="AF418" s="13">
        <f t="shared" si="53"/>
        <v>0</v>
      </c>
      <c r="AM418" s="12">
        <f t="shared" si="54"/>
        <v>0</v>
      </c>
      <c r="AN418" s="13">
        <f t="shared" si="55"/>
        <v>0</v>
      </c>
    </row>
    <row r="419" spans="1:40" x14ac:dyDescent="0.25">
      <c r="A419">
        <v>414</v>
      </c>
      <c r="B419" t="s">
        <v>435</v>
      </c>
      <c r="C419" t="s">
        <v>108</v>
      </c>
      <c r="D419" t="s">
        <v>16</v>
      </c>
      <c r="F419" s="514">
        <f>+'29'!F419+'30'!F419+'31'!F419</f>
        <v>2</v>
      </c>
      <c r="G419" s="12">
        <f>+'29'!G419+'30'!G419+'31'!G419</f>
        <v>10000</v>
      </c>
      <c r="H419" s="12">
        <f>+'29'!H419+'30'!H419+'31'!H419</f>
        <v>50</v>
      </c>
      <c r="I419" s="271"/>
      <c r="J419" s="514">
        <f>+'29'!J419+'30'!J419+'31'!J419</f>
        <v>0</v>
      </c>
      <c r="K419" s="12">
        <f>+'29'!K419+'30'!K419+'31'!K419</f>
        <v>0</v>
      </c>
      <c r="L419" s="12">
        <f>+'29'!L419+'30'!L419+'31'!L419</f>
        <v>0</v>
      </c>
      <c r="M419" s="271"/>
      <c r="N419" s="514">
        <f>+'29'!N419+'30'!N419+'31'!N419</f>
        <v>2</v>
      </c>
      <c r="O419" s="12">
        <f>+'29'!O419+'30'!O419+'31'!O419</f>
        <v>10000</v>
      </c>
      <c r="P419" s="12">
        <f>+'29'!P419+'30'!P419+'31'!P419</f>
        <v>50</v>
      </c>
      <c r="Q419" s="532"/>
      <c r="R419" s="270">
        <v>2</v>
      </c>
      <c r="S419" s="12">
        <v>10000</v>
      </c>
      <c r="T419" s="12">
        <v>0</v>
      </c>
      <c r="U419" s="271"/>
      <c r="V419" s="533">
        <f t="shared" si="49"/>
        <v>0</v>
      </c>
      <c r="W419" s="533">
        <f t="shared" si="50"/>
        <v>0</v>
      </c>
      <c r="X419" s="257"/>
      <c r="Y419" s="261">
        <f t="shared" si="51"/>
        <v>0</v>
      </c>
      <c r="Z419" s="12">
        <f t="shared" si="52"/>
        <v>0</v>
      </c>
      <c r="AB419" s="13">
        <f t="shared" si="48"/>
        <v>10000</v>
      </c>
      <c r="AF419" s="13">
        <f t="shared" si="53"/>
        <v>10000</v>
      </c>
      <c r="AI419" s="33"/>
      <c r="AM419" s="12">
        <f t="shared" si="54"/>
        <v>0</v>
      </c>
      <c r="AN419" s="13">
        <f t="shared" si="55"/>
        <v>10000</v>
      </c>
    </row>
    <row r="420" spans="1:40" x14ac:dyDescent="0.25">
      <c r="A420">
        <v>415</v>
      </c>
      <c r="B420" t="s">
        <v>436</v>
      </c>
      <c r="C420" t="s">
        <v>15</v>
      </c>
      <c r="D420" t="s">
        <v>16</v>
      </c>
      <c r="F420" s="514">
        <f>+'29'!F420+'30'!F420+'31'!F420</f>
        <v>0</v>
      </c>
      <c r="G420" s="12">
        <f>+'29'!G420+'30'!G420+'31'!G420</f>
        <v>0</v>
      </c>
      <c r="H420" s="12">
        <f>+'29'!H420+'30'!H420+'31'!H420</f>
        <v>0</v>
      </c>
      <c r="I420" s="271"/>
      <c r="J420" s="514">
        <f>+'29'!J420+'30'!J420+'31'!J420</f>
        <v>0</v>
      </c>
      <c r="K420" s="12">
        <f>+'29'!K420+'30'!K420+'31'!K420</f>
        <v>0</v>
      </c>
      <c r="L420" s="12">
        <f>+'29'!L420+'30'!L420+'31'!L420</f>
        <v>0</v>
      </c>
      <c r="M420" s="271"/>
      <c r="N420" s="514">
        <f>+'29'!N420+'30'!N420+'31'!N420</f>
        <v>0</v>
      </c>
      <c r="O420" s="12">
        <f>+'29'!O420+'30'!O420+'31'!O420</f>
        <v>0</v>
      </c>
      <c r="P420" s="12">
        <f>+'29'!P420+'30'!P420+'31'!P420</f>
        <v>0</v>
      </c>
      <c r="Q420" s="532"/>
      <c r="R420" s="270">
        <v>0</v>
      </c>
      <c r="S420" s="12">
        <v>0</v>
      </c>
      <c r="T420" s="12">
        <v>0</v>
      </c>
      <c r="U420" s="271"/>
      <c r="V420" s="533">
        <f t="shared" si="49"/>
        <v>0</v>
      </c>
      <c r="W420" s="533">
        <f t="shared" si="50"/>
        <v>0</v>
      </c>
      <c r="X420" s="257"/>
      <c r="Y420" s="261">
        <f t="shared" si="51"/>
        <v>0</v>
      </c>
      <c r="Z420" s="12">
        <f t="shared" si="52"/>
        <v>0</v>
      </c>
      <c r="AB420" s="13">
        <f t="shared" si="48"/>
        <v>0</v>
      </c>
      <c r="AF420" s="13">
        <f t="shared" si="53"/>
        <v>0</v>
      </c>
      <c r="AM420" s="12">
        <f t="shared" si="54"/>
        <v>0</v>
      </c>
      <c r="AN420" s="13">
        <f t="shared" si="55"/>
        <v>0</v>
      </c>
    </row>
    <row r="421" spans="1:40" x14ac:dyDescent="0.25">
      <c r="A421">
        <v>416</v>
      </c>
      <c r="B421" t="s">
        <v>437</v>
      </c>
      <c r="C421" t="s">
        <v>39</v>
      </c>
      <c r="D421" t="s">
        <v>16</v>
      </c>
      <c r="F421" s="514">
        <f>+'29'!F421+'30'!F421+'31'!F421</f>
        <v>6611</v>
      </c>
      <c r="G421" s="12">
        <f>+'29'!G421+'30'!G421+'31'!G421</f>
        <v>43951598.629999995</v>
      </c>
      <c r="H421" s="12">
        <f>+'29'!H421+'30'!H421+'31'!H421</f>
        <v>46277</v>
      </c>
      <c r="I421" s="271"/>
      <c r="J421" s="514">
        <f>+'29'!J421+'30'!J421+'31'!J421</f>
        <v>0</v>
      </c>
      <c r="K421" s="12">
        <f>+'29'!K421+'30'!K421+'31'!K421</f>
        <v>0</v>
      </c>
      <c r="L421" s="12">
        <f>+'29'!L421+'30'!L421+'31'!L421</f>
        <v>0</v>
      </c>
      <c r="M421" s="271"/>
      <c r="N421" s="514">
        <f>+'29'!N421+'30'!N421+'31'!N421</f>
        <v>6611</v>
      </c>
      <c r="O421" s="12">
        <f>+'29'!O421+'30'!O421+'31'!O421</f>
        <v>43951598.629999995</v>
      </c>
      <c r="P421" s="12">
        <f>+'29'!P421+'30'!P421+'31'!P421</f>
        <v>46277</v>
      </c>
      <c r="Q421" s="532"/>
      <c r="R421" s="270">
        <v>6611</v>
      </c>
      <c r="S421" s="12">
        <v>43951598.630000003</v>
      </c>
      <c r="T421" s="12">
        <v>0</v>
      </c>
      <c r="U421" s="271"/>
      <c r="V421" s="533">
        <f t="shared" si="49"/>
        <v>0</v>
      </c>
      <c r="W421" s="533">
        <f t="shared" si="50"/>
        <v>0</v>
      </c>
      <c r="X421" s="257"/>
      <c r="Y421" s="261">
        <f t="shared" si="51"/>
        <v>0</v>
      </c>
      <c r="Z421" s="12">
        <f t="shared" si="52"/>
        <v>0</v>
      </c>
      <c r="AB421" s="13">
        <f t="shared" si="48"/>
        <v>43951598.629999995</v>
      </c>
      <c r="AF421" s="13">
        <f t="shared" si="53"/>
        <v>43951598.629999995</v>
      </c>
      <c r="AM421" s="12">
        <f t="shared" si="54"/>
        <v>0</v>
      </c>
      <c r="AN421" s="13">
        <f t="shared" si="55"/>
        <v>43951598.629999995</v>
      </c>
    </row>
    <row r="422" spans="1:40" x14ac:dyDescent="0.25">
      <c r="A422">
        <v>417</v>
      </c>
      <c r="B422" t="s">
        <v>438</v>
      </c>
      <c r="C422" t="s">
        <v>18</v>
      </c>
      <c r="D422" t="s">
        <v>16</v>
      </c>
      <c r="F422" s="514">
        <f>+'29'!F422+'30'!F422+'31'!F422</f>
        <v>32</v>
      </c>
      <c r="G422" s="12">
        <f>+'29'!G422+'30'!G422+'31'!G422</f>
        <v>86243.37</v>
      </c>
      <c r="H422" s="12">
        <f>+'29'!H422+'30'!H422+'31'!H422</f>
        <v>320</v>
      </c>
      <c r="I422" s="271"/>
      <c r="J422" s="514">
        <f>+'29'!J422+'30'!J422+'31'!J422</f>
        <v>0</v>
      </c>
      <c r="K422" s="12">
        <f>+'29'!K422+'30'!K422+'31'!K422</f>
        <v>0</v>
      </c>
      <c r="L422" s="12">
        <f>+'29'!L422+'30'!L422+'31'!L422</f>
        <v>0</v>
      </c>
      <c r="M422" s="271"/>
      <c r="N422" s="514">
        <f>+'29'!N422+'30'!N422+'31'!N422</f>
        <v>32</v>
      </c>
      <c r="O422" s="12">
        <f>+'29'!O422+'30'!O422+'31'!O422</f>
        <v>86243.37</v>
      </c>
      <c r="P422" s="12">
        <f>+'29'!P422+'30'!P422+'31'!P422</f>
        <v>320</v>
      </c>
      <c r="Q422" s="532"/>
      <c r="R422" s="270">
        <v>32</v>
      </c>
      <c r="S422" s="12">
        <v>86243.37</v>
      </c>
      <c r="T422" s="12">
        <v>0</v>
      </c>
      <c r="U422" s="271"/>
      <c r="V422" s="533">
        <f t="shared" si="49"/>
        <v>0</v>
      </c>
      <c r="W422" s="533">
        <f t="shared" si="50"/>
        <v>0</v>
      </c>
      <c r="X422" s="257"/>
      <c r="Y422" s="261">
        <f t="shared" si="51"/>
        <v>0</v>
      </c>
      <c r="Z422" s="12">
        <f t="shared" si="52"/>
        <v>0</v>
      </c>
      <c r="AB422" s="13">
        <f t="shared" si="48"/>
        <v>86243.37</v>
      </c>
      <c r="AF422" s="13">
        <f t="shared" si="53"/>
        <v>86243.37</v>
      </c>
      <c r="AM422" s="12">
        <f t="shared" si="54"/>
        <v>0</v>
      </c>
      <c r="AN422" s="13">
        <f t="shared" si="55"/>
        <v>86243.37</v>
      </c>
    </row>
    <row r="423" spans="1:40" x14ac:dyDescent="0.25">
      <c r="A423">
        <v>418</v>
      </c>
      <c r="B423" t="s">
        <v>439</v>
      </c>
      <c r="C423" t="s">
        <v>15</v>
      </c>
      <c r="D423" t="s">
        <v>380</v>
      </c>
      <c r="F423" s="514">
        <f>+'29'!F423+'30'!F423+'31'!F423</f>
        <v>8</v>
      </c>
      <c r="G423" s="12">
        <f>+'29'!G423+'30'!G423+'31'!G423</f>
        <v>85435</v>
      </c>
      <c r="H423" s="12">
        <f>+'29'!H423+'30'!H423+'31'!H423</f>
        <v>120</v>
      </c>
      <c r="I423" s="271"/>
      <c r="J423" s="514">
        <f>+'29'!J423+'30'!J423+'31'!J423</f>
        <v>0</v>
      </c>
      <c r="K423" s="12">
        <f>+'29'!K423+'30'!K423+'31'!K423</f>
        <v>0</v>
      </c>
      <c r="L423" s="12">
        <f>+'29'!L423+'30'!L423+'31'!L423</f>
        <v>0</v>
      </c>
      <c r="M423" s="271"/>
      <c r="N423" s="514">
        <f>+'29'!N423+'30'!N423+'31'!N423</f>
        <v>8</v>
      </c>
      <c r="O423" s="12">
        <f>+'29'!O423+'30'!O423+'31'!O423</f>
        <v>85435</v>
      </c>
      <c r="P423" s="12">
        <f>+'29'!P423+'30'!P423+'31'!P423</f>
        <v>120</v>
      </c>
      <c r="Q423" s="532"/>
      <c r="R423" s="270">
        <v>8</v>
      </c>
      <c r="S423" s="12">
        <v>85435</v>
      </c>
      <c r="T423" s="12">
        <v>0</v>
      </c>
      <c r="U423" s="271"/>
      <c r="V423" s="533">
        <f t="shared" si="49"/>
        <v>0</v>
      </c>
      <c r="W423" s="533">
        <f t="shared" si="50"/>
        <v>0</v>
      </c>
      <c r="X423" s="257"/>
      <c r="Y423" s="261">
        <f t="shared" si="51"/>
        <v>0</v>
      </c>
      <c r="Z423" s="12">
        <f t="shared" si="52"/>
        <v>0</v>
      </c>
      <c r="AB423" s="13">
        <f t="shared" si="48"/>
        <v>85435</v>
      </c>
      <c r="AD423" s="16">
        <v>4611.16</v>
      </c>
      <c r="AF423" s="13">
        <f t="shared" si="53"/>
        <v>80823.839999999997</v>
      </c>
      <c r="AG423" s="16">
        <v>2003.5714285714284</v>
      </c>
      <c r="AM423" s="12">
        <f t="shared" si="54"/>
        <v>2003.5714285714284</v>
      </c>
      <c r="AN423" s="13">
        <f t="shared" si="55"/>
        <v>78820.268571428562</v>
      </c>
    </row>
    <row r="424" spans="1:40" x14ac:dyDescent="0.25">
      <c r="A424">
        <v>419</v>
      </c>
      <c r="B424" t="s">
        <v>440</v>
      </c>
      <c r="C424" t="s">
        <v>18</v>
      </c>
      <c r="D424" t="s">
        <v>16</v>
      </c>
      <c r="F424" s="514">
        <f>+'29'!F424+'30'!F424+'31'!F424</f>
        <v>34</v>
      </c>
      <c r="G424" s="12">
        <f>+'29'!G424+'30'!G424+'31'!G424</f>
        <v>35769.499999999993</v>
      </c>
      <c r="H424" s="12">
        <f>+'29'!H424+'30'!H424+'31'!H424</f>
        <v>340</v>
      </c>
      <c r="I424" s="271"/>
      <c r="J424" s="514">
        <f>+'29'!J424+'30'!J424+'31'!J424</f>
        <v>0</v>
      </c>
      <c r="K424" s="12">
        <f>+'29'!K424+'30'!K424+'31'!K424</f>
        <v>0</v>
      </c>
      <c r="L424" s="12">
        <f>+'29'!L424+'30'!L424+'31'!L424</f>
        <v>0</v>
      </c>
      <c r="M424" s="271"/>
      <c r="N424" s="514">
        <f>+'29'!N424+'30'!N424+'31'!N424</f>
        <v>34</v>
      </c>
      <c r="O424" s="12">
        <f>+'29'!O424+'30'!O424+'31'!O424</f>
        <v>35769.499999999993</v>
      </c>
      <c r="P424" s="12">
        <f>+'29'!P424+'30'!P424+'31'!P424</f>
        <v>340</v>
      </c>
      <c r="Q424" s="532"/>
      <c r="R424" s="270">
        <v>34</v>
      </c>
      <c r="S424" s="12">
        <v>35769.5</v>
      </c>
      <c r="T424" s="12">
        <v>0</v>
      </c>
      <c r="U424" s="271"/>
      <c r="V424" s="533">
        <f t="shared" si="49"/>
        <v>0</v>
      </c>
      <c r="W424" s="533">
        <f t="shared" si="50"/>
        <v>0</v>
      </c>
      <c r="X424" s="257"/>
      <c r="Y424" s="261">
        <f t="shared" si="51"/>
        <v>0</v>
      </c>
      <c r="Z424" s="12">
        <f t="shared" si="52"/>
        <v>0</v>
      </c>
      <c r="AB424" s="13">
        <f t="shared" si="48"/>
        <v>35769.499999999993</v>
      </c>
      <c r="AF424" s="13">
        <f t="shared" si="53"/>
        <v>35769.499999999993</v>
      </c>
      <c r="AI424" s="33">
        <v>34</v>
      </c>
      <c r="AM424" s="12">
        <f t="shared" si="54"/>
        <v>34</v>
      </c>
      <c r="AN424" s="13">
        <f t="shared" si="55"/>
        <v>35735.499999999993</v>
      </c>
    </row>
    <row r="425" spans="1:40" x14ac:dyDescent="0.25">
      <c r="A425">
        <v>420</v>
      </c>
      <c r="B425" t="s">
        <v>441</v>
      </c>
      <c r="C425" t="s">
        <v>25</v>
      </c>
      <c r="D425" t="s">
        <v>16</v>
      </c>
      <c r="F425" s="514">
        <f>+'29'!F425+'30'!F425+'31'!F425</f>
        <v>35</v>
      </c>
      <c r="G425" s="12">
        <f>+'29'!G425+'30'!G425+'31'!G425</f>
        <v>131336.42000000001</v>
      </c>
      <c r="H425" s="12">
        <f>+'29'!H425+'30'!H425+'31'!H425</f>
        <v>405</v>
      </c>
      <c r="I425" s="271"/>
      <c r="J425" s="514">
        <f>+'29'!J425+'30'!J425+'31'!J425</f>
        <v>0</v>
      </c>
      <c r="K425" s="12">
        <f>+'29'!K425+'30'!K425+'31'!K425</f>
        <v>0</v>
      </c>
      <c r="L425" s="12">
        <f>+'29'!L425+'30'!L425+'31'!L425</f>
        <v>0</v>
      </c>
      <c r="M425" s="271"/>
      <c r="N425" s="514">
        <f>+'29'!N425+'30'!N425+'31'!N425</f>
        <v>35</v>
      </c>
      <c r="O425" s="12">
        <f>+'29'!O425+'30'!O425+'31'!O425</f>
        <v>131336.42000000001</v>
      </c>
      <c r="P425" s="12">
        <f>+'29'!P425+'30'!P425+'31'!P425</f>
        <v>405</v>
      </c>
      <c r="Q425" s="532"/>
      <c r="R425" s="270">
        <v>35</v>
      </c>
      <c r="S425" s="12">
        <v>131336.42000000001</v>
      </c>
      <c r="T425" s="12">
        <v>0</v>
      </c>
      <c r="U425" s="271"/>
      <c r="V425" s="533">
        <f t="shared" si="49"/>
        <v>0</v>
      </c>
      <c r="W425" s="533">
        <f t="shared" si="50"/>
        <v>0</v>
      </c>
      <c r="X425" s="257"/>
      <c r="Y425" s="261">
        <f t="shared" si="51"/>
        <v>0</v>
      </c>
      <c r="Z425" s="12">
        <f t="shared" si="52"/>
        <v>0</v>
      </c>
      <c r="AB425" s="13">
        <f t="shared" si="48"/>
        <v>131336.42000000001</v>
      </c>
      <c r="AF425" s="13">
        <f t="shared" si="53"/>
        <v>131336.42000000001</v>
      </c>
      <c r="AM425" s="12">
        <f t="shared" si="54"/>
        <v>0</v>
      </c>
      <c r="AN425" s="13">
        <f t="shared" si="55"/>
        <v>131336.42000000001</v>
      </c>
    </row>
    <row r="426" spans="1:40" x14ac:dyDescent="0.25">
      <c r="A426">
        <v>421</v>
      </c>
      <c r="B426" t="s">
        <v>442</v>
      </c>
      <c r="D426" t="s">
        <v>16</v>
      </c>
      <c r="F426" s="514">
        <f>+'29'!F426+'30'!F426+'31'!F426</f>
        <v>0</v>
      </c>
      <c r="G426" s="12">
        <f>+'29'!G426+'30'!G426+'31'!G426</f>
        <v>0</v>
      </c>
      <c r="H426" s="12">
        <f>+'29'!H426+'30'!H426+'31'!H426</f>
        <v>0</v>
      </c>
      <c r="I426" s="271"/>
      <c r="J426" s="514">
        <f>+'29'!J426+'30'!J426+'31'!J426</f>
        <v>0</v>
      </c>
      <c r="K426" s="12">
        <f>+'29'!K426+'30'!K426+'31'!K426</f>
        <v>0</v>
      </c>
      <c r="L426" s="12">
        <f>+'29'!L426+'30'!L426+'31'!L426</f>
        <v>0</v>
      </c>
      <c r="M426" s="271"/>
      <c r="N426" s="514">
        <f>+'29'!N426+'30'!N426+'31'!N426</f>
        <v>0</v>
      </c>
      <c r="O426" s="12">
        <f>+'29'!O426+'30'!O426+'31'!O426</f>
        <v>0</v>
      </c>
      <c r="P426" s="12">
        <f>+'29'!P426+'30'!P426+'31'!P426</f>
        <v>0</v>
      </c>
      <c r="Q426" s="532"/>
      <c r="R426" s="270">
        <v>0</v>
      </c>
      <c r="S426" s="12">
        <v>0</v>
      </c>
      <c r="T426" s="12">
        <v>0</v>
      </c>
      <c r="U426" s="271"/>
      <c r="V426" s="533">
        <f t="shared" si="49"/>
        <v>0</v>
      </c>
      <c r="W426" s="533">
        <f t="shared" si="50"/>
        <v>0</v>
      </c>
      <c r="X426" s="257"/>
      <c r="Y426" s="261">
        <f t="shared" si="51"/>
        <v>0</v>
      </c>
      <c r="Z426" s="12">
        <f t="shared" si="52"/>
        <v>0</v>
      </c>
      <c r="AB426" s="13">
        <f t="shared" si="48"/>
        <v>0</v>
      </c>
      <c r="AF426" s="13">
        <f t="shared" si="53"/>
        <v>0</v>
      </c>
      <c r="AG426" s="16"/>
      <c r="AM426" s="12">
        <f t="shared" si="54"/>
        <v>0</v>
      </c>
      <c r="AN426" s="13">
        <f t="shared" si="55"/>
        <v>0</v>
      </c>
    </row>
    <row r="427" spans="1:40" x14ac:dyDescent="0.25">
      <c r="A427">
        <v>422</v>
      </c>
      <c r="B427" t="s">
        <v>443</v>
      </c>
      <c r="C427" t="s">
        <v>18</v>
      </c>
      <c r="D427" t="s">
        <v>16</v>
      </c>
      <c r="F427" s="514">
        <f>+'29'!F427+'30'!F427+'31'!F427</f>
        <v>0</v>
      </c>
      <c r="G427" s="12">
        <f>+'29'!G427+'30'!G427+'31'!G427</f>
        <v>0</v>
      </c>
      <c r="H427" s="12">
        <f>+'29'!H427+'30'!H427+'31'!H427</f>
        <v>0</v>
      </c>
      <c r="I427" s="271"/>
      <c r="J427" s="514">
        <f>+'29'!J427+'30'!J427+'31'!J427</f>
        <v>0</v>
      </c>
      <c r="K427" s="12">
        <f>+'29'!K427+'30'!K427+'31'!K427</f>
        <v>0</v>
      </c>
      <c r="L427" s="12">
        <f>+'29'!L427+'30'!L427+'31'!L427</f>
        <v>0</v>
      </c>
      <c r="M427" s="271"/>
      <c r="N427" s="514">
        <f>+'29'!N427+'30'!N427+'31'!N427</f>
        <v>0</v>
      </c>
      <c r="O427" s="12">
        <f>+'29'!O427+'30'!O427+'31'!O427</f>
        <v>0</v>
      </c>
      <c r="P427" s="12">
        <f>+'29'!P427+'30'!P427+'31'!P427</f>
        <v>0</v>
      </c>
      <c r="Q427" s="532"/>
      <c r="R427" s="270">
        <v>0</v>
      </c>
      <c r="S427" s="12">
        <v>0</v>
      </c>
      <c r="T427" s="12">
        <v>0</v>
      </c>
      <c r="U427" s="271"/>
      <c r="V427" s="533">
        <f t="shared" si="49"/>
        <v>0</v>
      </c>
      <c r="W427" s="533">
        <f t="shared" si="50"/>
        <v>0</v>
      </c>
      <c r="X427" s="257"/>
      <c r="Y427" s="261">
        <f t="shared" si="51"/>
        <v>0</v>
      </c>
      <c r="Z427" s="12">
        <f t="shared" si="52"/>
        <v>0</v>
      </c>
      <c r="AB427" s="13">
        <f t="shared" si="48"/>
        <v>0</v>
      </c>
      <c r="AD427" s="16"/>
      <c r="AF427" s="13">
        <f t="shared" si="53"/>
        <v>0</v>
      </c>
      <c r="AG427" s="16"/>
      <c r="AI427" s="33"/>
      <c r="AM427" s="12">
        <f t="shared" si="54"/>
        <v>0</v>
      </c>
      <c r="AN427" s="13">
        <f t="shared" si="55"/>
        <v>0</v>
      </c>
    </row>
    <row r="428" spans="1:40" x14ac:dyDescent="0.25">
      <c r="A428">
        <v>423</v>
      </c>
      <c r="B428" t="s">
        <v>444</v>
      </c>
      <c r="C428" t="s">
        <v>25</v>
      </c>
      <c r="D428" t="s">
        <v>16</v>
      </c>
      <c r="F428" s="514">
        <f>+'29'!F428+'30'!F428+'31'!F428</f>
        <v>0</v>
      </c>
      <c r="G428" s="12">
        <f>+'29'!G428+'30'!G428+'31'!G428</f>
        <v>0</v>
      </c>
      <c r="H428" s="12">
        <f>+'29'!H428+'30'!H428+'31'!H428</f>
        <v>0</v>
      </c>
      <c r="I428" s="271"/>
      <c r="J428" s="514">
        <f>+'29'!J428+'30'!J428+'31'!J428</f>
        <v>0</v>
      </c>
      <c r="K428" s="12">
        <f>+'29'!K428+'30'!K428+'31'!K428</f>
        <v>0</v>
      </c>
      <c r="L428" s="12">
        <f>+'29'!L428+'30'!L428+'31'!L428</f>
        <v>0</v>
      </c>
      <c r="M428" s="271"/>
      <c r="N428" s="514">
        <f>+'29'!N428+'30'!N428+'31'!N428</f>
        <v>0</v>
      </c>
      <c r="O428" s="12">
        <f>+'29'!O428+'30'!O428+'31'!O428</f>
        <v>0</v>
      </c>
      <c r="P428" s="12">
        <f>+'29'!P428+'30'!P428+'31'!P428</f>
        <v>0</v>
      </c>
      <c r="Q428" s="532"/>
      <c r="R428" s="270">
        <v>0</v>
      </c>
      <c r="S428" s="12">
        <v>0</v>
      </c>
      <c r="T428" s="12">
        <v>0</v>
      </c>
      <c r="U428" s="271"/>
      <c r="V428" s="533">
        <f t="shared" si="49"/>
        <v>0</v>
      </c>
      <c r="W428" s="533">
        <f t="shared" si="50"/>
        <v>0</v>
      </c>
      <c r="X428" s="257"/>
      <c r="Y428" s="261">
        <f t="shared" si="51"/>
        <v>0</v>
      </c>
      <c r="Z428" s="12">
        <f t="shared" si="52"/>
        <v>0</v>
      </c>
      <c r="AB428" s="13">
        <f t="shared" si="48"/>
        <v>0</v>
      </c>
      <c r="AF428" s="13">
        <f t="shared" si="53"/>
        <v>0</v>
      </c>
      <c r="AI428" s="33"/>
      <c r="AM428" s="12">
        <f t="shared" si="54"/>
        <v>0</v>
      </c>
      <c r="AN428" s="13">
        <f t="shared" si="55"/>
        <v>0</v>
      </c>
    </row>
    <row r="429" spans="1:40" x14ac:dyDescent="0.25">
      <c r="A429">
        <v>424</v>
      </c>
      <c r="B429" t="s">
        <v>445</v>
      </c>
      <c r="C429" t="s">
        <v>15</v>
      </c>
      <c r="D429" t="s">
        <v>16</v>
      </c>
      <c r="F429" s="514">
        <f>+'29'!F429+'30'!F429+'31'!F429</f>
        <v>243</v>
      </c>
      <c r="G429" s="12">
        <f>+'29'!G429+'30'!G429+'31'!G429</f>
        <v>3299282.25</v>
      </c>
      <c r="H429" s="12">
        <f>+'29'!H429+'30'!H429+'31'!H429</f>
        <v>7290</v>
      </c>
      <c r="I429" s="271"/>
      <c r="J429" s="514">
        <f>+'29'!J429+'30'!J429+'31'!J429</f>
        <v>0</v>
      </c>
      <c r="K429" s="12">
        <f>+'29'!K429+'30'!K429+'31'!K429</f>
        <v>0</v>
      </c>
      <c r="L429" s="12">
        <f>+'29'!L429+'30'!L429+'31'!L429</f>
        <v>0</v>
      </c>
      <c r="M429" s="271"/>
      <c r="N429" s="514">
        <f>+'29'!N429+'30'!N429+'31'!N429</f>
        <v>243</v>
      </c>
      <c r="O429" s="12">
        <f>+'29'!O429+'30'!O429+'31'!O429</f>
        <v>3299282.25</v>
      </c>
      <c r="P429" s="12">
        <f>+'29'!P429+'30'!P429+'31'!P429</f>
        <v>7290</v>
      </c>
      <c r="Q429" s="532"/>
      <c r="R429" s="270">
        <v>243</v>
      </c>
      <c r="S429" s="12">
        <v>3299282.25</v>
      </c>
      <c r="T429" s="12">
        <v>0</v>
      </c>
      <c r="U429" s="271"/>
      <c r="V429" s="533">
        <f t="shared" si="49"/>
        <v>0</v>
      </c>
      <c r="W429" s="533">
        <f t="shared" si="50"/>
        <v>0</v>
      </c>
      <c r="X429" s="257"/>
      <c r="Y429" s="261">
        <f t="shared" si="51"/>
        <v>0</v>
      </c>
      <c r="Z429" s="12">
        <f t="shared" si="52"/>
        <v>0</v>
      </c>
      <c r="AB429" s="13">
        <f t="shared" si="48"/>
        <v>3299282.25</v>
      </c>
      <c r="AF429" s="13">
        <f t="shared" si="53"/>
        <v>3299282.25</v>
      </c>
      <c r="AM429" s="12">
        <f t="shared" si="54"/>
        <v>0</v>
      </c>
      <c r="AN429" s="13">
        <f t="shared" si="55"/>
        <v>3299282.25</v>
      </c>
    </row>
    <row r="430" spans="1:40" x14ac:dyDescent="0.25">
      <c r="A430">
        <v>425</v>
      </c>
      <c r="B430" t="s">
        <v>446</v>
      </c>
      <c r="C430" t="s">
        <v>15</v>
      </c>
      <c r="D430" t="s">
        <v>16</v>
      </c>
      <c r="F430" s="514">
        <f>+'29'!F430+'30'!F430+'31'!F430</f>
        <v>0</v>
      </c>
      <c r="G430" s="12">
        <f>+'29'!G430+'30'!G430+'31'!G430</f>
        <v>0</v>
      </c>
      <c r="H430" s="12">
        <f>+'29'!H430+'30'!H430+'31'!H430</f>
        <v>0</v>
      </c>
      <c r="I430" s="271"/>
      <c r="J430" s="514">
        <f>+'29'!J430+'30'!J430+'31'!J430</f>
        <v>0</v>
      </c>
      <c r="K430" s="12">
        <f>+'29'!K430+'30'!K430+'31'!K430</f>
        <v>0</v>
      </c>
      <c r="L430" s="12">
        <f>+'29'!L430+'30'!L430+'31'!L430</f>
        <v>0</v>
      </c>
      <c r="M430" s="271"/>
      <c r="N430" s="514">
        <f>+'29'!N430+'30'!N430+'31'!N430</f>
        <v>0</v>
      </c>
      <c r="O430" s="12">
        <f>+'29'!O430+'30'!O430+'31'!O430</f>
        <v>0</v>
      </c>
      <c r="P430" s="12">
        <f>+'29'!P430+'30'!P430+'31'!P430</f>
        <v>0</v>
      </c>
      <c r="Q430" s="532"/>
      <c r="R430" s="270">
        <v>0</v>
      </c>
      <c r="S430" s="12">
        <v>0</v>
      </c>
      <c r="T430" s="12">
        <v>0</v>
      </c>
      <c r="U430" s="271"/>
      <c r="V430" s="533">
        <f t="shared" si="49"/>
        <v>0</v>
      </c>
      <c r="W430" s="533">
        <f t="shared" si="50"/>
        <v>0</v>
      </c>
      <c r="X430" s="257"/>
      <c r="Y430" s="261">
        <f t="shared" si="51"/>
        <v>0</v>
      </c>
      <c r="Z430" s="12">
        <f t="shared" si="52"/>
        <v>0</v>
      </c>
      <c r="AB430" s="13">
        <f t="shared" si="48"/>
        <v>0</v>
      </c>
      <c r="AF430" s="13">
        <f t="shared" si="53"/>
        <v>0</v>
      </c>
      <c r="AJ430" s="13"/>
      <c r="AM430" s="12">
        <f t="shared" si="54"/>
        <v>0</v>
      </c>
      <c r="AN430" s="13">
        <f t="shared" si="55"/>
        <v>0</v>
      </c>
    </row>
    <row r="431" spans="1:40" x14ac:dyDescent="0.25">
      <c r="A431">
        <v>426</v>
      </c>
      <c r="B431" t="s">
        <v>447</v>
      </c>
      <c r="C431" t="s">
        <v>448</v>
      </c>
      <c r="D431" t="s">
        <v>20</v>
      </c>
      <c r="F431" s="514">
        <f>+'29'!F431+'30'!F431+'31'!F431</f>
        <v>3</v>
      </c>
      <c r="G431" s="12">
        <f>+'29'!G431+'30'!G431+'31'!G431</f>
        <v>40326.79</v>
      </c>
      <c r="H431" s="12">
        <f>+'29'!H431+'30'!H431+'31'!H431</f>
        <v>75</v>
      </c>
      <c r="I431" s="271"/>
      <c r="J431" s="514">
        <f>+'29'!J431+'30'!J431+'31'!J431</f>
        <v>0</v>
      </c>
      <c r="K431" s="12">
        <f>+'29'!K431+'30'!K431+'31'!K431</f>
        <v>0</v>
      </c>
      <c r="L431" s="12">
        <f>+'29'!L431+'30'!L431+'31'!L431</f>
        <v>0</v>
      </c>
      <c r="M431" s="271"/>
      <c r="N431" s="514">
        <f>+'29'!N431+'30'!N431+'31'!N431</f>
        <v>3</v>
      </c>
      <c r="O431" s="12">
        <f>+'29'!O431+'30'!O431+'31'!O431</f>
        <v>40326.79</v>
      </c>
      <c r="P431" s="12">
        <f>+'29'!P431+'30'!P431+'31'!P431</f>
        <v>75</v>
      </c>
      <c r="Q431" s="532"/>
      <c r="R431" s="270">
        <v>3</v>
      </c>
      <c r="S431" s="12">
        <v>40251.79</v>
      </c>
      <c r="T431" s="12">
        <v>75</v>
      </c>
      <c r="U431" s="271"/>
      <c r="V431" s="533">
        <f t="shared" si="49"/>
        <v>0</v>
      </c>
      <c r="W431" s="533">
        <f t="shared" si="50"/>
        <v>75</v>
      </c>
      <c r="X431" s="257"/>
      <c r="Y431" s="261">
        <f t="shared" si="51"/>
        <v>0</v>
      </c>
      <c r="Z431" s="12">
        <f t="shared" si="52"/>
        <v>75</v>
      </c>
      <c r="AB431" s="13">
        <f t="shared" si="48"/>
        <v>40326.79</v>
      </c>
      <c r="AD431" s="16"/>
      <c r="AF431" s="13">
        <f t="shared" si="53"/>
        <v>40326.79</v>
      </c>
      <c r="AG431" s="16"/>
      <c r="AM431" s="12">
        <f t="shared" si="54"/>
        <v>0</v>
      </c>
      <c r="AN431" s="13">
        <f t="shared" si="55"/>
        <v>40326.79</v>
      </c>
    </row>
    <row r="432" spans="1:40" x14ac:dyDescent="0.25">
      <c r="A432">
        <v>427</v>
      </c>
      <c r="B432" t="s">
        <v>2425</v>
      </c>
      <c r="C432" t="s">
        <v>18</v>
      </c>
      <c r="D432" t="s">
        <v>20</v>
      </c>
      <c r="F432" s="514">
        <f>+'29'!F432+'30'!F432+'31'!F432</f>
        <v>5</v>
      </c>
      <c r="G432" s="12">
        <f>+'29'!G432+'30'!G432+'31'!G432</f>
        <v>148435.48000000001</v>
      </c>
      <c r="H432" s="12">
        <f>+'29'!H432+'30'!H432+'31'!H432</f>
        <v>210</v>
      </c>
      <c r="I432" s="271"/>
      <c r="J432" s="514">
        <f>+'29'!J432+'30'!J432+'31'!J432</f>
        <v>0</v>
      </c>
      <c r="K432" s="12">
        <f>+'29'!K432+'30'!K432+'31'!K432</f>
        <v>0</v>
      </c>
      <c r="L432" s="12">
        <f>+'29'!L432+'30'!L432+'31'!L432</f>
        <v>0</v>
      </c>
      <c r="M432" s="271"/>
      <c r="N432" s="514">
        <f>+'29'!N432+'30'!N432+'31'!N432</f>
        <v>5</v>
      </c>
      <c r="O432" s="12">
        <f>+'29'!O432+'30'!O432+'31'!O432</f>
        <v>148435.48000000001</v>
      </c>
      <c r="P432" s="12">
        <f>+'29'!P432+'30'!P432+'31'!P432</f>
        <v>210</v>
      </c>
      <c r="Q432" s="532"/>
      <c r="R432" s="270">
        <v>5</v>
      </c>
      <c r="S432" s="12">
        <v>148225.48000000001</v>
      </c>
      <c r="T432" s="12">
        <v>210</v>
      </c>
      <c r="U432" s="271"/>
      <c r="V432" s="533">
        <f t="shared" si="49"/>
        <v>0</v>
      </c>
      <c r="W432" s="533">
        <f t="shared" si="50"/>
        <v>210</v>
      </c>
      <c r="X432" s="257"/>
      <c r="Y432" s="261">
        <f t="shared" si="51"/>
        <v>0</v>
      </c>
      <c r="Z432" s="12">
        <f t="shared" si="52"/>
        <v>210</v>
      </c>
      <c r="AB432" s="13">
        <f t="shared" si="48"/>
        <v>148435.48000000001</v>
      </c>
      <c r="AF432" s="13">
        <f t="shared" si="53"/>
        <v>148435.48000000001</v>
      </c>
      <c r="AJ432" s="13"/>
      <c r="AM432" s="12">
        <f t="shared" si="54"/>
        <v>0</v>
      </c>
      <c r="AN432" s="13">
        <f t="shared" si="55"/>
        <v>148435.48000000001</v>
      </c>
    </row>
    <row r="433" spans="1:40" x14ac:dyDescent="0.25">
      <c r="A433">
        <v>428</v>
      </c>
      <c r="B433" t="s">
        <v>449</v>
      </c>
      <c r="C433" t="s">
        <v>355</v>
      </c>
      <c r="D433" t="s">
        <v>40</v>
      </c>
      <c r="F433" s="514">
        <f>+'29'!F433+'30'!F433+'31'!F433</f>
        <v>0</v>
      </c>
      <c r="G433" s="12">
        <f>+'29'!G433+'30'!G433+'31'!G433</f>
        <v>0</v>
      </c>
      <c r="H433" s="12">
        <f>+'29'!H433+'30'!H433+'31'!H433</f>
        <v>0</v>
      </c>
      <c r="I433" s="271"/>
      <c r="J433" s="514">
        <f>+'29'!J433+'30'!J433+'31'!J433</f>
        <v>0</v>
      </c>
      <c r="K433" s="12">
        <f>+'29'!K433+'30'!K433+'31'!K433</f>
        <v>0</v>
      </c>
      <c r="L433" s="12">
        <f>+'29'!L433+'30'!L433+'31'!L433</f>
        <v>0</v>
      </c>
      <c r="M433" s="271"/>
      <c r="N433" s="514">
        <f>+'29'!N433+'30'!N433+'31'!N433</f>
        <v>0</v>
      </c>
      <c r="O433" s="12">
        <f>+'29'!O433+'30'!O433+'31'!O433</f>
        <v>0</v>
      </c>
      <c r="P433" s="12">
        <f>+'29'!P433+'30'!P433+'31'!P433</f>
        <v>0</v>
      </c>
      <c r="Q433" s="532"/>
      <c r="R433" s="270">
        <v>0</v>
      </c>
      <c r="S433" s="12">
        <v>0</v>
      </c>
      <c r="T433" s="12">
        <v>0</v>
      </c>
      <c r="U433" s="271"/>
      <c r="V433" s="533">
        <f t="shared" si="49"/>
        <v>0</v>
      </c>
      <c r="W433" s="533">
        <f t="shared" si="50"/>
        <v>0</v>
      </c>
      <c r="X433" s="257"/>
      <c r="Y433" s="261">
        <f t="shared" si="51"/>
        <v>0</v>
      </c>
      <c r="Z433" s="12">
        <f t="shared" si="52"/>
        <v>0</v>
      </c>
      <c r="AB433" s="13">
        <f t="shared" si="48"/>
        <v>0</v>
      </c>
      <c r="AF433" s="13">
        <f t="shared" si="53"/>
        <v>0</v>
      </c>
      <c r="AM433" s="12">
        <f t="shared" si="54"/>
        <v>0</v>
      </c>
      <c r="AN433" s="13">
        <f t="shared" si="55"/>
        <v>0</v>
      </c>
    </row>
    <row r="434" spans="1:40" x14ac:dyDescent="0.25">
      <c r="A434">
        <v>429</v>
      </c>
      <c r="B434" t="s">
        <v>450</v>
      </c>
      <c r="C434" t="s">
        <v>355</v>
      </c>
      <c r="D434" t="s">
        <v>40</v>
      </c>
      <c r="F434" s="514">
        <f>+'29'!F434+'30'!F434+'31'!F434</f>
        <v>0</v>
      </c>
      <c r="G434" s="12">
        <f>+'29'!G434+'30'!G434+'31'!G434</f>
        <v>0</v>
      </c>
      <c r="H434" s="12">
        <f>+'29'!H434+'30'!H434+'31'!H434</f>
        <v>0</v>
      </c>
      <c r="I434" s="271"/>
      <c r="J434" s="514">
        <f>+'29'!J434+'30'!J434+'31'!J434</f>
        <v>0</v>
      </c>
      <c r="K434" s="12">
        <f>+'29'!K434+'30'!K434+'31'!K434</f>
        <v>0</v>
      </c>
      <c r="L434" s="12">
        <f>+'29'!L434+'30'!L434+'31'!L434</f>
        <v>0</v>
      </c>
      <c r="M434" s="271"/>
      <c r="N434" s="514">
        <f>+'29'!N434+'30'!N434+'31'!N434</f>
        <v>0</v>
      </c>
      <c r="O434" s="12">
        <f>+'29'!O434+'30'!O434+'31'!O434</f>
        <v>0</v>
      </c>
      <c r="P434" s="12">
        <f>+'29'!P434+'30'!P434+'31'!P434</f>
        <v>0</v>
      </c>
      <c r="Q434" s="532"/>
      <c r="R434" s="270">
        <v>0</v>
      </c>
      <c r="S434" s="12">
        <v>0</v>
      </c>
      <c r="T434" s="12">
        <v>0</v>
      </c>
      <c r="U434" s="271"/>
      <c r="V434" s="533">
        <f t="shared" si="49"/>
        <v>0</v>
      </c>
      <c r="W434" s="533">
        <f t="shared" si="50"/>
        <v>0</v>
      </c>
      <c r="X434" s="257"/>
      <c r="Y434" s="261">
        <f t="shared" si="51"/>
        <v>0</v>
      </c>
      <c r="Z434" s="12">
        <f t="shared" si="52"/>
        <v>0</v>
      </c>
      <c r="AB434" s="13">
        <f t="shared" si="48"/>
        <v>0</v>
      </c>
      <c r="AF434" s="13">
        <f t="shared" si="53"/>
        <v>0</v>
      </c>
      <c r="AM434" s="12">
        <f t="shared" si="54"/>
        <v>0</v>
      </c>
      <c r="AN434" s="13">
        <f t="shared" si="55"/>
        <v>0</v>
      </c>
    </row>
    <row r="435" spans="1:40" x14ac:dyDescent="0.25">
      <c r="A435">
        <v>430</v>
      </c>
      <c r="B435" t="s">
        <v>451</v>
      </c>
      <c r="C435" t="s">
        <v>355</v>
      </c>
      <c r="D435" t="s">
        <v>40</v>
      </c>
      <c r="F435" s="514">
        <f>+'29'!F435+'30'!F435+'31'!F435</f>
        <v>0</v>
      </c>
      <c r="G435" s="12">
        <f>+'29'!G435+'30'!G435+'31'!G435</f>
        <v>0</v>
      </c>
      <c r="H435" s="12">
        <f>+'29'!H435+'30'!H435+'31'!H435</f>
        <v>0</v>
      </c>
      <c r="I435" s="271"/>
      <c r="J435" s="514">
        <f>+'29'!J435+'30'!J435+'31'!J435</f>
        <v>0</v>
      </c>
      <c r="K435" s="12">
        <f>+'29'!K435+'30'!K435+'31'!K435</f>
        <v>0</v>
      </c>
      <c r="L435" s="12">
        <f>+'29'!L435+'30'!L435+'31'!L435</f>
        <v>0</v>
      </c>
      <c r="M435" s="271"/>
      <c r="N435" s="514">
        <f>+'29'!N435+'30'!N435+'31'!N435</f>
        <v>0</v>
      </c>
      <c r="O435" s="12">
        <f>+'29'!O435+'30'!O435+'31'!O435</f>
        <v>0</v>
      </c>
      <c r="P435" s="12">
        <f>+'29'!P435+'30'!P435+'31'!P435</f>
        <v>0</v>
      </c>
      <c r="Q435" s="532"/>
      <c r="R435" s="270">
        <v>0</v>
      </c>
      <c r="S435" s="12">
        <v>0</v>
      </c>
      <c r="T435" s="12">
        <v>0</v>
      </c>
      <c r="U435" s="271"/>
      <c r="V435" s="533">
        <f t="shared" si="49"/>
        <v>0</v>
      </c>
      <c r="W435" s="533">
        <f t="shared" si="50"/>
        <v>0</v>
      </c>
      <c r="X435" s="257"/>
      <c r="Y435" s="261">
        <f t="shared" si="51"/>
        <v>0</v>
      </c>
      <c r="Z435" s="12">
        <f t="shared" si="52"/>
        <v>0</v>
      </c>
      <c r="AB435" s="13">
        <f t="shared" si="48"/>
        <v>0</v>
      </c>
      <c r="AF435" s="13">
        <f t="shared" si="53"/>
        <v>0</v>
      </c>
      <c r="AM435" s="12">
        <f t="shared" si="54"/>
        <v>0</v>
      </c>
      <c r="AN435" s="13">
        <f t="shared" si="55"/>
        <v>0</v>
      </c>
    </row>
    <row r="436" spans="1:40" x14ac:dyDescent="0.25">
      <c r="A436">
        <v>431</v>
      </c>
      <c r="B436" t="s">
        <v>452</v>
      </c>
      <c r="D436" t="s">
        <v>16</v>
      </c>
      <c r="F436" s="514">
        <f>+'29'!F436+'30'!F436+'31'!F436</f>
        <v>1</v>
      </c>
      <c r="G436" s="12">
        <f>+'29'!G436+'30'!G436+'31'!G436</f>
        <v>2000</v>
      </c>
      <c r="H436" s="12">
        <f>+'29'!H436+'30'!H436+'31'!H436</f>
        <v>15</v>
      </c>
      <c r="I436" s="271"/>
      <c r="J436" s="514">
        <f>+'29'!J436+'30'!J436+'31'!J436</f>
        <v>0</v>
      </c>
      <c r="K436" s="12">
        <f>+'29'!K436+'30'!K436+'31'!K436</f>
        <v>0</v>
      </c>
      <c r="L436" s="12">
        <f>+'29'!L436+'30'!L436+'31'!L436</f>
        <v>0</v>
      </c>
      <c r="M436" s="271"/>
      <c r="N436" s="514">
        <f>+'29'!N436+'30'!N436+'31'!N436</f>
        <v>1</v>
      </c>
      <c r="O436" s="12">
        <f>+'29'!O436+'30'!O436+'31'!O436</f>
        <v>2000</v>
      </c>
      <c r="P436" s="12">
        <f>+'29'!P436+'30'!P436+'31'!P436</f>
        <v>15</v>
      </c>
      <c r="Q436" s="532"/>
      <c r="R436" s="270">
        <v>1</v>
      </c>
      <c r="S436" s="12">
        <v>2000</v>
      </c>
      <c r="T436" s="12">
        <v>0</v>
      </c>
      <c r="U436" s="271"/>
      <c r="V436" s="533">
        <f t="shared" si="49"/>
        <v>0</v>
      </c>
      <c r="W436" s="533">
        <f t="shared" si="50"/>
        <v>0</v>
      </c>
      <c r="X436" s="257"/>
      <c r="Y436" s="261">
        <f t="shared" si="51"/>
        <v>0</v>
      </c>
      <c r="Z436" s="12">
        <f t="shared" si="52"/>
        <v>0</v>
      </c>
      <c r="AB436" s="13">
        <f t="shared" si="48"/>
        <v>2000</v>
      </c>
      <c r="AF436" s="13">
        <f t="shared" si="53"/>
        <v>2000</v>
      </c>
      <c r="AM436" s="12">
        <f t="shared" si="54"/>
        <v>0</v>
      </c>
      <c r="AN436" s="13">
        <f t="shared" si="55"/>
        <v>2000</v>
      </c>
    </row>
    <row r="437" spans="1:40" x14ac:dyDescent="0.25">
      <c r="A437">
        <v>432</v>
      </c>
      <c r="B437" t="s">
        <v>454</v>
      </c>
      <c r="C437" t="s">
        <v>18</v>
      </c>
      <c r="D437" t="s">
        <v>16</v>
      </c>
      <c r="F437" s="514">
        <f>+'29'!F437+'30'!F437+'31'!F437</f>
        <v>8</v>
      </c>
      <c r="G437" s="12">
        <f>+'29'!G437+'30'!G437+'31'!G437</f>
        <v>195343</v>
      </c>
      <c r="H437" s="12">
        <f>+'29'!H437+'30'!H437+'31'!H437</f>
        <v>240</v>
      </c>
      <c r="I437" s="271"/>
      <c r="J437" s="514">
        <f>+'29'!J437+'30'!J437+'31'!J437</f>
        <v>0</v>
      </c>
      <c r="K437" s="12">
        <f>+'29'!K437+'30'!K437+'31'!K437</f>
        <v>0</v>
      </c>
      <c r="L437" s="12">
        <f>+'29'!L437+'30'!L437+'31'!L437</f>
        <v>0</v>
      </c>
      <c r="M437" s="271"/>
      <c r="N437" s="514">
        <f>+'29'!N437+'30'!N437+'31'!N437</f>
        <v>8</v>
      </c>
      <c r="O437" s="12">
        <f>+'29'!O437+'30'!O437+'31'!O437</f>
        <v>195343</v>
      </c>
      <c r="P437" s="12">
        <f>+'29'!P437+'30'!P437+'31'!P437</f>
        <v>240</v>
      </c>
      <c r="Q437" s="532"/>
      <c r="R437" s="270">
        <v>8</v>
      </c>
      <c r="S437" s="12">
        <v>195343</v>
      </c>
      <c r="T437" s="12">
        <v>0</v>
      </c>
      <c r="U437" s="271"/>
      <c r="V437" s="533">
        <f t="shared" si="49"/>
        <v>0</v>
      </c>
      <c r="W437" s="533">
        <f t="shared" si="50"/>
        <v>0</v>
      </c>
      <c r="X437" s="257"/>
      <c r="Y437" s="261">
        <f t="shared" si="51"/>
        <v>0</v>
      </c>
      <c r="Z437" s="12">
        <f t="shared" si="52"/>
        <v>0</v>
      </c>
      <c r="AB437" s="13">
        <f t="shared" si="48"/>
        <v>195343</v>
      </c>
      <c r="AF437" s="13">
        <f t="shared" si="53"/>
        <v>195343</v>
      </c>
      <c r="AM437" s="12">
        <f t="shared" si="54"/>
        <v>0</v>
      </c>
      <c r="AN437" s="13">
        <f t="shared" si="55"/>
        <v>195343</v>
      </c>
    </row>
    <row r="438" spans="1:40" x14ac:dyDescent="0.25">
      <c r="A438">
        <v>433</v>
      </c>
      <c r="B438" t="s">
        <v>455</v>
      </c>
      <c r="C438" t="s">
        <v>18</v>
      </c>
      <c r="D438" t="s">
        <v>16</v>
      </c>
      <c r="F438" s="514">
        <f>+'29'!F438+'30'!F438+'31'!F438</f>
        <v>4</v>
      </c>
      <c r="G438" s="12">
        <f>+'29'!G438+'30'!G438+'31'!G438</f>
        <v>420862.81</v>
      </c>
      <c r="H438" s="12">
        <f>+'29'!H438+'30'!H438+'31'!H438</f>
        <v>120</v>
      </c>
      <c r="I438" s="271"/>
      <c r="J438" s="514">
        <f>+'29'!J438+'30'!J438+'31'!J438</f>
        <v>0</v>
      </c>
      <c r="K438" s="12">
        <f>+'29'!K438+'30'!K438+'31'!K438</f>
        <v>0</v>
      </c>
      <c r="L438" s="12">
        <f>+'29'!L438+'30'!L438+'31'!L438</f>
        <v>0</v>
      </c>
      <c r="M438" s="271"/>
      <c r="N438" s="514">
        <f>+'29'!N438+'30'!N438+'31'!N438</f>
        <v>4</v>
      </c>
      <c r="O438" s="12">
        <f>+'29'!O438+'30'!O438+'31'!O438</f>
        <v>420862.81</v>
      </c>
      <c r="P438" s="12">
        <f>+'29'!P438+'30'!P438+'31'!P438</f>
        <v>120</v>
      </c>
      <c r="Q438" s="532"/>
      <c r="R438" s="270">
        <v>4</v>
      </c>
      <c r="S438" s="12">
        <v>420862.81</v>
      </c>
      <c r="T438" s="12">
        <v>0</v>
      </c>
      <c r="U438" s="271"/>
      <c r="V438" s="533">
        <f t="shared" si="49"/>
        <v>0</v>
      </c>
      <c r="W438" s="533">
        <f t="shared" si="50"/>
        <v>0</v>
      </c>
      <c r="X438" s="257"/>
      <c r="Y438" s="261">
        <f t="shared" si="51"/>
        <v>0</v>
      </c>
      <c r="Z438" s="12">
        <f t="shared" si="52"/>
        <v>0</v>
      </c>
      <c r="AB438" s="13">
        <f t="shared" si="48"/>
        <v>420862.81</v>
      </c>
      <c r="AF438" s="13">
        <f t="shared" si="53"/>
        <v>420862.81</v>
      </c>
      <c r="AM438" s="12">
        <f t="shared" si="54"/>
        <v>0</v>
      </c>
      <c r="AN438" s="13">
        <f t="shared" si="55"/>
        <v>420862.81</v>
      </c>
    </row>
    <row r="439" spans="1:40" x14ac:dyDescent="0.25">
      <c r="A439">
        <v>434</v>
      </c>
      <c r="B439" t="s">
        <v>456</v>
      </c>
      <c r="C439" t="s">
        <v>25</v>
      </c>
      <c r="D439" t="s">
        <v>20</v>
      </c>
      <c r="F439" s="514">
        <f>+'29'!F439+'30'!F439+'31'!F439</f>
        <v>13</v>
      </c>
      <c r="G439" s="12">
        <f>+'29'!G439+'30'!G439+'31'!G439</f>
        <v>14040</v>
      </c>
      <c r="H439" s="12">
        <f>+'29'!H439+'30'!H439+'31'!H439</f>
        <v>195</v>
      </c>
      <c r="I439" s="271"/>
      <c r="J439" s="514">
        <f>+'29'!J439+'30'!J439+'31'!J439</f>
        <v>0</v>
      </c>
      <c r="K439" s="12">
        <f>+'29'!K439+'30'!K439+'31'!K439</f>
        <v>0</v>
      </c>
      <c r="L439" s="12">
        <f>+'29'!L439+'30'!L439+'31'!L439</f>
        <v>0</v>
      </c>
      <c r="M439" s="271"/>
      <c r="N439" s="514">
        <f>+'29'!N439+'30'!N439+'31'!N439</f>
        <v>13</v>
      </c>
      <c r="O439" s="12">
        <f>+'29'!O439+'30'!O439+'31'!O439</f>
        <v>14040</v>
      </c>
      <c r="P439" s="12">
        <f>+'29'!P439+'30'!P439+'31'!P439</f>
        <v>195</v>
      </c>
      <c r="Q439" s="532"/>
      <c r="R439" s="270">
        <v>13</v>
      </c>
      <c r="S439" s="12">
        <v>13845</v>
      </c>
      <c r="T439" s="12">
        <v>195</v>
      </c>
      <c r="U439" s="271"/>
      <c r="V439" s="533">
        <f t="shared" si="49"/>
        <v>0</v>
      </c>
      <c r="W439" s="533">
        <f t="shared" si="50"/>
        <v>195</v>
      </c>
      <c r="X439" s="257"/>
      <c r="Y439" s="261">
        <f t="shared" si="51"/>
        <v>0</v>
      </c>
      <c r="Z439" s="12">
        <f t="shared" si="52"/>
        <v>195</v>
      </c>
      <c r="AB439" s="13">
        <f t="shared" si="48"/>
        <v>14040</v>
      </c>
      <c r="AF439" s="13">
        <f t="shared" si="53"/>
        <v>14040</v>
      </c>
      <c r="AM439" s="12">
        <f t="shared" si="54"/>
        <v>0</v>
      </c>
      <c r="AN439" s="13">
        <f t="shared" si="55"/>
        <v>14040</v>
      </c>
    </row>
    <row r="440" spans="1:40" x14ac:dyDescent="0.25">
      <c r="A440">
        <v>435</v>
      </c>
      <c r="B440" t="s">
        <v>457</v>
      </c>
      <c r="C440" t="s">
        <v>41</v>
      </c>
      <c r="D440" t="s">
        <v>703</v>
      </c>
      <c r="F440" s="514">
        <f>+'29'!F440+'30'!F440+'31'!F440</f>
        <v>0</v>
      </c>
      <c r="G440" s="12">
        <f>+'29'!G440+'30'!G440+'31'!G440</f>
        <v>0</v>
      </c>
      <c r="H440" s="12">
        <f>+'29'!H440+'30'!H440+'31'!H440</f>
        <v>0</v>
      </c>
      <c r="I440" s="271"/>
      <c r="J440" s="514">
        <f>+'29'!J440+'30'!J440+'31'!J440</f>
        <v>0</v>
      </c>
      <c r="K440" s="12">
        <f>+'29'!K440+'30'!K440+'31'!K440</f>
        <v>0</v>
      </c>
      <c r="L440" s="12">
        <f>+'29'!L440+'30'!L440+'31'!L440</f>
        <v>0</v>
      </c>
      <c r="M440" s="271"/>
      <c r="N440" s="514">
        <f>+'29'!N440+'30'!N440+'31'!N440</f>
        <v>0</v>
      </c>
      <c r="O440" s="12">
        <f>+'29'!O440+'30'!O440+'31'!O440</f>
        <v>0</v>
      </c>
      <c r="P440" s="12">
        <f>+'29'!P440+'30'!P440+'31'!P440</f>
        <v>0</v>
      </c>
      <c r="Q440" s="532"/>
      <c r="R440" s="270">
        <v>0</v>
      </c>
      <c r="S440" s="12">
        <v>0</v>
      </c>
      <c r="T440" s="12">
        <v>0</v>
      </c>
      <c r="U440" s="271"/>
      <c r="V440" s="533">
        <f t="shared" si="49"/>
        <v>0</v>
      </c>
      <c r="W440" s="533">
        <f t="shared" si="50"/>
        <v>0</v>
      </c>
      <c r="X440" s="257"/>
      <c r="Y440" s="261">
        <f t="shared" si="51"/>
        <v>0</v>
      </c>
      <c r="Z440" s="12">
        <f t="shared" si="52"/>
        <v>0</v>
      </c>
      <c r="AB440" s="13">
        <f t="shared" si="48"/>
        <v>0</v>
      </c>
      <c r="AF440" s="13">
        <f t="shared" si="53"/>
        <v>0</v>
      </c>
      <c r="AM440" s="12">
        <f t="shared" si="54"/>
        <v>0</v>
      </c>
      <c r="AN440" s="13">
        <f t="shared" si="55"/>
        <v>0</v>
      </c>
    </row>
    <row r="441" spans="1:40" x14ac:dyDescent="0.25">
      <c r="A441">
        <v>436</v>
      </c>
      <c r="B441" t="s">
        <v>458</v>
      </c>
      <c r="C441" t="s">
        <v>18</v>
      </c>
      <c r="D441" t="s">
        <v>16</v>
      </c>
      <c r="F441" s="514">
        <f>+'29'!F441+'30'!F441+'31'!F441</f>
        <v>0</v>
      </c>
      <c r="G441" s="12">
        <f>+'29'!G441+'30'!G441+'31'!G441</f>
        <v>0</v>
      </c>
      <c r="H441" s="12">
        <f>+'29'!H441+'30'!H441+'31'!H441</f>
        <v>0</v>
      </c>
      <c r="I441" s="271"/>
      <c r="J441" s="514">
        <f>+'29'!J441+'30'!J441+'31'!J441</f>
        <v>0</v>
      </c>
      <c r="K441" s="12">
        <f>+'29'!K441+'30'!K441+'31'!K441</f>
        <v>0</v>
      </c>
      <c r="L441" s="12">
        <f>+'29'!L441+'30'!L441+'31'!L441</f>
        <v>0</v>
      </c>
      <c r="M441" s="271"/>
      <c r="N441" s="514">
        <f>+'29'!N441+'30'!N441+'31'!N441</f>
        <v>0</v>
      </c>
      <c r="O441" s="12">
        <f>+'29'!O441+'30'!O441+'31'!O441</f>
        <v>0</v>
      </c>
      <c r="P441" s="12">
        <f>+'29'!P441+'30'!P441+'31'!P441</f>
        <v>0</v>
      </c>
      <c r="Q441" s="532"/>
      <c r="R441" s="270">
        <v>0</v>
      </c>
      <c r="S441" s="12">
        <v>0</v>
      </c>
      <c r="T441" s="12">
        <v>0</v>
      </c>
      <c r="U441" s="271"/>
      <c r="V441" s="533">
        <f t="shared" si="49"/>
        <v>0</v>
      </c>
      <c r="W441" s="533">
        <f t="shared" si="50"/>
        <v>0</v>
      </c>
      <c r="X441" s="257"/>
      <c r="Y441" s="261">
        <f t="shared" si="51"/>
        <v>0</v>
      </c>
      <c r="Z441" s="12">
        <f t="shared" si="52"/>
        <v>0</v>
      </c>
      <c r="AB441" s="13">
        <f t="shared" si="48"/>
        <v>0</v>
      </c>
      <c r="AF441" s="13">
        <f t="shared" si="53"/>
        <v>0</v>
      </c>
      <c r="AM441" s="12">
        <f t="shared" si="54"/>
        <v>0</v>
      </c>
      <c r="AN441" s="13">
        <f t="shared" si="55"/>
        <v>0</v>
      </c>
    </row>
    <row r="442" spans="1:40" x14ac:dyDescent="0.25">
      <c r="A442">
        <v>437</v>
      </c>
      <c r="B442" t="s">
        <v>459</v>
      </c>
      <c r="C442" t="s">
        <v>15</v>
      </c>
      <c r="D442" t="s">
        <v>20</v>
      </c>
      <c r="F442" s="514">
        <f>+'29'!F442+'30'!F442+'31'!F442</f>
        <v>1</v>
      </c>
      <c r="G442" s="12">
        <f>+'29'!G442+'30'!G442+'31'!G442</f>
        <v>10888.74</v>
      </c>
      <c r="H442" s="12">
        <f>+'29'!H442+'30'!H442+'31'!H442</f>
        <v>10</v>
      </c>
      <c r="I442" s="271"/>
      <c r="J442" s="514">
        <f>+'29'!J442+'30'!J442+'31'!J442</f>
        <v>0</v>
      </c>
      <c r="K442" s="12">
        <f>+'29'!K442+'30'!K442+'31'!K442</f>
        <v>0</v>
      </c>
      <c r="L442" s="12">
        <f>+'29'!L442+'30'!L442+'31'!L442</f>
        <v>0</v>
      </c>
      <c r="M442" s="271"/>
      <c r="N442" s="514">
        <f>+'29'!N442+'30'!N442+'31'!N442</f>
        <v>1</v>
      </c>
      <c r="O442" s="12">
        <f>+'29'!O442+'30'!O442+'31'!O442</f>
        <v>10888.74</v>
      </c>
      <c r="P442" s="12">
        <f>+'29'!P442+'30'!P442+'31'!P442</f>
        <v>10</v>
      </c>
      <c r="Q442" s="532"/>
      <c r="R442" s="270">
        <v>1</v>
      </c>
      <c r="S442" s="12">
        <v>10878.74</v>
      </c>
      <c r="T442" s="12">
        <v>10</v>
      </c>
      <c r="U442" s="271"/>
      <c r="V442" s="533">
        <f t="shared" si="49"/>
        <v>0</v>
      </c>
      <c r="W442" s="533">
        <f t="shared" si="50"/>
        <v>10</v>
      </c>
      <c r="X442" s="257"/>
      <c r="Y442" s="261">
        <f t="shared" si="51"/>
        <v>0</v>
      </c>
      <c r="Z442" s="12">
        <f t="shared" si="52"/>
        <v>10</v>
      </c>
      <c r="AB442" s="13">
        <f t="shared" si="48"/>
        <v>10888.74</v>
      </c>
      <c r="AF442" s="13">
        <f t="shared" si="53"/>
        <v>10888.74</v>
      </c>
      <c r="AG442" s="16"/>
      <c r="AM442" s="12">
        <f t="shared" si="54"/>
        <v>0</v>
      </c>
      <c r="AN442" s="13">
        <f t="shared" si="55"/>
        <v>10888.74</v>
      </c>
    </row>
    <row r="443" spans="1:40" x14ac:dyDescent="0.25">
      <c r="A443">
        <v>438</v>
      </c>
      <c r="B443" t="s">
        <v>460</v>
      </c>
      <c r="C443" t="s">
        <v>98</v>
      </c>
      <c r="D443" t="s">
        <v>20</v>
      </c>
      <c r="F443" s="514">
        <f>+'29'!F443+'30'!F443+'31'!F443</f>
        <v>0</v>
      </c>
      <c r="G443" s="12">
        <f>+'29'!G443+'30'!G443+'31'!G443</f>
        <v>0</v>
      </c>
      <c r="H443" s="12">
        <f>+'29'!H443+'30'!H443+'31'!H443</f>
        <v>0</v>
      </c>
      <c r="I443" s="271"/>
      <c r="J443" s="514">
        <f>+'29'!J443+'30'!J443+'31'!J443</f>
        <v>0</v>
      </c>
      <c r="K443" s="12">
        <f>+'29'!K443+'30'!K443+'31'!K443</f>
        <v>0</v>
      </c>
      <c r="L443" s="12">
        <f>+'29'!L443+'30'!L443+'31'!L443</f>
        <v>0</v>
      </c>
      <c r="M443" s="271"/>
      <c r="N443" s="514">
        <f>+'29'!N443+'30'!N443+'31'!N443</f>
        <v>0</v>
      </c>
      <c r="O443" s="12">
        <f>+'29'!O443+'30'!O443+'31'!O443</f>
        <v>0</v>
      </c>
      <c r="P443" s="12">
        <f>+'29'!P443+'30'!P443+'31'!P443</f>
        <v>0</v>
      </c>
      <c r="Q443" s="532"/>
      <c r="R443" s="270">
        <v>0</v>
      </c>
      <c r="S443" s="12">
        <v>0</v>
      </c>
      <c r="T443" s="12">
        <v>0</v>
      </c>
      <c r="U443" s="271"/>
      <c r="V443" s="533">
        <f t="shared" si="49"/>
        <v>0</v>
      </c>
      <c r="W443" s="533">
        <f t="shared" si="50"/>
        <v>0</v>
      </c>
      <c r="X443" s="257"/>
      <c r="Y443" s="261">
        <f t="shared" si="51"/>
        <v>0</v>
      </c>
      <c r="Z443" s="12">
        <f t="shared" si="52"/>
        <v>0</v>
      </c>
      <c r="AB443" s="13">
        <f t="shared" si="48"/>
        <v>0</v>
      </c>
      <c r="AF443" s="13">
        <f t="shared" si="53"/>
        <v>0</v>
      </c>
      <c r="AM443" s="12">
        <f t="shared" si="54"/>
        <v>0</v>
      </c>
      <c r="AN443" s="13">
        <f t="shared" si="55"/>
        <v>0</v>
      </c>
    </row>
    <row r="444" spans="1:40" x14ac:dyDescent="0.25">
      <c r="A444">
        <v>439</v>
      </c>
      <c r="B444" t="s">
        <v>461</v>
      </c>
      <c r="C444" t="s">
        <v>15</v>
      </c>
      <c r="D444" t="s">
        <v>20</v>
      </c>
      <c r="F444" s="514">
        <f>+'29'!F444+'30'!F444+'31'!F444</f>
        <v>34</v>
      </c>
      <c r="G444" s="12">
        <f>+'29'!G444+'30'!G444+'31'!G444</f>
        <v>77191.64</v>
      </c>
      <c r="H444" s="12">
        <f>+'29'!H444+'30'!H444+'31'!H444</f>
        <v>340</v>
      </c>
      <c r="I444" s="271"/>
      <c r="J444" s="514">
        <f>+'29'!J444+'30'!J444+'31'!J444</f>
        <v>0</v>
      </c>
      <c r="K444" s="12">
        <f>+'29'!K444+'30'!K444+'31'!K444</f>
        <v>0</v>
      </c>
      <c r="L444" s="12">
        <f>+'29'!L444+'30'!L444+'31'!L444</f>
        <v>0</v>
      </c>
      <c r="M444" s="271"/>
      <c r="N444" s="514">
        <f>+'29'!N444+'30'!N444+'31'!N444</f>
        <v>34</v>
      </c>
      <c r="O444" s="12">
        <f>+'29'!O444+'30'!O444+'31'!O444</f>
        <v>77191.64</v>
      </c>
      <c r="P444" s="12">
        <f>+'29'!P444+'30'!P444+'31'!P444</f>
        <v>340</v>
      </c>
      <c r="Q444" s="532"/>
      <c r="R444" s="270">
        <v>34</v>
      </c>
      <c r="S444" s="12">
        <v>76851.64</v>
      </c>
      <c r="T444" s="12">
        <v>340</v>
      </c>
      <c r="U444" s="271"/>
      <c r="V444" s="533">
        <f t="shared" si="49"/>
        <v>0</v>
      </c>
      <c r="W444" s="533">
        <f t="shared" si="50"/>
        <v>340</v>
      </c>
      <c r="X444" s="257"/>
      <c r="Y444" s="261">
        <f t="shared" si="51"/>
        <v>0</v>
      </c>
      <c r="Z444" s="12">
        <f t="shared" si="52"/>
        <v>340</v>
      </c>
      <c r="AB444" s="13">
        <f t="shared" si="48"/>
        <v>77191.64</v>
      </c>
      <c r="AF444" s="13">
        <f t="shared" si="53"/>
        <v>77191.64</v>
      </c>
      <c r="AM444" s="12">
        <f t="shared" si="54"/>
        <v>0</v>
      </c>
      <c r="AN444" s="13">
        <f t="shared" si="55"/>
        <v>77191.64</v>
      </c>
    </row>
    <row r="445" spans="1:40" x14ac:dyDescent="0.25">
      <c r="A445">
        <v>440</v>
      </c>
      <c r="B445" t="s">
        <v>462</v>
      </c>
      <c r="C445" t="s">
        <v>25</v>
      </c>
      <c r="D445" t="s">
        <v>16</v>
      </c>
      <c r="F445" s="514">
        <f>+'29'!F445+'30'!F445+'31'!F445</f>
        <v>0</v>
      </c>
      <c r="G445" s="12">
        <f>+'29'!G445+'30'!G445+'31'!G445</f>
        <v>0</v>
      </c>
      <c r="H445" s="12">
        <f>+'29'!H445+'30'!H445+'31'!H445</f>
        <v>0</v>
      </c>
      <c r="I445" s="271"/>
      <c r="J445" s="514">
        <f>+'29'!J445+'30'!J445+'31'!J445</f>
        <v>0</v>
      </c>
      <c r="K445" s="12">
        <f>+'29'!K445+'30'!K445+'31'!K445</f>
        <v>0</v>
      </c>
      <c r="L445" s="12">
        <f>+'29'!L445+'30'!L445+'31'!L445</f>
        <v>0</v>
      </c>
      <c r="M445" s="271"/>
      <c r="N445" s="514">
        <f>+'29'!N445+'30'!N445+'31'!N445</f>
        <v>0</v>
      </c>
      <c r="O445" s="12">
        <f>+'29'!O445+'30'!O445+'31'!O445</f>
        <v>0</v>
      </c>
      <c r="P445" s="12">
        <f>+'29'!P445+'30'!P445+'31'!P445</f>
        <v>0</v>
      </c>
      <c r="Q445" s="532"/>
      <c r="R445" s="270">
        <v>0</v>
      </c>
      <c r="S445" s="12">
        <v>0</v>
      </c>
      <c r="T445" s="12">
        <v>0</v>
      </c>
      <c r="U445" s="271"/>
      <c r="V445" s="533">
        <f t="shared" si="49"/>
        <v>0</v>
      </c>
      <c r="W445" s="533">
        <f t="shared" si="50"/>
        <v>0</v>
      </c>
      <c r="X445" s="257"/>
      <c r="Y445" s="261">
        <f t="shared" si="51"/>
        <v>0</v>
      </c>
      <c r="Z445" s="12">
        <f t="shared" si="52"/>
        <v>0</v>
      </c>
      <c r="AB445" s="13">
        <f t="shared" si="48"/>
        <v>0</v>
      </c>
      <c r="AF445" s="13">
        <f t="shared" si="53"/>
        <v>0</v>
      </c>
      <c r="AM445" s="12">
        <f t="shared" si="54"/>
        <v>0</v>
      </c>
      <c r="AN445" s="13">
        <f t="shared" si="55"/>
        <v>0</v>
      </c>
    </row>
    <row r="446" spans="1:40" x14ac:dyDescent="0.25">
      <c r="A446">
        <v>441</v>
      </c>
      <c r="B446" t="s">
        <v>463</v>
      </c>
      <c r="C446" t="s">
        <v>15</v>
      </c>
      <c r="D446" t="s">
        <v>16</v>
      </c>
      <c r="F446" s="514">
        <f>+'29'!F446+'30'!F446+'31'!F446</f>
        <v>0</v>
      </c>
      <c r="G446" s="12">
        <f>+'29'!G446+'30'!G446+'31'!G446</f>
        <v>0</v>
      </c>
      <c r="H446" s="12">
        <f>+'29'!H446+'30'!H446+'31'!H446</f>
        <v>0</v>
      </c>
      <c r="I446" s="271"/>
      <c r="J446" s="514">
        <f>+'29'!J446+'30'!J446+'31'!J446</f>
        <v>0</v>
      </c>
      <c r="K446" s="12">
        <f>+'29'!K446+'30'!K446+'31'!K446</f>
        <v>0</v>
      </c>
      <c r="L446" s="12">
        <f>+'29'!L446+'30'!L446+'31'!L446</f>
        <v>0</v>
      </c>
      <c r="M446" s="271"/>
      <c r="N446" s="514">
        <f>+'29'!N446+'30'!N446+'31'!N446</f>
        <v>0</v>
      </c>
      <c r="O446" s="12">
        <f>+'29'!O446+'30'!O446+'31'!O446</f>
        <v>0</v>
      </c>
      <c r="P446" s="12">
        <f>+'29'!P446+'30'!P446+'31'!P446</f>
        <v>0</v>
      </c>
      <c r="Q446" s="532"/>
      <c r="R446" s="270">
        <v>1</v>
      </c>
      <c r="S446" s="12">
        <v>15000</v>
      </c>
      <c r="T446" s="12">
        <v>0</v>
      </c>
      <c r="U446" s="271"/>
      <c r="V446" s="533">
        <f t="shared" si="49"/>
        <v>-1</v>
      </c>
      <c r="W446" s="533">
        <f t="shared" si="50"/>
        <v>-15000</v>
      </c>
      <c r="X446" s="257"/>
      <c r="Y446" s="261">
        <f t="shared" si="51"/>
        <v>-1</v>
      </c>
      <c r="Z446" s="12">
        <f t="shared" si="52"/>
        <v>-15000</v>
      </c>
      <c r="AB446" s="13">
        <f t="shared" si="48"/>
        <v>0</v>
      </c>
      <c r="AF446" s="13">
        <f t="shared" si="53"/>
        <v>0</v>
      </c>
      <c r="AM446" s="12">
        <f t="shared" si="54"/>
        <v>0</v>
      </c>
      <c r="AN446" s="13">
        <f t="shared" si="55"/>
        <v>0</v>
      </c>
    </row>
    <row r="447" spans="1:40" x14ac:dyDescent="0.25">
      <c r="A447">
        <v>442</v>
      </c>
      <c r="B447" t="s">
        <v>464</v>
      </c>
      <c r="C447" t="s">
        <v>15</v>
      </c>
      <c r="D447" t="s">
        <v>43</v>
      </c>
      <c r="F447" s="514">
        <f>+'29'!F447+'30'!F447+'31'!F447</f>
        <v>0</v>
      </c>
      <c r="G447" s="12">
        <f>+'29'!G447+'30'!G447+'31'!G447</f>
        <v>0</v>
      </c>
      <c r="H447" s="12">
        <f>+'29'!H447+'30'!H447+'31'!H447</f>
        <v>0</v>
      </c>
      <c r="I447" s="271"/>
      <c r="J447" s="514">
        <f>+'29'!J447+'30'!J447+'31'!J447</f>
        <v>0</v>
      </c>
      <c r="K447" s="12">
        <f>+'29'!K447+'30'!K447+'31'!K447</f>
        <v>0</v>
      </c>
      <c r="L447" s="12">
        <f>+'29'!L447+'30'!L447+'31'!L447</f>
        <v>0</v>
      </c>
      <c r="M447" s="271"/>
      <c r="N447" s="514">
        <f>+'29'!N447+'30'!N447+'31'!N447</f>
        <v>0</v>
      </c>
      <c r="O447" s="12">
        <f>+'29'!O447+'30'!O447+'31'!O447</f>
        <v>0</v>
      </c>
      <c r="P447" s="12">
        <f>+'29'!P447+'30'!P447+'31'!P447</f>
        <v>0</v>
      </c>
      <c r="Q447" s="532"/>
      <c r="R447" s="270">
        <v>0</v>
      </c>
      <c r="S447" s="12">
        <v>0</v>
      </c>
      <c r="T447" s="12">
        <v>0</v>
      </c>
      <c r="U447" s="271"/>
      <c r="V447" s="533">
        <f t="shared" si="49"/>
        <v>0</v>
      </c>
      <c r="W447" s="533">
        <f t="shared" si="50"/>
        <v>0</v>
      </c>
      <c r="X447" s="257"/>
      <c r="Y447" s="261">
        <f t="shared" si="51"/>
        <v>0</v>
      </c>
      <c r="Z447" s="12">
        <f t="shared" si="52"/>
        <v>0</v>
      </c>
      <c r="AB447" s="13">
        <f t="shared" si="48"/>
        <v>0</v>
      </c>
      <c r="AF447" s="13">
        <f t="shared" si="53"/>
        <v>0</v>
      </c>
      <c r="AI447" s="33">
        <v>22942</v>
      </c>
      <c r="AL447" s="13">
        <v>74656</v>
      </c>
      <c r="AM447" s="12">
        <f t="shared" si="54"/>
        <v>97598</v>
      </c>
      <c r="AN447" s="13">
        <f t="shared" si="55"/>
        <v>-97598</v>
      </c>
    </row>
    <row r="448" spans="1:40" x14ac:dyDescent="0.25">
      <c r="A448">
        <v>443</v>
      </c>
      <c r="B448" t="s">
        <v>3230</v>
      </c>
      <c r="C448" t="s">
        <v>242</v>
      </c>
      <c r="D448" t="s">
        <v>3231</v>
      </c>
      <c r="F448" s="514">
        <f>+'29'!F448+'30'!F448+'31'!F448</f>
        <v>0</v>
      </c>
      <c r="G448" s="12">
        <f>+'29'!G448+'30'!G448+'31'!G448</f>
        <v>0</v>
      </c>
      <c r="H448" s="12">
        <f>+'29'!H448+'30'!H448+'31'!H448</f>
        <v>0</v>
      </c>
      <c r="I448" s="271"/>
      <c r="J448" s="514">
        <f>+'29'!J448+'30'!J448+'31'!J448</f>
        <v>0</v>
      </c>
      <c r="K448" s="12">
        <f>+'29'!K448+'30'!K448+'31'!K448</f>
        <v>0</v>
      </c>
      <c r="L448" s="12">
        <f>+'29'!L448+'30'!L448+'31'!L448</f>
        <v>0</v>
      </c>
      <c r="M448" s="271"/>
      <c r="N448" s="514">
        <f>+'29'!N448+'30'!N448+'31'!N448</f>
        <v>0</v>
      </c>
      <c r="O448" s="12">
        <f>+'29'!O448+'30'!O448+'31'!O448</f>
        <v>0</v>
      </c>
      <c r="P448" s="12">
        <f>+'29'!P448+'30'!P448+'31'!P448</f>
        <v>0</v>
      </c>
      <c r="Q448" s="532"/>
      <c r="R448" s="270">
        <v>0</v>
      </c>
      <c r="S448" s="12">
        <v>0</v>
      </c>
      <c r="T448" s="12">
        <v>0</v>
      </c>
      <c r="U448" s="271"/>
      <c r="V448" s="533">
        <f t="shared" si="49"/>
        <v>0</v>
      </c>
      <c r="W448" s="533">
        <f t="shared" si="50"/>
        <v>0</v>
      </c>
      <c r="X448" s="257"/>
      <c r="Y448" s="261">
        <f t="shared" si="51"/>
        <v>0</v>
      </c>
      <c r="Z448" s="12">
        <f t="shared" si="52"/>
        <v>0</v>
      </c>
      <c r="AB448" s="13">
        <f t="shared" si="48"/>
        <v>0</v>
      </c>
      <c r="AF448" s="13">
        <f t="shared" si="53"/>
        <v>0</v>
      </c>
      <c r="AM448" s="12">
        <f t="shared" si="54"/>
        <v>0</v>
      </c>
      <c r="AN448" s="13">
        <f t="shared" si="55"/>
        <v>0</v>
      </c>
    </row>
    <row r="449" spans="1:40" x14ac:dyDescent="0.25">
      <c r="A449">
        <v>444</v>
      </c>
      <c r="B449" t="s">
        <v>465</v>
      </c>
      <c r="C449" t="s">
        <v>15</v>
      </c>
      <c r="D449" t="s">
        <v>380</v>
      </c>
      <c r="F449" s="514">
        <f>+'29'!F449+'30'!F449+'31'!F449</f>
        <v>306</v>
      </c>
      <c r="G449" s="12">
        <f>+'29'!G449+'30'!G449+'31'!G449</f>
        <v>10347780.48</v>
      </c>
      <c r="H449" s="12">
        <f>+'29'!H449+'30'!H449+'31'!H449</f>
        <v>9180</v>
      </c>
      <c r="I449" s="271"/>
      <c r="J449" s="514">
        <f>+'29'!J449+'30'!J449+'31'!J449</f>
        <v>0</v>
      </c>
      <c r="K449" s="12">
        <f>+'29'!K449+'30'!K449+'31'!K449</f>
        <v>0</v>
      </c>
      <c r="L449" s="12">
        <f>+'29'!L449+'30'!L449+'31'!L449</f>
        <v>0</v>
      </c>
      <c r="M449" s="271"/>
      <c r="N449" s="514">
        <f>+'29'!N449+'30'!N449+'31'!N449</f>
        <v>306</v>
      </c>
      <c r="O449" s="12">
        <f>+'29'!O449+'30'!O449+'31'!O449</f>
        <v>10347780.48</v>
      </c>
      <c r="P449" s="12">
        <f>+'29'!P449+'30'!P449+'31'!P449</f>
        <v>9180</v>
      </c>
      <c r="Q449" s="532"/>
      <c r="R449" s="270">
        <v>306</v>
      </c>
      <c r="S449" s="12">
        <v>10347780.48</v>
      </c>
      <c r="T449" s="12">
        <v>0</v>
      </c>
      <c r="U449" s="271"/>
      <c r="V449" s="533">
        <f t="shared" si="49"/>
        <v>0</v>
      </c>
      <c r="W449" s="533">
        <f t="shared" si="50"/>
        <v>0</v>
      </c>
      <c r="X449" s="257"/>
      <c r="Y449" s="261">
        <f t="shared" si="51"/>
        <v>0</v>
      </c>
      <c r="Z449" s="12">
        <f t="shared" si="52"/>
        <v>0</v>
      </c>
      <c r="AB449" s="13">
        <f t="shared" si="48"/>
        <v>10347780.48</v>
      </c>
      <c r="AD449" s="16">
        <v>156042.85999999999</v>
      </c>
      <c r="AF449" s="13">
        <f t="shared" si="53"/>
        <v>10191737.620000001</v>
      </c>
      <c r="AG449" s="16">
        <v>83442.857142857145</v>
      </c>
      <c r="AM449" s="12">
        <f t="shared" si="54"/>
        <v>83442.857142857145</v>
      </c>
      <c r="AN449" s="13">
        <f t="shared" si="55"/>
        <v>10108294.762857145</v>
      </c>
    </row>
    <row r="450" spans="1:40" x14ac:dyDescent="0.25">
      <c r="A450">
        <v>445</v>
      </c>
      <c r="B450" t="s">
        <v>2178</v>
      </c>
      <c r="C450" t="s">
        <v>27</v>
      </c>
      <c r="D450" t="s">
        <v>16</v>
      </c>
      <c r="F450" s="514">
        <f>+'29'!F450+'30'!F450+'31'!F450</f>
        <v>26</v>
      </c>
      <c r="G450" s="12">
        <f>+'29'!G450+'30'!G450+'31'!G450</f>
        <v>430384</v>
      </c>
      <c r="H450" s="12">
        <f>+'29'!H450+'30'!H450+'31'!H450</f>
        <v>780</v>
      </c>
      <c r="I450" s="271"/>
      <c r="J450" s="514">
        <f>+'29'!J450+'30'!J450+'31'!J450</f>
        <v>0</v>
      </c>
      <c r="K450" s="12">
        <f>+'29'!K450+'30'!K450+'31'!K450</f>
        <v>0</v>
      </c>
      <c r="L450" s="12">
        <f>+'29'!L450+'30'!L450+'31'!L450</f>
        <v>0</v>
      </c>
      <c r="M450" s="271"/>
      <c r="N450" s="514">
        <f>+'29'!N450+'30'!N450+'31'!N450</f>
        <v>26</v>
      </c>
      <c r="O450" s="12">
        <f>+'29'!O450+'30'!O450+'31'!O450</f>
        <v>430384</v>
      </c>
      <c r="P450" s="12">
        <f>+'29'!P450+'30'!P450+'31'!P450</f>
        <v>780</v>
      </c>
      <c r="Q450" s="532"/>
      <c r="R450" s="270">
        <v>26</v>
      </c>
      <c r="S450" s="12">
        <v>430384</v>
      </c>
      <c r="T450" s="12">
        <v>0</v>
      </c>
      <c r="U450" s="271"/>
      <c r="V450" s="533">
        <f t="shared" si="49"/>
        <v>0</v>
      </c>
      <c r="W450" s="533">
        <f t="shared" si="50"/>
        <v>0</v>
      </c>
      <c r="X450" s="257"/>
      <c r="Y450" s="261">
        <f t="shared" si="51"/>
        <v>0</v>
      </c>
      <c r="Z450" s="12">
        <f t="shared" si="52"/>
        <v>0</v>
      </c>
      <c r="AB450" s="13">
        <f t="shared" si="48"/>
        <v>430384</v>
      </c>
      <c r="AF450" s="13">
        <f t="shared" si="53"/>
        <v>430384</v>
      </c>
      <c r="AM450" s="12">
        <f t="shared" si="54"/>
        <v>0</v>
      </c>
      <c r="AN450" s="13">
        <f t="shared" si="55"/>
        <v>430384</v>
      </c>
    </row>
    <row r="451" spans="1:40" x14ac:dyDescent="0.25">
      <c r="A451">
        <v>446</v>
      </c>
      <c r="B451" t="s">
        <v>466</v>
      </c>
      <c r="C451" t="s">
        <v>351</v>
      </c>
      <c r="D451" t="s">
        <v>16</v>
      </c>
      <c r="F451" s="514">
        <f>+'29'!F451+'30'!F451+'31'!F451</f>
        <v>82</v>
      </c>
      <c r="G451" s="12">
        <f>+'29'!G451+'30'!G451+'31'!G451</f>
        <v>943060.72000000009</v>
      </c>
      <c r="H451" s="12">
        <f>+'29'!H451+'30'!H451+'31'!H451</f>
        <v>2747</v>
      </c>
      <c r="I451" s="271"/>
      <c r="J451" s="514">
        <f>+'29'!J451+'30'!J451+'31'!J451</f>
        <v>0</v>
      </c>
      <c r="K451" s="12">
        <f>+'29'!K451+'30'!K451+'31'!K451</f>
        <v>0</v>
      </c>
      <c r="L451" s="12">
        <f>+'29'!L451+'30'!L451+'31'!L451</f>
        <v>0</v>
      </c>
      <c r="M451" s="271"/>
      <c r="N451" s="514">
        <f>+'29'!N451+'30'!N451+'31'!N451</f>
        <v>82</v>
      </c>
      <c r="O451" s="12">
        <f>+'29'!O451+'30'!O451+'31'!O451</f>
        <v>943060.72000000009</v>
      </c>
      <c r="P451" s="12">
        <f>+'29'!P451+'30'!P451+'31'!P451</f>
        <v>2747</v>
      </c>
      <c r="Q451" s="532"/>
      <c r="R451" s="270">
        <v>82</v>
      </c>
      <c r="S451" s="12">
        <v>943060.72</v>
      </c>
      <c r="T451" s="12">
        <v>0</v>
      </c>
      <c r="U451" s="271"/>
      <c r="V451" s="533">
        <f t="shared" si="49"/>
        <v>0</v>
      </c>
      <c r="W451" s="533">
        <f t="shared" si="50"/>
        <v>0</v>
      </c>
      <c r="X451" s="257"/>
      <c r="Y451" s="261">
        <f t="shared" si="51"/>
        <v>0</v>
      </c>
      <c r="Z451" s="12">
        <f t="shared" si="52"/>
        <v>0</v>
      </c>
      <c r="AB451" s="13">
        <f t="shared" si="48"/>
        <v>943060.72000000009</v>
      </c>
      <c r="AF451" s="13">
        <f t="shared" si="53"/>
        <v>943060.72000000009</v>
      </c>
      <c r="AM451" s="12">
        <f t="shared" si="54"/>
        <v>0</v>
      </c>
      <c r="AN451" s="13">
        <f t="shared" si="55"/>
        <v>943060.72000000009</v>
      </c>
    </row>
    <row r="452" spans="1:40" x14ac:dyDescent="0.25">
      <c r="A452">
        <v>447</v>
      </c>
      <c r="B452" t="s">
        <v>467</v>
      </c>
      <c r="C452" t="s">
        <v>41</v>
      </c>
      <c r="D452" t="s">
        <v>380</v>
      </c>
      <c r="F452" s="514">
        <f>+'29'!F452+'30'!F452+'31'!F452</f>
        <v>99</v>
      </c>
      <c r="G452" s="12">
        <f>+'29'!G452+'30'!G452+'31'!G452</f>
        <v>2492049.4400000004</v>
      </c>
      <c r="H452" s="12">
        <f>+'29'!H452+'30'!H452+'31'!H452</f>
        <v>5400</v>
      </c>
      <c r="I452" s="271"/>
      <c r="J452" s="514">
        <f>+'29'!J452+'30'!J452+'31'!J452</f>
        <v>0</v>
      </c>
      <c r="K452" s="12">
        <f>+'29'!K452+'30'!K452+'31'!K452</f>
        <v>0</v>
      </c>
      <c r="L452" s="12">
        <f>+'29'!L452+'30'!L452+'31'!L452</f>
        <v>0</v>
      </c>
      <c r="M452" s="271"/>
      <c r="N452" s="514">
        <f>+'29'!N452+'30'!N452+'31'!N452</f>
        <v>99</v>
      </c>
      <c r="O452" s="12">
        <f>+'29'!O452+'30'!O452+'31'!O452</f>
        <v>2492049.4400000004</v>
      </c>
      <c r="P452" s="12">
        <f>+'29'!P452+'30'!P452+'31'!P452</f>
        <v>5400</v>
      </c>
      <c r="Q452" s="532"/>
      <c r="R452" s="270">
        <v>99</v>
      </c>
      <c r="S452" s="12">
        <v>2492049.44</v>
      </c>
      <c r="T452" s="12">
        <v>0</v>
      </c>
      <c r="U452" s="271"/>
      <c r="V452" s="533">
        <f t="shared" si="49"/>
        <v>0</v>
      </c>
      <c r="W452" s="533">
        <f t="shared" si="50"/>
        <v>0</v>
      </c>
      <c r="X452" s="257"/>
      <c r="Y452" s="261">
        <f t="shared" si="51"/>
        <v>0</v>
      </c>
      <c r="Z452" s="12">
        <f t="shared" si="52"/>
        <v>0</v>
      </c>
      <c r="AB452" s="13">
        <f t="shared" si="48"/>
        <v>2492049.4400000004</v>
      </c>
      <c r="AF452" s="13">
        <f t="shared" si="53"/>
        <v>2492049.4400000004</v>
      </c>
      <c r="AG452" s="16">
        <v>39737.5</v>
      </c>
      <c r="AM452" s="12">
        <f t="shared" si="54"/>
        <v>39737.5</v>
      </c>
      <c r="AN452" s="13">
        <f t="shared" si="55"/>
        <v>2452311.9400000004</v>
      </c>
    </row>
    <row r="453" spans="1:40" x14ac:dyDescent="0.25">
      <c r="A453">
        <v>448</v>
      </c>
      <c r="B453" t="s">
        <v>468</v>
      </c>
      <c r="C453" t="s">
        <v>329</v>
      </c>
      <c r="D453" t="s">
        <v>16</v>
      </c>
      <c r="F453" s="514">
        <f>+'29'!F453+'30'!F453+'31'!F453</f>
        <v>0</v>
      </c>
      <c r="G453" s="12">
        <f>+'29'!G453+'30'!G453+'31'!G453</f>
        <v>0</v>
      </c>
      <c r="H453" s="12">
        <f>+'29'!H453+'30'!H453+'31'!H453</f>
        <v>0</v>
      </c>
      <c r="I453" s="271"/>
      <c r="J453" s="514">
        <f>+'29'!J453+'30'!J453+'31'!J453</f>
        <v>0</v>
      </c>
      <c r="K453" s="12">
        <f>+'29'!K453+'30'!K453+'31'!K453</f>
        <v>0</v>
      </c>
      <c r="L453" s="12">
        <f>+'29'!L453+'30'!L453+'31'!L453</f>
        <v>0</v>
      </c>
      <c r="M453" s="271"/>
      <c r="N453" s="514">
        <f>+'29'!N453+'30'!N453+'31'!N453</f>
        <v>0</v>
      </c>
      <c r="O453" s="12">
        <f>+'29'!O453+'30'!O453+'31'!O453</f>
        <v>0</v>
      </c>
      <c r="P453" s="12">
        <f>+'29'!P453+'30'!P453+'31'!P453</f>
        <v>0</v>
      </c>
      <c r="Q453" s="532"/>
      <c r="R453" s="270">
        <v>0</v>
      </c>
      <c r="S453" s="12">
        <v>0</v>
      </c>
      <c r="T453" s="12">
        <v>0</v>
      </c>
      <c r="U453" s="271"/>
      <c r="V453" s="533">
        <f t="shared" si="49"/>
        <v>0</v>
      </c>
      <c r="W453" s="533">
        <f t="shared" si="50"/>
        <v>0</v>
      </c>
      <c r="X453" s="257"/>
      <c r="Y453" s="261">
        <f t="shared" si="51"/>
        <v>0</v>
      </c>
      <c r="Z453" s="12">
        <f t="shared" si="52"/>
        <v>0</v>
      </c>
      <c r="AB453" s="13">
        <f t="shared" si="48"/>
        <v>0</v>
      </c>
      <c r="AF453" s="13">
        <f t="shared" si="53"/>
        <v>0</v>
      </c>
      <c r="AM453" s="12">
        <f t="shared" si="54"/>
        <v>0</v>
      </c>
      <c r="AN453" s="13">
        <f t="shared" si="55"/>
        <v>0</v>
      </c>
    </row>
    <row r="454" spans="1:40" x14ac:dyDescent="0.25">
      <c r="A454">
        <v>449</v>
      </c>
      <c r="B454" t="s">
        <v>469</v>
      </c>
      <c r="C454" t="s">
        <v>355</v>
      </c>
      <c r="D454" t="s">
        <v>16</v>
      </c>
      <c r="F454" s="514">
        <f>+'29'!F454+'30'!F454+'31'!F454</f>
        <v>0</v>
      </c>
      <c r="G454" s="12">
        <f>+'29'!G454+'30'!G454+'31'!G454</f>
        <v>0</v>
      </c>
      <c r="H454" s="12">
        <f>+'29'!H454+'30'!H454+'31'!H454</f>
        <v>0</v>
      </c>
      <c r="I454" s="271"/>
      <c r="J454" s="514">
        <f>+'29'!J454+'30'!J454+'31'!J454</f>
        <v>0</v>
      </c>
      <c r="K454" s="12">
        <f>+'29'!K454+'30'!K454+'31'!K454</f>
        <v>0</v>
      </c>
      <c r="L454" s="12">
        <f>+'29'!L454+'30'!L454+'31'!L454</f>
        <v>0</v>
      </c>
      <c r="M454" s="271"/>
      <c r="N454" s="514">
        <f>+'29'!N454+'30'!N454+'31'!N454</f>
        <v>0</v>
      </c>
      <c r="O454" s="12">
        <f>+'29'!O454+'30'!O454+'31'!O454</f>
        <v>0</v>
      </c>
      <c r="P454" s="12">
        <f>+'29'!P454+'30'!P454+'31'!P454</f>
        <v>0</v>
      </c>
      <c r="Q454" s="532"/>
      <c r="R454" s="270">
        <v>0</v>
      </c>
      <c r="S454" s="12">
        <v>0</v>
      </c>
      <c r="T454" s="12">
        <v>0</v>
      </c>
      <c r="U454" s="271"/>
      <c r="V454" s="533">
        <f t="shared" si="49"/>
        <v>0</v>
      </c>
      <c r="W454" s="533">
        <f t="shared" si="50"/>
        <v>0</v>
      </c>
      <c r="X454" s="257"/>
      <c r="Y454" s="261">
        <f t="shared" si="51"/>
        <v>0</v>
      </c>
      <c r="Z454" s="12">
        <f t="shared" si="52"/>
        <v>0</v>
      </c>
      <c r="AB454" s="13">
        <f t="shared" ref="AB454:AB517" si="56">O454</f>
        <v>0</v>
      </c>
      <c r="AD454" s="16"/>
      <c r="AF454" s="13">
        <f t="shared" si="53"/>
        <v>0</v>
      </c>
      <c r="AG454" s="16"/>
      <c r="AM454" s="12">
        <f t="shared" si="54"/>
        <v>0</v>
      </c>
      <c r="AN454" s="13">
        <f t="shared" si="55"/>
        <v>0</v>
      </c>
    </row>
    <row r="455" spans="1:40" x14ac:dyDescent="0.25">
      <c r="A455">
        <v>450</v>
      </c>
      <c r="B455" t="s">
        <v>470</v>
      </c>
      <c r="C455" t="s">
        <v>355</v>
      </c>
      <c r="D455" t="s">
        <v>16</v>
      </c>
      <c r="F455" s="514">
        <f>+'29'!F455+'30'!F455+'31'!F455</f>
        <v>0</v>
      </c>
      <c r="G455" s="12">
        <f>+'29'!G455+'30'!G455+'31'!G455</f>
        <v>0</v>
      </c>
      <c r="H455" s="12">
        <f>+'29'!H455+'30'!H455+'31'!H455</f>
        <v>0</v>
      </c>
      <c r="I455" s="271"/>
      <c r="J455" s="514">
        <f>+'29'!J455+'30'!J455+'31'!J455</f>
        <v>0</v>
      </c>
      <c r="K455" s="12">
        <f>+'29'!K455+'30'!K455+'31'!K455</f>
        <v>0</v>
      </c>
      <c r="L455" s="12">
        <f>+'29'!L455+'30'!L455+'31'!L455</f>
        <v>0</v>
      </c>
      <c r="M455" s="271"/>
      <c r="N455" s="514">
        <f>+'29'!N455+'30'!N455+'31'!N455</f>
        <v>0</v>
      </c>
      <c r="O455" s="12">
        <f>+'29'!O455+'30'!O455+'31'!O455</f>
        <v>0</v>
      </c>
      <c r="P455" s="12">
        <f>+'29'!P455+'30'!P455+'31'!P455</f>
        <v>0</v>
      </c>
      <c r="Q455" s="532"/>
      <c r="R455" s="270">
        <v>0</v>
      </c>
      <c r="S455" s="12">
        <v>0</v>
      </c>
      <c r="T455" s="12">
        <v>0</v>
      </c>
      <c r="U455" s="271"/>
      <c r="V455" s="533">
        <f t="shared" ref="V455:V518" si="57">N455-R455</f>
        <v>0</v>
      </c>
      <c r="W455" s="533">
        <f t="shared" ref="W455:W518" si="58">O455-S455</f>
        <v>0</v>
      </c>
      <c r="X455" s="257"/>
      <c r="Y455" s="261">
        <f t="shared" ref="Y455:Y518" si="59">V455</f>
        <v>0</v>
      </c>
      <c r="Z455" s="12">
        <f t="shared" ref="Z455:Z518" si="60">W455</f>
        <v>0</v>
      </c>
      <c r="AB455" s="13">
        <f t="shared" si="56"/>
        <v>0</v>
      </c>
      <c r="AF455" s="13">
        <f t="shared" ref="AF455:AF518" si="61">AB455-AD455</f>
        <v>0</v>
      </c>
      <c r="AI455" s="33"/>
      <c r="AM455" s="12">
        <f t="shared" ref="AM455:AM518" si="62">SUM(AG455:AL455)</f>
        <v>0</v>
      </c>
      <c r="AN455" s="13">
        <f t="shared" ref="AN455:AN518" si="63">AF455-AM455</f>
        <v>0</v>
      </c>
    </row>
    <row r="456" spans="1:40" x14ac:dyDescent="0.25">
      <c r="A456">
        <v>451</v>
      </c>
      <c r="B456" t="s">
        <v>471</v>
      </c>
      <c r="C456" t="s">
        <v>51</v>
      </c>
      <c r="D456" t="s">
        <v>16</v>
      </c>
      <c r="F456" s="514">
        <f>+'29'!F456+'30'!F456+'31'!F456</f>
        <v>135</v>
      </c>
      <c r="G456" s="12">
        <f>+'29'!G456+'30'!G456+'31'!G456</f>
        <v>4678545</v>
      </c>
      <c r="H456" s="12">
        <f>+'29'!H456+'30'!H456+'31'!H456</f>
        <v>11060</v>
      </c>
      <c r="I456" s="271"/>
      <c r="J456" s="514">
        <f>+'29'!J456+'30'!J456+'31'!J456</f>
        <v>0</v>
      </c>
      <c r="K456" s="12">
        <f>+'29'!K456+'30'!K456+'31'!K456</f>
        <v>0</v>
      </c>
      <c r="L456" s="12">
        <f>+'29'!L456+'30'!L456+'31'!L456</f>
        <v>0</v>
      </c>
      <c r="M456" s="271"/>
      <c r="N456" s="514">
        <f>+'29'!N456+'30'!N456+'31'!N456</f>
        <v>135</v>
      </c>
      <c r="O456" s="12">
        <f>+'29'!O456+'30'!O456+'31'!O456</f>
        <v>4678545</v>
      </c>
      <c r="P456" s="12">
        <f>+'29'!P456+'30'!P456+'31'!P456</f>
        <v>11060</v>
      </c>
      <c r="Q456" s="532"/>
      <c r="R456" s="270">
        <v>135</v>
      </c>
      <c r="S456" s="12">
        <v>4678545</v>
      </c>
      <c r="T456" s="12">
        <v>0</v>
      </c>
      <c r="U456" s="271"/>
      <c r="V456" s="533">
        <f t="shared" si="57"/>
        <v>0</v>
      </c>
      <c r="W456" s="533">
        <f t="shared" si="58"/>
        <v>0</v>
      </c>
      <c r="X456" s="257"/>
      <c r="Y456" s="261">
        <f t="shared" si="59"/>
        <v>0</v>
      </c>
      <c r="Z456" s="12">
        <f t="shared" si="60"/>
        <v>0</v>
      </c>
      <c r="AB456" s="13">
        <f t="shared" si="56"/>
        <v>4678545</v>
      </c>
      <c r="AF456" s="13">
        <f t="shared" si="61"/>
        <v>4678545</v>
      </c>
      <c r="AM456" s="12">
        <f t="shared" si="62"/>
        <v>0</v>
      </c>
      <c r="AN456" s="13">
        <f t="shared" si="63"/>
        <v>4678545</v>
      </c>
    </row>
    <row r="457" spans="1:40" x14ac:dyDescent="0.25">
      <c r="A457">
        <v>452</v>
      </c>
      <c r="B457" t="s">
        <v>2444</v>
      </c>
      <c r="F457" s="514">
        <f>+'29'!F457+'30'!F457+'31'!F457</f>
        <v>0</v>
      </c>
      <c r="G457" s="12">
        <f>+'29'!G457+'30'!G457+'31'!G457</f>
        <v>0</v>
      </c>
      <c r="H457" s="12">
        <f>+'29'!H457+'30'!H457+'31'!H457</f>
        <v>0</v>
      </c>
      <c r="I457" s="271"/>
      <c r="J457" s="514">
        <f>+'29'!J457+'30'!J457+'31'!J457</f>
        <v>0</v>
      </c>
      <c r="K457" s="12">
        <f>+'29'!K457+'30'!K457+'31'!K457</f>
        <v>0</v>
      </c>
      <c r="L457" s="12">
        <f>+'29'!L457+'30'!L457+'31'!L457</f>
        <v>0</v>
      </c>
      <c r="M457" s="271"/>
      <c r="N457" s="514">
        <f>+'29'!N457+'30'!N457+'31'!N457</f>
        <v>0</v>
      </c>
      <c r="O457" s="12">
        <f>+'29'!O457+'30'!O457+'31'!O457</f>
        <v>0</v>
      </c>
      <c r="P457" s="12">
        <f>+'29'!P457+'30'!P457+'31'!P457</f>
        <v>0</v>
      </c>
      <c r="Q457" s="532"/>
      <c r="R457" s="270">
        <v>0</v>
      </c>
      <c r="S457" s="12">
        <v>0</v>
      </c>
      <c r="T457" s="12">
        <v>0</v>
      </c>
      <c r="U457" s="271"/>
      <c r="V457" s="533">
        <f t="shared" si="57"/>
        <v>0</v>
      </c>
      <c r="W457" s="533">
        <f t="shared" si="58"/>
        <v>0</v>
      </c>
      <c r="X457" s="257"/>
      <c r="Y457" s="261">
        <f t="shared" si="59"/>
        <v>0</v>
      </c>
      <c r="Z457" s="12">
        <f t="shared" si="60"/>
        <v>0</v>
      </c>
      <c r="AB457" s="13">
        <f t="shared" si="56"/>
        <v>0</v>
      </c>
      <c r="AF457" s="13">
        <f t="shared" si="61"/>
        <v>0</v>
      </c>
      <c r="AI457" s="33"/>
      <c r="AM457" s="12">
        <f t="shared" si="62"/>
        <v>0</v>
      </c>
      <c r="AN457" s="13">
        <f t="shared" si="63"/>
        <v>0</v>
      </c>
    </row>
    <row r="458" spans="1:40" x14ac:dyDescent="0.25">
      <c r="A458">
        <v>453</v>
      </c>
      <c r="B458" t="s">
        <v>472</v>
      </c>
      <c r="C458" t="s">
        <v>108</v>
      </c>
      <c r="D458" t="s">
        <v>16</v>
      </c>
      <c r="F458" s="514">
        <f>+'29'!F458+'30'!F458+'31'!F458</f>
        <v>0</v>
      </c>
      <c r="G458" s="12">
        <f>+'29'!G458+'30'!G458+'31'!G458</f>
        <v>0</v>
      </c>
      <c r="H458" s="12">
        <f>+'29'!H458+'30'!H458+'31'!H458</f>
        <v>0</v>
      </c>
      <c r="I458" s="271"/>
      <c r="J458" s="514">
        <f>+'29'!J458+'30'!J458+'31'!J458</f>
        <v>0</v>
      </c>
      <c r="K458" s="12">
        <f>+'29'!K458+'30'!K458+'31'!K458</f>
        <v>0</v>
      </c>
      <c r="L458" s="12">
        <f>+'29'!L458+'30'!L458+'31'!L458</f>
        <v>0</v>
      </c>
      <c r="M458" s="271"/>
      <c r="N458" s="514">
        <f>+'29'!N458+'30'!N458+'31'!N458</f>
        <v>0</v>
      </c>
      <c r="O458" s="12">
        <f>+'29'!O458+'30'!O458+'31'!O458</f>
        <v>0</v>
      </c>
      <c r="P458" s="12">
        <f>+'29'!P458+'30'!P458+'31'!P458</f>
        <v>0</v>
      </c>
      <c r="Q458" s="532"/>
      <c r="R458" s="270">
        <v>0</v>
      </c>
      <c r="S458" s="12">
        <v>0</v>
      </c>
      <c r="T458" s="12">
        <v>0</v>
      </c>
      <c r="U458" s="271"/>
      <c r="V458" s="533">
        <f t="shared" si="57"/>
        <v>0</v>
      </c>
      <c r="W458" s="533">
        <f t="shared" si="58"/>
        <v>0</v>
      </c>
      <c r="X458" s="257"/>
      <c r="Y458" s="261">
        <f t="shared" si="59"/>
        <v>0</v>
      </c>
      <c r="Z458" s="12">
        <f t="shared" si="60"/>
        <v>0</v>
      </c>
      <c r="AB458" s="13">
        <f t="shared" si="56"/>
        <v>0</v>
      </c>
      <c r="AF458" s="13">
        <f t="shared" si="61"/>
        <v>0</v>
      </c>
      <c r="AM458" s="12">
        <f t="shared" si="62"/>
        <v>0</v>
      </c>
      <c r="AN458" s="13">
        <f t="shared" si="63"/>
        <v>0</v>
      </c>
    </row>
    <row r="459" spans="1:40" x14ac:dyDescent="0.25">
      <c r="A459">
        <v>454</v>
      </c>
      <c r="B459" t="s">
        <v>473</v>
      </c>
      <c r="C459" t="s">
        <v>27</v>
      </c>
      <c r="D459" t="s">
        <v>16</v>
      </c>
      <c r="F459" s="514">
        <f>+'29'!F459+'30'!F459+'31'!F459</f>
        <v>0</v>
      </c>
      <c r="G459" s="12">
        <f>+'29'!G459+'30'!G459+'31'!G459</f>
        <v>0</v>
      </c>
      <c r="H459" s="12">
        <f>+'29'!H459+'30'!H459+'31'!H459</f>
        <v>0</v>
      </c>
      <c r="I459" s="271"/>
      <c r="J459" s="514">
        <f>+'29'!J459+'30'!J459+'31'!J459</f>
        <v>0</v>
      </c>
      <c r="K459" s="12">
        <f>+'29'!K459+'30'!K459+'31'!K459</f>
        <v>0</v>
      </c>
      <c r="L459" s="12">
        <f>+'29'!L459+'30'!L459+'31'!L459</f>
        <v>0</v>
      </c>
      <c r="M459" s="271"/>
      <c r="N459" s="514">
        <f>+'29'!N459+'30'!N459+'31'!N459</f>
        <v>0</v>
      </c>
      <c r="O459" s="12">
        <f>+'29'!O459+'30'!O459+'31'!O459</f>
        <v>0</v>
      </c>
      <c r="P459" s="12">
        <f>+'29'!P459+'30'!P459+'31'!P459</f>
        <v>0</v>
      </c>
      <c r="Q459" s="532"/>
      <c r="R459" s="270">
        <v>0</v>
      </c>
      <c r="S459" s="12">
        <v>0</v>
      </c>
      <c r="T459" s="12">
        <v>0</v>
      </c>
      <c r="U459" s="271"/>
      <c r="V459" s="533">
        <f t="shared" si="57"/>
        <v>0</v>
      </c>
      <c r="W459" s="533">
        <f t="shared" si="58"/>
        <v>0</v>
      </c>
      <c r="X459" s="257"/>
      <c r="Y459" s="261">
        <f t="shared" si="59"/>
        <v>0</v>
      </c>
      <c r="Z459" s="12">
        <f t="shared" si="60"/>
        <v>0</v>
      </c>
      <c r="AB459" s="13">
        <f t="shared" si="56"/>
        <v>0</v>
      </c>
      <c r="AF459" s="13">
        <f t="shared" si="61"/>
        <v>0</v>
      </c>
      <c r="AM459" s="12">
        <f t="shared" si="62"/>
        <v>0</v>
      </c>
      <c r="AN459" s="13">
        <f t="shared" si="63"/>
        <v>0</v>
      </c>
    </row>
    <row r="460" spans="1:40" x14ac:dyDescent="0.25">
      <c r="A460">
        <v>455</v>
      </c>
      <c r="B460" t="s">
        <v>2235</v>
      </c>
      <c r="C460" t="s">
        <v>18</v>
      </c>
      <c r="D460" t="s">
        <v>16</v>
      </c>
      <c r="F460" s="514">
        <f>+'29'!F460+'30'!F460+'31'!F460</f>
        <v>11</v>
      </c>
      <c r="G460" s="12">
        <f>+'29'!G460+'30'!G460+'31'!G460</f>
        <v>123197.5</v>
      </c>
      <c r="H460" s="12">
        <f>+'29'!H460+'30'!H460+'31'!H460</f>
        <v>550</v>
      </c>
      <c r="I460" s="271"/>
      <c r="J460" s="514">
        <f>+'29'!J460+'30'!J460+'31'!J460</f>
        <v>0</v>
      </c>
      <c r="K460" s="12">
        <f>+'29'!K460+'30'!K460+'31'!K460</f>
        <v>0</v>
      </c>
      <c r="L460" s="12">
        <f>+'29'!L460+'30'!L460+'31'!L460</f>
        <v>0</v>
      </c>
      <c r="M460" s="271"/>
      <c r="N460" s="514">
        <f>+'29'!N460+'30'!N460+'31'!N460</f>
        <v>11</v>
      </c>
      <c r="O460" s="12">
        <f>+'29'!O460+'30'!O460+'31'!O460</f>
        <v>123197.5</v>
      </c>
      <c r="P460" s="12">
        <f>+'29'!P460+'30'!P460+'31'!P460</f>
        <v>550</v>
      </c>
      <c r="Q460" s="532"/>
      <c r="R460" s="270">
        <v>11</v>
      </c>
      <c r="S460" s="12">
        <v>123197.5</v>
      </c>
      <c r="T460" s="12">
        <v>0</v>
      </c>
      <c r="U460" s="271"/>
      <c r="V460" s="533">
        <f t="shared" si="57"/>
        <v>0</v>
      </c>
      <c r="W460" s="533">
        <f t="shared" si="58"/>
        <v>0</v>
      </c>
      <c r="X460" s="257"/>
      <c r="Y460" s="261">
        <f t="shared" si="59"/>
        <v>0</v>
      </c>
      <c r="Z460" s="12">
        <f t="shared" si="60"/>
        <v>0</v>
      </c>
      <c r="AB460" s="13">
        <f t="shared" si="56"/>
        <v>123197.5</v>
      </c>
      <c r="AF460" s="13">
        <f t="shared" si="61"/>
        <v>123197.5</v>
      </c>
      <c r="AM460" s="12">
        <f t="shared" si="62"/>
        <v>0</v>
      </c>
      <c r="AN460" s="13">
        <f t="shared" si="63"/>
        <v>123197.5</v>
      </c>
    </row>
    <row r="461" spans="1:40" x14ac:dyDescent="0.25">
      <c r="A461">
        <v>456</v>
      </c>
      <c r="B461" t="s">
        <v>474</v>
      </c>
      <c r="C461" t="s">
        <v>148</v>
      </c>
      <c r="D461" t="s">
        <v>475</v>
      </c>
      <c r="F461" s="514">
        <f>+'29'!F461+'30'!F461+'31'!F461</f>
        <v>314</v>
      </c>
      <c r="G461" s="12">
        <f>+'29'!G461+'30'!G461+'31'!G461</f>
        <v>7167630.8399999999</v>
      </c>
      <c r="H461" s="12">
        <f>+'29'!H461+'30'!H461+'31'!H461</f>
        <v>12560</v>
      </c>
      <c r="I461" s="271"/>
      <c r="J461" s="514">
        <f>+'29'!J461+'30'!J461+'31'!J461</f>
        <v>0</v>
      </c>
      <c r="K461" s="12">
        <f>+'29'!K461+'30'!K461+'31'!K461</f>
        <v>0</v>
      </c>
      <c r="L461" s="12">
        <f>+'29'!L461+'30'!L461+'31'!L461</f>
        <v>0</v>
      </c>
      <c r="M461" s="271"/>
      <c r="N461" s="514">
        <f>+'29'!N461+'30'!N461+'31'!N461</f>
        <v>314</v>
      </c>
      <c r="O461" s="12">
        <f>+'29'!O461+'30'!O461+'31'!O461</f>
        <v>7167630.8399999999</v>
      </c>
      <c r="P461" s="12">
        <f>+'29'!P461+'30'!P461+'31'!P461</f>
        <v>12560</v>
      </c>
      <c r="Q461" s="532"/>
      <c r="R461" s="270">
        <v>314</v>
      </c>
      <c r="S461" s="12">
        <v>7167630.8399999999</v>
      </c>
      <c r="T461" s="12">
        <v>0</v>
      </c>
      <c r="U461" s="271"/>
      <c r="V461" s="533">
        <f t="shared" si="57"/>
        <v>0</v>
      </c>
      <c r="W461" s="533">
        <f t="shared" si="58"/>
        <v>0</v>
      </c>
      <c r="X461" s="257"/>
      <c r="Y461" s="261">
        <f t="shared" si="59"/>
        <v>0</v>
      </c>
      <c r="Z461" s="12">
        <f t="shared" si="60"/>
        <v>0</v>
      </c>
      <c r="AB461" s="13">
        <f t="shared" si="56"/>
        <v>7167630.8399999999</v>
      </c>
      <c r="AD461" s="16">
        <v>101082.14285714286</v>
      </c>
      <c r="AF461" s="13">
        <f t="shared" si="61"/>
        <v>7066548.6971428571</v>
      </c>
      <c r="AG461" s="16">
        <v>182953.57142857142</v>
      </c>
      <c r="AM461" s="12">
        <f t="shared" si="62"/>
        <v>182953.57142857142</v>
      </c>
      <c r="AN461" s="13">
        <f t="shared" si="63"/>
        <v>6883595.1257142853</v>
      </c>
    </row>
    <row r="462" spans="1:40" x14ac:dyDescent="0.25">
      <c r="A462">
        <v>457</v>
      </c>
      <c r="B462" t="s">
        <v>476</v>
      </c>
      <c r="C462" t="s">
        <v>351</v>
      </c>
      <c r="D462" t="s">
        <v>16</v>
      </c>
      <c r="F462" s="514">
        <f>+'29'!F462+'30'!F462+'31'!F462</f>
        <v>27</v>
      </c>
      <c r="G462" s="12">
        <f>+'29'!G462+'30'!G462+'31'!G462</f>
        <v>996187.55</v>
      </c>
      <c r="H462" s="12">
        <f>+'29'!H462+'30'!H462+'31'!H462</f>
        <v>1350</v>
      </c>
      <c r="I462" s="271"/>
      <c r="J462" s="514">
        <f>+'29'!J462+'30'!J462+'31'!J462</f>
        <v>0</v>
      </c>
      <c r="K462" s="12">
        <f>+'29'!K462+'30'!K462+'31'!K462</f>
        <v>0</v>
      </c>
      <c r="L462" s="12">
        <f>+'29'!L462+'30'!L462+'31'!L462</f>
        <v>0</v>
      </c>
      <c r="M462" s="271"/>
      <c r="N462" s="514">
        <f>+'29'!N462+'30'!N462+'31'!N462</f>
        <v>27</v>
      </c>
      <c r="O462" s="12">
        <f>+'29'!O462+'30'!O462+'31'!O462</f>
        <v>996187.55</v>
      </c>
      <c r="P462" s="12">
        <f>+'29'!P462+'30'!P462+'31'!P462</f>
        <v>1350</v>
      </c>
      <c r="Q462" s="532"/>
      <c r="R462" s="270">
        <v>27</v>
      </c>
      <c r="S462" s="12">
        <v>996187.55</v>
      </c>
      <c r="T462" s="12">
        <v>0</v>
      </c>
      <c r="U462" s="271"/>
      <c r="V462" s="533">
        <f t="shared" si="57"/>
        <v>0</v>
      </c>
      <c r="W462" s="533">
        <f t="shared" si="58"/>
        <v>0</v>
      </c>
      <c r="X462" s="257"/>
      <c r="Y462" s="261">
        <f t="shared" si="59"/>
        <v>0</v>
      </c>
      <c r="Z462" s="12">
        <f t="shared" si="60"/>
        <v>0</v>
      </c>
      <c r="AB462" s="13">
        <f t="shared" si="56"/>
        <v>996187.55</v>
      </c>
      <c r="AF462" s="13">
        <f t="shared" si="61"/>
        <v>996187.55</v>
      </c>
      <c r="AM462" s="12">
        <f t="shared" si="62"/>
        <v>0</v>
      </c>
      <c r="AN462" s="13">
        <f t="shared" si="63"/>
        <v>996187.55</v>
      </c>
    </row>
    <row r="463" spans="1:40" x14ac:dyDescent="0.25">
      <c r="A463">
        <v>458</v>
      </c>
      <c r="B463" t="s">
        <v>477</v>
      </c>
      <c r="C463" t="s">
        <v>41</v>
      </c>
      <c r="D463" t="s">
        <v>16</v>
      </c>
      <c r="F463" s="514">
        <f>+'29'!F463+'30'!F463+'31'!F463</f>
        <v>417</v>
      </c>
      <c r="G463" s="12">
        <f>+'29'!G463+'30'!G463+'31'!G463</f>
        <v>1185758.44</v>
      </c>
      <c r="H463" s="12">
        <f>+'29'!H463+'30'!H463+'31'!H463</f>
        <v>12510</v>
      </c>
      <c r="I463" s="271"/>
      <c r="J463" s="514">
        <f>+'29'!J463+'30'!J463+'31'!J463</f>
        <v>0</v>
      </c>
      <c r="K463" s="12">
        <f>+'29'!K463+'30'!K463+'31'!K463</f>
        <v>0</v>
      </c>
      <c r="L463" s="12">
        <f>+'29'!L463+'30'!L463+'31'!L463</f>
        <v>0</v>
      </c>
      <c r="M463" s="271"/>
      <c r="N463" s="514">
        <f>+'29'!N463+'30'!N463+'31'!N463</f>
        <v>417</v>
      </c>
      <c r="O463" s="12">
        <f>+'29'!O463+'30'!O463+'31'!O463</f>
        <v>1185758.44</v>
      </c>
      <c r="P463" s="12">
        <f>+'29'!P463+'30'!P463+'31'!P463</f>
        <v>12510</v>
      </c>
      <c r="Q463" s="532"/>
      <c r="R463" s="270">
        <v>417</v>
      </c>
      <c r="S463" s="12">
        <v>1185758.44</v>
      </c>
      <c r="T463" s="12">
        <v>0</v>
      </c>
      <c r="U463" s="271"/>
      <c r="V463" s="533">
        <f t="shared" si="57"/>
        <v>0</v>
      </c>
      <c r="W463" s="533">
        <f t="shared" si="58"/>
        <v>0</v>
      </c>
      <c r="X463" s="257"/>
      <c r="Y463" s="261">
        <f t="shared" si="59"/>
        <v>0</v>
      </c>
      <c r="Z463" s="12">
        <f t="shared" si="60"/>
        <v>0</v>
      </c>
      <c r="AB463" s="13">
        <f t="shared" si="56"/>
        <v>1185758.44</v>
      </c>
      <c r="AF463" s="13">
        <f t="shared" si="61"/>
        <v>1185758.44</v>
      </c>
      <c r="AM463" s="12">
        <f t="shared" si="62"/>
        <v>0</v>
      </c>
      <c r="AN463" s="13">
        <f t="shared" si="63"/>
        <v>1185758.44</v>
      </c>
    </row>
    <row r="464" spans="1:40" x14ac:dyDescent="0.25">
      <c r="A464">
        <v>459</v>
      </c>
      <c r="B464" t="s">
        <v>478</v>
      </c>
      <c r="C464" t="s">
        <v>18</v>
      </c>
      <c r="D464" t="s">
        <v>16</v>
      </c>
      <c r="F464" s="514">
        <f>+'29'!F464+'30'!F464+'31'!F464</f>
        <v>0</v>
      </c>
      <c r="G464" s="12">
        <f>+'29'!G464+'30'!G464+'31'!G464</f>
        <v>0</v>
      </c>
      <c r="H464" s="12">
        <f>+'29'!H464+'30'!H464+'31'!H464</f>
        <v>0</v>
      </c>
      <c r="I464" s="271"/>
      <c r="J464" s="514">
        <f>+'29'!J464+'30'!J464+'31'!J464</f>
        <v>0</v>
      </c>
      <c r="K464" s="12">
        <f>+'29'!K464+'30'!K464+'31'!K464</f>
        <v>0</v>
      </c>
      <c r="L464" s="12">
        <f>+'29'!L464+'30'!L464+'31'!L464</f>
        <v>0</v>
      </c>
      <c r="M464" s="271"/>
      <c r="N464" s="514">
        <f>+'29'!N464+'30'!N464+'31'!N464</f>
        <v>0</v>
      </c>
      <c r="O464" s="12">
        <f>+'29'!O464+'30'!O464+'31'!O464</f>
        <v>0</v>
      </c>
      <c r="P464" s="12">
        <f>+'29'!P464+'30'!P464+'31'!P464</f>
        <v>0</v>
      </c>
      <c r="Q464" s="532"/>
      <c r="R464" s="270">
        <v>0</v>
      </c>
      <c r="S464" s="12">
        <v>0</v>
      </c>
      <c r="T464" s="12">
        <v>0</v>
      </c>
      <c r="U464" s="271"/>
      <c r="V464" s="533">
        <f t="shared" si="57"/>
        <v>0</v>
      </c>
      <c r="W464" s="533">
        <f t="shared" si="58"/>
        <v>0</v>
      </c>
      <c r="X464" s="257"/>
      <c r="Y464" s="261">
        <f t="shared" si="59"/>
        <v>0</v>
      </c>
      <c r="Z464" s="12">
        <f t="shared" si="60"/>
        <v>0</v>
      </c>
      <c r="AB464" s="13">
        <f t="shared" si="56"/>
        <v>0</v>
      </c>
      <c r="AF464" s="13">
        <f t="shared" si="61"/>
        <v>0</v>
      </c>
      <c r="AM464" s="12">
        <f t="shared" si="62"/>
        <v>0</v>
      </c>
      <c r="AN464" s="13">
        <f t="shared" si="63"/>
        <v>0</v>
      </c>
    </row>
    <row r="465" spans="1:40" x14ac:dyDescent="0.25">
      <c r="A465">
        <v>460</v>
      </c>
      <c r="B465" t="s">
        <v>2988</v>
      </c>
      <c r="C465" t="s">
        <v>366</v>
      </c>
      <c r="D465" t="s">
        <v>480</v>
      </c>
      <c r="F465" s="514">
        <f>+'29'!F465+'30'!F465+'31'!F465</f>
        <v>8</v>
      </c>
      <c r="G465" s="12">
        <f>+'29'!G465+'30'!G465+'31'!G465</f>
        <v>524850</v>
      </c>
      <c r="H465" s="12">
        <f>+'29'!H465+'30'!H465+'31'!H465</f>
        <v>420</v>
      </c>
      <c r="I465" s="271"/>
      <c r="J465" s="514">
        <f>+'29'!J465+'30'!J465+'31'!J465</f>
        <v>0</v>
      </c>
      <c r="K465" s="12">
        <f>+'29'!K465+'30'!K465+'31'!K465</f>
        <v>0</v>
      </c>
      <c r="L465" s="12">
        <f>+'29'!L465+'30'!L465+'31'!L465</f>
        <v>0</v>
      </c>
      <c r="M465" s="271"/>
      <c r="N465" s="514">
        <f>+'29'!N465+'30'!N465+'31'!N465</f>
        <v>8</v>
      </c>
      <c r="O465" s="12">
        <f>+'29'!O465+'30'!O465+'31'!O465</f>
        <v>524850</v>
      </c>
      <c r="P465" s="12">
        <f>+'29'!P465+'30'!P465+'31'!P465</f>
        <v>420</v>
      </c>
      <c r="Q465" s="532"/>
      <c r="R465" s="270">
        <v>8</v>
      </c>
      <c r="S465" s="12">
        <v>524850</v>
      </c>
      <c r="T465" s="12">
        <v>0</v>
      </c>
      <c r="U465" s="271"/>
      <c r="V465" s="533">
        <f t="shared" si="57"/>
        <v>0</v>
      </c>
      <c r="W465" s="533">
        <f t="shared" si="58"/>
        <v>0</v>
      </c>
      <c r="X465" s="257"/>
      <c r="Y465" s="261">
        <f t="shared" si="59"/>
        <v>0</v>
      </c>
      <c r="Z465" s="12">
        <f t="shared" si="60"/>
        <v>0</v>
      </c>
      <c r="AB465" s="13">
        <f t="shared" si="56"/>
        <v>524850</v>
      </c>
      <c r="AD465" s="16">
        <v>1944.6428571428571</v>
      </c>
      <c r="AF465" s="13">
        <f t="shared" si="61"/>
        <v>522905.35714285716</v>
      </c>
      <c r="AG465" s="16">
        <v>3977.6785714285716</v>
      </c>
      <c r="AJ465" s="13"/>
      <c r="AM465" s="12">
        <f t="shared" si="62"/>
        <v>3977.6785714285716</v>
      </c>
      <c r="AN465" s="13">
        <f t="shared" si="63"/>
        <v>518927.67857142858</v>
      </c>
    </row>
    <row r="466" spans="1:40" x14ac:dyDescent="0.25">
      <c r="A466">
        <v>461</v>
      </c>
      <c r="B466" t="s">
        <v>2445</v>
      </c>
      <c r="C466" t="s">
        <v>366</v>
      </c>
      <c r="D466" t="s">
        <v>480</v>
      </c>
      <c r="F466" s="514">
        <f>+'29'!F466+'30'!F466+'31'!F466</f>
        <v>14</v>
      </c>
      <c r="G466" s="12">
        <f>+'29'!G466+'30'!G466+'31'!G466</f>
        <v>834237</v>
      </c>
      <c r="H466" s="12">
        <f>+'29'!H466+'30'!H466+'31'!H466</f>
        <v>720</v>
      </c>
      <c r="I466" s="271"/>
      <c r="J466" s="514">
        <f>+'29'!J466+'30'!J466+'31'!J466</f>
        <v>0</v>
      </c>
      <c r="K466" s="12">
        <f>+'29'!K466+'30'!K466+'31'!K466</f>
        <v>0</v>
      </c>
      <c r="L466" s="12">
        <f>+'29'!L466+'30'!L466+'31'!L466</f>
        <v>0</v>
      </c>
      <c r="M466" s="271"/>
      <c r="N466" s="514">
        <f>+'29'!N466+'30'!N466+'31'!N466</f>
        <v>14</v>
      </c>
      <c r="O466" s="12">
        <f>+'29'!O466+'30'!O466+'31'!O466</f>
        <v>834237</v>
      </c>
      <c r="P466" s="12">
        <f>+'29'!P466+'30'!P466+'31'!P466</f>
        <v>720</v>
      </c>
      <c r="Q466" s="532"/>
      <c r="R466" s="270">
        <v>14</v>
      </c>
      <c r="S466" s="12">
        <v>834237</v>
      </c>
      <c r="T466" s="12">
        <v>0</v>
      </c>
      <c r="U466" s="271"/>
      <c r="V466" s="533">
        <f t="shared" si="57"/>
        <v>0</v>
      </c>
      <c r="W466" s="533">
        <f t="shared" si="58"/>
        <v>0</v>
      </c>
      <c r="X466" s="257"/>
      <c r="Y466" s="261">
        <f t="shared" si="59"/>
        <v>0</v>
      </c>
      <c r="Z466" s="12">
        <f t="shared" si="60"/>
        <v>0</v>
      </c>
      <c r="AB466" s="13">
        <f t="shared" si="56"/>
        <v>834237</v>
      </c>
      <c r="AD466" s="16">
        <v>3152.6785714285716</v>
      </c>
      <c r="AF466" s="13">
        <f t="shared" si="61"/>
        <v>831084.32142857148</v>
      </c>
      <c r="AG466" s="16">
        <v>6806.25</v>
      </c>
      <c r="AM466" s="12">
        <f t="shared" si="62"/>
        <v>6806.25</v>
      </c>
      <c r="AN466" s="13">
        <f t="shared" si="63"/>
        <v>824278.07142857148</v>
      </c>
    </row>
    <row r="467" spans="1:40" x14ac:dyDescent="0.25">
      <c r="A467">
        <v>462</v>
      </c>
      <c r="B467" t="s">
        <v>2447</v>
      </c>
      <c r="C467" t="s">
        <v>366</v>
      </c>
      <c r="D467" t="s">
        <v>480</v>
      </c>
      <c r="F467" s="514">
        <f>+'29'!F467+'30'!F467+'31'!F467</f>
        <v>1</v>
      </c>
      <c r="G467" s="12">
        <f>+'29'!G467+'30'!G467+'31'!G467</f>
        <v>11690</v>
      </c>
      <c r="H467" s="12">
        <f>+'29'!H467+'30'!H467+'31'!H467</f>
        <v>30</v>
      </c>
      <c r="I467" s="271"/>
      <c r="J467" s="514">
        <f>+'29'!J467+'30'!J467+'31'!J467</f>
        <v>0</v>
      </c>
      <c r="K467" s="12">
        <f>+'29'!K467+'30'!K467+'31'!K467</f>
        <v>0</v>
      </c>
      <c r="L467" s="12">
        <f>+'29'!L467+'30'!L467+'31'!L467</f>
        <v>0</v>
      </c>
      <c r="M467" s="271"/>
      <c r="N467" s="514">
        <f>+'29'!N467+'30'!N467+'31'!N467</f>
        <v>1</v>
      </c>
      <c r="O467" s="12">
        <f>+'29'!O467+'30'!O467+'31'!O467</f>
        <v>11690</v>
      </c>
      <c r="P467" s="12">
        <f>+'29'!P467+'30'!P467+'31'!P467</f>
        <v>30</v>
      </c>
      <c r="Q467" s="532"/>
      <c r="R467" s="270">
        <v>1</v>
      </c>
      <c r="S467" s="12">
        <v>11690</v>
      </c>
      <c r="T467" s="12">
        <v>0</v>
      </c>
      <c r="U467" s="271"/>
      <c r="V467" s="533">
        <f t="shared" si="57"/>
        <v>0</v>
      </c>
      <c r="W467" s="533">
        <f t="shared" si="58"/>
        <v>0</v>
      </c>
      <c r="X467" s="257"/>
      <c r="Y467" s="261">
        <f t="shared" si="59"/>
        <v>0</v>
      </c>
      <c r="Z467" s="12">
        <f t="shared" si="60"/>
        <v>0</v>
      </c>
      <c r="AB467" s="13">
        <f t="shared" si="56"/>
        <v>11690</v>
      </c>
      <c r="AD467" s="16">
        <v>117.85714285714286</v>
      </c>
      <c r="AF467" s="13">
        <f t="shared" si="61"/>
        <v>11572.142857142857</v>
      </c>
      <c r="AG467" s="16">
        <v>58.928571428571431</v>
      </c>
      <c r="AM467" s="12">
        <f t="shared" si="62"/>
        <v>58.928571428571431</v>
      </c>
      <c r="AN467" s="13">
        <f t="shared" si="63"/>
        <v>11513.214285714286</v>
      </c>
    </row>
    <row r="468" spans="1:40" x14ac:dyDescent="0.25">
      <c r="A468">
        <v>463</v>
      </c>
      <c r="B468" t="s">
        <v>2963</v>
      </c>
      <c r="C468" t="s">
        <v>366</v>
      </c>
      <c r="D468" t="s">
        <v>480</v>
      </c>
      <c r="F468" s="514">
        <f>+'29'!F468+'30'!F468+'31'!F468</f>
        <v>6</v>
      </c>
      <c r="G468" s="12">
        <f>+'29'!G468+'30'!G468+'31'!G468</f>
        <v>753664</v>
      </c>
      <c r="H468" s="12">
        <f>+'29'!H468+'30'!H468+'31'!H468</f>
        <v>570</v>
      </c>
      <c r="I468" s="271"/>
      <c r="J468" s="514">
        <f>+'29'!J468+'30'!J468+'31'!J468</f>
        <v>0</v>
      </c>
      <c r="K468" s="12">
        <f>+'29'!K468+'30'!K468+'31'!K468</f>
        <v>0</v>
      </c>
      <c r="L468" s="12">
        <f>+'29'!L468+'30'!L468+'31'!L468</f>
        <v>0</v>
      </c>
      <c r="M468" s="271"/>
      <c r="N468" s="514">
        <f>+'29'!N468+'30'!N468+'31'!N468</f>
        <v>6</v>
      </c>
      <c r="O468" s="12">
        <f>+'29'!O468+'30'!O468+'31'!O468</f>
        <v>753664</v>
      </c>
      <c r="P468" s="12">
        <f>+'29'!P468+'30'!P468+'31'!P468</f>
        <v>570</v>
      </c>
      <c r="Q468" s="532"/>
      <c r="R468" s="270">
        <v>6</v>
      </c>
      <c r="S468" s="12">
        <v>753664</v>
      </c>
      <c r="T468" s="12">
        <v>0</v>
      </c>
      <c r="U468" s="271"/>
      <c r="V468" s="533">
        <f t="shared" si="57"/>
        <v>0</v>
      </c>
      <c r="W468" s="533">
        <f t="shared" si="58"/>
        <v>0</v>
      </c>
      <c r="X468" s="257"/>
      <c r="Y468" s="261">
        <f t="shared" si="59"/>
        <v>0</v>
      </c>
      <c r="Z468" s="12">
        <f t="shared" si="60"/>
        <v>0</v>
      </c>
      <c r="AB468" s="13">
        <f t="shared" si="56"/>
        <v>753664</v>
      </c>
      <c r="AF468" s="13">
        <f t="shared" si="61"/>
        <v>753664</v>
      </c>
      <c r="AG468" s="16">
        <v>3683.0342857142859</v>
      </c>
      <c r="AM468" s="12">
        <f t="shared" si="62"/>
        <v>3683.0342857142859</v>
      </c>
      <c r="AN468" s="13">
        <f t="shared" si="63"/>
        <v>749980.96571428573</v>
      </c>
    </row>
    <row r="469" spans="1:40" x14ac:dyDescent="0.25">
      <c r="A469">
        <v>464</v>
      </c>
      <c r="B469" t="s">
        <v>2427</v>
      </c>
      <c r="C469" t="s">
        <v>366</v>
      </c>
      <c r="D469" t="s">
        <v>480</v>
      </c>
      <c r="F469" s="514">
        <f>+'29'!F469+'30'!F469+'31'!F469</f>
        <v>17</v>
      </c>
      <c r="G469" s="12">
        <f>+'29'!G469+'30'!G469+'31'!G469</f>
        <v>1949000</v>
      </c>
      <c r="H469" s="12">
        <f>+'29'!H469+'30'!H469+'31'!H469</f>
        <v>1440</v>
      </c>
      <c r="I469" s="271"/>
      <c r="J469" s="514">
        <f>+'29'!J469+'30'!J469+'31'!J469</f>
        <v>0</v>
      </c>
      <c r="K469" s="12">
        <f>+'29'!K469+'30'!K469+'31'!K469</f>
        <v>0</v>
      </c>
      <c r="L469" s="12">
        <f>+'29'!L469+'30'!L469+'31'!L469</f>
        <v>0</v>
      </c>
      <c r="M469" s="271"/>
      <c r="N469" s="514">
        <f>+'29'!N469+'30'!N469+'31'!N469</f>
        <v>17</v>
      </c>
      <c r="O469" s="12">
        <f>+'29'!O469+'30'!O469+'31'!O469</f>
        <v>1949000</v>
      </c>
      <c r="P469" s="12">
        <f>+'29'!P469+'30'!P469+'31'!P469</f>
        <v>1440</v>
      </c>
      <c r="Q469" s="532"/>
      <c r="R469" s="270">
        <v>17</v>
      </c>
      <c r="S469" s="12">
        <v>1949000</v>
      </c>
      <c r="T469" s="12">
        <v>0</v>
      </c>
      <c r="U469" s="271"/>
      <c r="V469" s="533">
        <f t="shared" si="57"/>
        <v>0</v>
      </c>
      <c r="W469" s="533">
        <f t="shared" si="58"/>
        <v>0</v>
      </c>
      <c r="X469" s="257"/>
      <c r="Y469" s="261">
        <f t="shared" si="59"/>
        <v>0</v>
      </c>
      <c r="Z469" s="12">
        <f t="shared" si="60"/>
        <v>0</v>
      </c>
      <c r="AB469" s="13">
        <f t="shared" si="56"/>
        <v>1949000</v>
      </c>
      <c r="AD469" s="16">
        <v>13141.071428571429</v>
      </c>
      <c r="AF469" s="13">
        <f t="shared" si="61"/>
        <v>1935858.9285714286</v>
      </c>
      <c r="AG469" s="16">
        <v>21891.964285714283</v>
      </c>
      <c r="AM469" s="12">
        <f t="shared" si="62"/>
        <v>21891.964285714283</v>
      </c>
      <c r="AN469" s="13">
        <f t="shared" si="63"/>
        <v>1913966.9642857143</v>
      </c>
    </row>
    <row r="470" spans="1:40" x14ac:dyDescent="0.25">
      <c r="A470">
        <v>465</v>
      </c>
      <c r="B470" t="s">
        <v>2446</v>
      </c>
      <c r="C470" t="s">
        <v>366</v>
      </c>
      <c r="D470" t="s">
        <v>480</v>
      </c>
      <c r="F470" s="514">
        <f>+'29'!F470+'30'!F470+'31'!F470</f>
        <v>10</v>
      </c>
      <c r="G470" s="12">
        <f>+'29'!G470+'30'!G470+'31'!G470</f>
        <v>481008</v>
      </c>
      <c r="H470" s="12">
        <f>+'29'!H470+'30'!H470+'31'!H470</f>
        <v>450</v>
      </c>
      <c r="I470" s="271"/>
      <c r="J470" s="514">
        <f>+'29'!J470+'30'!J470+'31'!J470</f>
        <v>0</v>
      </c>
      <c r="K470" s="12">
        <f>+'29'!K470+'30'!K470+'31'!K470</f>
        <v>0</v>
      </c>
      <c r="L470" s="12">
        <f>+'29'!L470+'30'!L470+'31'!L470</f>
        <v>0</v>
      </c>
      <c r="M470" s="271"/>
      <c r="N470" s="514">
        <f>+'29'!N470+'30'!N470+'31'!N470</f>
        <v>10</v>
      </c>
      <c r="O470" s="12">
        <f>+'29'!O470+'30'!O470+'31'!O470</f>
        <v>481008</v>
      </c>
      <c r="P470" s="12">
        <f>+'29'!P470+'30'!P470+'31'!P470</f>
        <v>450</v>
      </c>
      <c r="Q470" s="532"/>
      <c r="R470" s="270">
        <v>10</v>
      </c>
      <c r="S470" s="12">
        <v>481008</v>
      </c>
      <c r="T470" s="12">
        <v>0</v>
      </c>
      <c r="U470" s="271"/>
      <c r="V470" s="533">
        <f t="shared" si="57"/>
        <v>0</v>
      </c>
      <c r="W470" s="533">
        <f t="shared" si="58"/>
        <v>0</v>
      </c>
      <c r="X470" s="257"/>
      <c r="Y470" s="261">
        <f t="shared" si="59"/>
        <v>0</v>
      </c>
      <c r="Z470" s="12">
        <f t="shared" si="60"/>
        <v>0</v>
      </c>
      <c r="AB470" s="13">
        <f t="shared" si="56"/>
        <v>481008</v>
      </c>
      <c r="AD470" s="16">
        <v>2475</v>
      </c>
      <c r="AF470" s="13">
        <f t="shared" si="61"/>
        <v>478533</v>
      </c>
      <c r="AG470" s="16">
        <v>4596.4285714285716</v>
      </c>
      <c r="AM470" s="12">
        <f t="shared" si="62"/>
        <v>4596.4285714285716</v>
      </c>
      <c r="AN470" s="13">
        <f t="shared" si="63"/>
        <v>473936.57142857142</v>
      </c>
    </row>
    <row r="471" spans="1:40" x14ac:dyDescent="0.25">
      <c r="A471">
        <v>466</v>
      </c>
      <c r="B471" t="s">
        <v>3189</v>
      </c>
      <c r="C471" t="s">
        <v>529</v>
      </c>
      <c r="F471" s="514">
        <f>+'29'!F471+'30'!F471+'31'!F471</f>
        <v>4</v>
      </c>
      <c r="G471" s="12">
        <f>+'29'!G471+'30'!G471+'31'!G471</f>
        <v>479212</v>
      </c>
      <c r="H471" s="12">
        <f>+'29'!H471+'30'!H471+'31'!H471</f>
        <v>330</v>
      </c>
      <c r="I471" s="271"/>
      <c r="J471" s="514">
        <f>+'29'!J471+'30'!J471+'31'!J471</f>
        <v>0</v>
      </c>
      <c r="K471" s="12">
        <f>+'29'!K471+'30'!K471+'31'!K471</f>
        <v>0</v>
      </c>
      <c r="L471" s="12">
        <f>+'29'!L471+'30'!L471+'31'!L471</f>
        <v>0</v>
      </c>
      <c r="M471" s="271"/>
      <c r="N471" s="514">
        <f>+'29'!N471+'30'!N471+'31'!N471</f>
        <v>4</v>
      </c>
      <c r="O471" s="12">
        <f>+'29'!O471+'30'!O471+'31'!O471</f>
        <v>479212</v>
      </c>
      <c r="P471" s="12">
        <f>+'29'!P471+'30'!P471+'31'!P471</f>
        <v>330</v>
      </c>
      <c r="Q471" s="532"/>
      <c r="R471" s="270">
        <v>4</v>
      </c>
      <c r="S471" s="12">
        <v>479212</v>
      </c>
      <c r="T471" s="12">
        <v>0</v>
      </c>
      <c r="U471" s="271"/>
      <c r="V471" s="533">
        <f t="shared" si="57"/>
        <v>0</v>
      </c>
      <c r="W471" s="533">
        <f t="shared" si="58"/>
        <v>0</v>
      </c>
      <c r="X471" s="257"/>
      <c r="Y471" s="261">
        <f t="shared" si="59"/>
        <v>0</v>
      </c>
      <c r="Z471" s="12">
        <f t="shared" si="60"/>
        <v>0</v>
      </c>
      <c r="AB471" s="13">
        <f t="shared" si="56"/>
        <v>479212</v>
      </c>
      <c r="AD471" s="16">
        <v>3624.11</v>
      </c>
      <c r="AF471" s="13">
        <f t="shared" si="61"/>
        <v>475587.89</v>
      </c>
      <c r="AG471" s="16">
        <v>5185.7142857142862</v>
      </c>
      <c r="AM471" s="12">
        <f t="shared" si="62"/>
        <v>5185.7142857142862</v>
      </c>
      <c r="AN471" s="13">
        <f t="shared" si="63"/>
        <v>470402.17571428575</v>
      </c>
    </row>
    <row r="472" spans="1:40" x14ac:dyDescent="0.25">
      <c r="A472">
        <v>467</v>
      </c>
      <c r="B472" t="s">
        <v>2439</v>
      </c>
      <c r="C472" t="s">
        <v>366</v>
      </c>
      <c r="D472" t="s">
        <v>480</v>
      </c>
      <c r="F472" s="514">
        <f>+'29'!F472+'30'!F472+'31'!F472</f>
        <v>45</v>
      </c>
      <c r="G472" s="12">
        <f>+'29'!G472+'30'!G472+'31'!G472</f>
        <v>1166231</v>
      </c>
      <c r="H472" s="12">
        <f>+'29'!H472+'30'!H472+'31'!H472</f>
        <v>1560</v>
      </c>
      <c r="I472" s="271"/>
      <c r="J472" s="514">
        <f>+'29'!J472+'30'!J472+'31'!J472</f>
        <v>0</v>
      </c>
      <c r="K472" s="12">
        <f>+'29'!K472+'30'!K472+'31'!K472</f>
        <v>0</v>
      </c>
      <c r="L472" s="12">
        <f>+'29'!L472+'30'!L472+'31'!L472</f>
        <v>0</v>
      </c>
      <c r="M472" s="271"/>
      <c r="N472" s="514">
        <f>+'29'!N472+'30'!N472+'31'!N472</f>
        <v>45</v>
      </c>
      <c r="O472" s="12">
        <f>+'29'!O472+'30'!O472+'31'!O472</f>
        <v>1166231</v>
      </c>
      <c r="P472" s="12">
        <f>+'29'!P472+'30'!P472+'31'!P472</f>
        <v>1560</v>
      </c>
      <c r="Q472" s="532"/>
      <c r="R472" s="270">
        <v>45</v>
      </c>
      <c r="S472" s="12">
        <v>1166231</v>
      </c>
      <c r="T472" s="12">
        <v>0</v>
      </c>
      <c r="U472" s="271"/>
      <c r="V472" s="533">
        <f t="shared" si="57"/>
        <v>0</v>
      </c>
      <c r="W472" s="533">
        <f t="shared" si="58"/>
        <v>0</v>
      </c>
      <c r="X472" s="257"/>
      <c r="Y472" s="261">
        <f t="shared" si="59"/>
        <v>0</v>
      </c>
      <c r="Z472" s="12">
        <f t="shared" si="60"/>
        <v>0</v>
      </c>
      <c r="AB472" s="13">
        <f t="shared" si="56"/>
        <v>1166231</v>
      </c>
      <c r="AD472" s="16">
        <v>7866.9642857142853</v>
      </c>
      <c r="AF472" s="13">
        <f t="shared" si="61"/>
        <v>1158364.0357142857</v>
      </c>
      <c r="AG472" s="16">
        <v>15881.25</v>
      </c>
      <c r="AM472" s="12">
        <f t="shared" si="62"/>
        <v>15881.25</v>
      </c>
      <c r="AN472" s="13">
        <f t="shared" si="63"/>
        <v>1142482.7857142857</v>
      </c>
    </row>
    <row r="473" spans="1:40" x14ac:dyDescent="0.25">
      <c r="A473">
        <v>468</v>
      </c>
      <c r="B473" t="s">
        <v>2428</v>
      </c>
      <c r="C473" t="s">
        <v>366</v>
      </c>
      <c r="D473" t="s">
        <v>480</v>
      </c>
      <c r="F473" s="514">
        <f>+'29'!F473+'30'!F473+'31'!F473</f>
        <v>81</v>
      </c>
      <c r="G473" s="12">
        <f>+'29'!G473+'30'!G473+'31'!G473</f>
        <v>2756474</v>
      </c>
      <c r="H473" s="12">
        <f>+'29'!H473+'30'!H473+'31'!H473</f>
        <v>3060</v>
      </c>
      <c r="I473" s="271"/>
      <c r="J473" s="514">
        <f>+'29'!J473+'30'!J473+'31'!J473</f>
        <v>0</v>
      </c>
      <c r="K473" s="12">
        <f>+'29'!K473+'30'!K473+'31'!K473</f>
        <v>0</v>
      </c>
      <c r="L473" s="12">
        <f>+'29'!L473+'30'!L473+'31'!L473</f>
        <v>0</v>
      </c>
      <c r="M473" s="271"/>
      <c r="N473" s="514">
        <f>+'29'!N473+'30'!N473+'31'!N473</f>
        <v>81</v>
      </c>
      <c r="O473" s="12">
        <f>+'29'!O473+'30'!O473+'31'!O473</f>
        <v>2756474</v>
      </c>
      <c r="P473" s="12">
        <f>+'29'!P473+'30'!P473+'31'!P473</f>
        <v>3060</v>
      </c>
      <c r="Q473" s="532"/>
      <c r="R473" s="270">
        <v>81</v>
      </c>
      <c r="S473" s="12">
        <v>2756474</v>
      </c>
      <c r="T473" s="12">
        <v>0</v>
      </c>
      <c r="U473" s="271"/>
      <c r="V473" s="533">
        <f t="shared" si="57"/>
        <v>0</v>
      </c>
      <c r="W473" s="533">
        <f t="shared" si="58"/>
        <v>0</v>
      </c>
      <c r="X473" s="257"/>
      <c r="Y473" s="261">
        <f t="shared" si="59"/>
        <v>0</v>
      </c>
      <c r="Z473" s="12">
        <f t="shared" si="60"/>
        <v>0</v>
      </c>
      <c r="AB473" s="13">
        <f t="shared" si="56"/>
        <v>2756474</v>
      </c>
      <c r="AD473" s="16">
        <v>11991.964285714286</v>
      </c>
      <c r="AF473" s="13">
        <f t="shared" si="61"/>
        <v>2744482.0357142859</v>
      </c>
      <c r="AG473" s="16">
        <v>37714.282857142854</v>
      </c>
      <c r="AM473" s="12">
        <f t="shared" si="62"/>
        <v>37714.282857142854</v>
      </c>
      <c r="AN473" s="13">
        <f t="shared" si="63"/>
        <v>2706767.7528571431</v>
      </c>
    </row>
    <row r="474" spans="1:40" x14ac:dyDescent="0.25">
      <c r="A474">
        <v>469</v>
      </c>
      <c r="B474" t="s">
        <v>2448</v>
      </c>
      <c r="C474" t="s">
        <v>366</v>
      </c>
      <c r="D474" t="s">
        <v>480</v>
      </c>
      <c r="F474" s="514">
        <f>+'29'!F474+'30'!F474+'31'!F474</f>
        <v>6</v>
      </c>
      <c r="G474" s="12">
        <f>+'29'!G474+'30'!G474+'31'!G474</f>
        <v>1194728</v>
      </c>
      <c r="H474" s="12">
        <f>+'29'!H474+'30'!H474+'31'!H474</f>
        <v>810</v>
      </c>
      <c r="I474" s="271"/>
      <c r="J474" s="514">
        <f>+'29'!J474+'30'!J474+'31'!J474</f>
        <v>0</v>
      </c>
      <c r="K474" s="12">
        <f>+'29'!K474+'30'!K474+'31'!K474</f>
        <v>0</v>
      </c>
      <c r="L474" s="12">
        <f>+'29'!L474+'30'!L474+'31'!L474</f>
        <v>0</v>
      </c>
      <c r="M474" s="271"/>
      <c r="N474" s="514">
        <f>+'29'!N474+'30'!N474+'31'!N474</f>
        <v>6</v>
      </c>
      <c r="O474" s="12">
        <f>+'29'!O474+'30'!O474+'31'!O474</f>
        <v>1194728</v>
      </c>
      <c r="P474" s="12">
        <f>+'29'!P474+'30'!P474+'31'!P474</f>
        <v>810</v>
      </c>
      <c r="Q474" s="532"/>
      <c r="R474" s="270">
        <v>6</v>
      </c>
      <c r="S474" s="12">
        <v>1194728</v>
      </c>
      <c r="T474" s="12">
        <v>0</v>
      </c>
      <c r="U474" s="271"/>
      <c r="V474" s="533">
        <f t="shared" si="57"/>
        <v>0</v>
      </c>
      <c r="W474" s="533">
        <f t="shared" si="58"/>
        <v>0</v>
      </c>
      <c r="X474" s="257"/>
      <c r="Y474" s="261">
        <f t="shared" si="59"/>
        <v>0</v>
      </c>
      <c r="Z474" s="12">
        <f t="shared" si="60"/>
        <v>0</v>
      </c>
      <c r="AB474" s="13">
        <f t="shared" si="56"/>
        <v>1194728</v>
      </c>
      <c r="AD474" s="16">
        <v>1237.5</v>
      </c>
      <c r="AF474" s="13">
        <f t="shared" si="61"/>
        <v>1193490.5</v>
      </c>
      <c r="AG474" s="16">
        <v>8191.0714285714284</v>
      </c>
      <c r="AM474" s="12">
        <f t="shared" si="62"/>
        <v>8191.0714285714284</v>
      </c>
      <c r="AN474" s="13">
        <f t="shared" si="63"/>
        <v>1185299.4285714286</v>
      </c>
    </row>
    <row r="475" spans="1:40" x14ac:dyDescent="0.25">
      <c r="A475">
        <v>470</v>
      </c>
      <c r="B475" t="s">
        <v>2426</v>
      </c>
      <c r="C475" t="s">
        <v>366</v>
      </c>
      <c r="D475" t="s">
        <v>480</v>
      </c>
      <c r="F475" s="514">
        <f>+'29'!F475+'30'!F475+'31'!F475</f>
        <v>488</v>
      </c>
      <c r="G475" s="12">
        <f>+'29'!G475+'30'!G475+'31'!G475</f>
        <v>21857095.25</v>
      </c>
      <c r="H475" s="12">
        <f>+'29'!H475+'30'!H475+'31'!H475</f>
        <v>20370</v>
      </c>
      <c r="I475" s="271"/>
      <c r="J475" s="514">
        <f>+'29'!J475+'30'!J475+'31'!J475</f>
        <v>0</v>
      </c>
      <c r="K475" s="12">
        <f>+'29'!K475+'30'!K475+'31'!K475</f>
        <v>0</v>
      </c>
      <c r="L475" s="12">
        <f>+'29'!L475+'30'!L475+'31'!L475</f>
        <v>0</v>
      </c>
      <c r="M475" s="271"/>
      <c r="N475" s="514">
        <f>+'29'!N475+'30'!N475+'31'!N475</f>
        <v>488</v>
      </c>
      <c r="O475" s="12">
        <f>+'29'!O475+'30'!O475+'31'!O475</f>
        <v>21857095.25</v>
      </c>
      <c r="P475" s="12">
        <f>+'29'!P475+'30'!P475+'31'!P475</f>
        <v>20370</v>
      </c>
      <c r="Q475" s="532"/>
      <c r="R475" s="270">
        <v>488</v>
      </c>
      <c r="S475" s="12">
        <v>21857095.25</v>
      </c>
      <c r="T475" s="12">
        <v>0</v>
      </c>
      <c r="U475" s="271"/>
      <c r="V475" s="533">
        <f t="shared" si="57"/>
        <v>0</v>
      </c>
      <c r="W475" s="533">
        <f t="shared" si="58"/>
        <v>0</v>
      </c>
      <c r="X475" s="257"/>
      <c r="Y475" s="261">
        <f t="shared" si="59"/>
        <v>0</v>
      </c>
      <c r="Z475" s="12">
        <f t="shared" si="60"/>
        <v>0</v>
      </c>
      <c r="AB475" s="13">
        <f t="shared" si="56"/>
        <v>21857095.25</v>
      </c>
      <c r="AD475" s="16">
        <v>46671.428571428572</v>
      </c>
      <c r="AF475" s="13">
        <f t="shared" si="61"/>
        <v>21810423.821428571</v>
      </c>
      <c r="AG475" s="16">
        <v>119124.10714285714</v>
      </c>
      <c r="AM475" s="12">
        <f t="shared" si="62"/>
        <v>119124.10714285714</v>
      </c>
      <c r="AN475" s="13">
        <f t="shared" si="63"/>
        <v>21691299.714285713</v>
      </c>
    </row>
    <row r="476" spans="1:40" x14ac:dyDescent="0.25">
      <c r="A476">
        <v>471</v>
      </c>
      <c r="B476" t="s">
        <v>2429</v>
      </c>
      <c r="C476" t="s">
        <v>366</v>
      </c>
      <c r="D476" t="s">
        <v>480</v>
      </c>
      <c r="F476" s="514">
        <f>+'29'!F476+'30'!F476+'31'!F476</f>
        <v>136</v>
      </c>
      <c r="G476" s="12">
        <f>+'29'!G476+'30'!G476+'31'!G476</f>
        <v>4549379.9700000007</v>
      </c>
      <c r="H476" s="12">
        <f>+'29'!H476+'30'!H476+'31'!H476</f>
        <v>4980</v>
      </c>
      <c r="I476" s="271"/>
      <c r="J476" s="514">
        <f>+'29'!J476+'30'!J476+'31'!J476</f>
        <v>0</v>
      </c>
      <c r="K476" s="12">
        <f>+'29'!K476+'30'!K476+'31'!K476</f>
        <v>0</v>
      </c>
      <c r="L476" s="12">
        <f>+'29'!L476+'30'!L476+'31'!L476</f>
        <v>0</v>
      </c>
      <c r="M476" s="271"/>
      <c r="N476" s="514">
        <f>+'29'!N476+'30'!N476+'31'!N476</f>
        <v>136</v>
      </c>
      <c r="O476" s="12">
        <f>+'29'!O476+'30'!O476+'31'!O476</f>
        <v>4549379.9700000007</v>
      </c>
      <c r="P476" s="12">
        <f>+'29'!P476+'30'!P476+'31'!P476</f>
        <v>4980</v>
      </c>
      <c r="Q476" s="532"/>
      <c r="R476" s="270">
        <v>136</v>
      </c>
      <c r="S476" s="12">
        <v>4549379.97</v>
      </c>
      <c r="T476" s="12">
        <v>0</v>
      </c>
      <c r="U476" s="271"/>
      <c r="V476" s="533">
        <f t="shared" si="57"/>
        <v>0</v>
      </c>
      <c r="W476" s="533">
        <f t="shared" si="58"/>
        <v>0</v>
      </c>
      <c r="X476" s="257"/>
      <c r="Y476" s="261">
        <f t="shared" si="59"/>
        <v>0</v>
      </c>
      <c r="Z476" s="12">
        <f t="shared" si="60"/>
        <v>0</v>
      </c>
      <c r="AB476" s="13">
        <f t="shared" si="56"/>
        <v>4549379.9700000007</v>
      </c>
      <c r="AD476" s="16">
        <v>21096.428571428572</v>
      </c>
      <c r="AF476" s="13">
        <f t="shared" si="61"/>
        <v>4528283.5414285725</v>
      </c>
      <c r="AG476" s="16">
        <v>42664.28571428571</v>
      </c>
      <c r="AM476" s="12">
        <f t="shared" si="62"/>
        <v>42664.28571428571</v>
      </c>
      <c r="AN476" s="13">
        <f t="shared" si="63"/>
        <v>4485619.2557142871</v>
      </c>
    </row>
    <row r="477" spans="1:40" x14ac:dyDescent="0.25">
      <c r="A477">
        <v>472</v>
      </c>
      <c r="B477" t="s">
        <v>2440</v>
      </c>
      <c r="C477" t="s">
        <v>366</v>
      </c>
      <c r="D477" t="s">
        <v>480</v>
      </c>
      <c r="F477" s="514">
        <f>+'29'!F477+'30'!F477+'31'!F477</f>
        <v>167</v>
      </c>
      <c r="G477" s="12">
        <f>+'29'!G477+'30'!G477+'31'!G477</f>
        <v>5806260.0300000003</v>
      </c>
      <c r="H477" s="12">
        <f>+'29'!H477+'30'!H477+'31'!H477</f>
        <v>6930</v>
      </c>
      <c r="I477" s="271"/>
      <c r="J477" s="514">
        <f>+'29'!J477+'30'!J477+'31'!J477</f>
        <v>0</v>
      </c>
      <c r="K477" s="12">
        <f>+'29'!K477+'30'!K477+'31'!K477</f>
        <v>0</v>
      </c>
      <c r="L477" s="12">
        <f>+'29'!L477+'30'!L477+'31'!L477</f>
        <v>0</v>
      </c>
      <c r="M477" s="271"/>
      <c r="N477" s="514">
        <f>+'29'!N477+'30'!N477+'31'!N477</f>
        <v>167</v>
      </c>
      <c r="O477" s="12">
        <f>+'29'!O477+'30'!O477+'31'!O477</f>
        <v>5806260.0300000003</v>
      </c>
      <c r="P477" s="12">
        <f>+'29'!P477+'30'!P477+'31'!P477</f>
        <v>6930</v>
      </c>
      <c r="Q477" s="532"/>
      <c r="R477" s="270">
        <v>167</v>
      </c>
      <c r="S477" s="12">
        <v>5806260.0300000003</v>
      </c>
      <c r="T477" s="12">
        <v>0</v>
      </c>
      <c r="U477" s="271"/>
      <c r="V477" s="533">
        <f t="shared" si="57"/>
        <v>0</v>
      </c>
      <c r="W477" s="533">
        <f t="shared" si="58"/>
        <v>0</v>
      </c>
      <c r="X477" s="257"/>
      <c r="Y477" s="261">
        <f t="shared" si="59"/>
        <v>0</v>
      </c>
      <c r="Z477" s="12">
        <f t="shared" si="60"/>
        <v>0</v>
      </c>
      <c r="AB477" s="13">
        <f t="shared" si="56"/>
        <v>5806260.0300000003</v>
      </c>
      <c r="AD477" s="16">
        <v>10725</v>
      </c>
      <c r="AF477" s="13">
        <f t="shared" si="61"/>
        <v>5795535.0300000003</v>
      </c>
      <c r="AG477" s="16">
        <v>35710.714285714283</v>
      </c>
      <c r="AM477" s="12">
        <f t="shared" si="62"/>
        <v>35710.714285714283</v>
      </c>
      <c r="AN477" s="13">
        <f t="shared" si="63"/>
        <v>5759824.3157142857</v>
      </c>
    </row>
    <row r="478" spans="1:40" x14ac:dyDescent="0.25">
      <c r="A478">
        <v>473</v>
      </c>
      <c r="B478" t="s">
        <v>497</v>
      </c>
      <c r="C478" t="s">
        <v>15</v>
      </c>
      <c r="D478" t="s">
        <v>16</v>
      </c>
      <c r="F478" s="514">
        <f>+'29'!F478+'30'!F478+'31'!F478</f>
        <v>0</v>
      </c>
      <c r="G478" s="12">
        <f>+'29'!G478+'30'!G478+'31'!G478</f>
        <v>0</v>
      </c>
      <c r="H478" s="12">
        <f>+'29'!H478+'30'!H478+'31'!H478</f>
        <v>0</v>
      </c>
      <c r="I478" s="271"/>
      <c r="J478" s="514">
        <f>+'29'!J478+'30'!J478+'31'!J478</f>
        <v>0</v>
      </c>
      <c r="K478" s="12">
        <f>+'29'!K478+'30'!K478+'31'!K478</f>
        <v>0</v>
      </c>
      <c r="L478" s="12">
        <f>+'29'!L478+'30'!L478+'31'!L478</f>
        <v>0</v>
      </c>
      <c r="M478" s="271"/>
      <c r="N478" s="514">
        <f>+'29'!N478+'30'!N478+'31'!N478</f>
        <v>0</v>
      </c>
      <c r="O478" s="12">
        <f>+'29'!O478+'30'!O478+'31'!O478</f>
        <v>0</v>
      </c>
      <c r="P478" s="12">
        <f>+'29'!P478+'30'!P478+'31'!P478</f>
        <v>0</v>
      </c>
      <c r="Q478" s="532"/>
      <c r="R478" s="270">
        <v>0</v>
      </c>
      <c r="S478" s="12">
        <v>0</v>
      </c>
      <c r="T478" s="12">
        <v>0</v>
      </c>
      <c r="U478" s="271"/>
      <c r="V478" s="533">
        <f t="shared" si="57"/>
        <v>0</v>
      </c>
      <c r="W478" s="533">
        <f t="shared" si="58"/>
        <v>0</v>
      </c>
      <c r="X478" s="257"/>
      <c r="Y478" s="261">
        <f t="shared" si="59"/>
        <v>0</v>
      </c>
      <c r="Z478" s="12">
        <f t="shared" si="60"/>
        <v>0</v>
      </c>
      <c r="AB478" s="13">
        <f t="shared" si="56"/>
        <v>0</v>
      </c>
      <c r="AF478" s="13">
        <f t="shared" si="61"/>
        <v>0</v>
      </c>
      <c r="AG478" s="16">
        <v>68.75</v>
      </c>
      <c r="AM478" s="12">
        <f t="shared" si="62"/>
        <v>68.75</v>
      </c>
      <c r="AN478" s="13">
        <f t="shared" si="63"/>
        <v>-68.75</v>
      </c>
    </row>
    <row r="479" spans="1:40" x14ac:dyDescent="0.25">
      <c r="A479">
        <v>474</v>
      </c>
      <c r="B479" t="s">
        <v>479</v>
      </c>
      <c r="D479" t="s">
        <v>480</v>
      </c>
      <c r="F479" s="514">
        <f>+'29'!F479+'30'!F479+'31'!F479</f>
        <v>0</v>
      </c>
      <c r="G479" s="12">
        <f>+'29'!G479+'30'!G479+'31'!G479</f>
        <v>0</v>
      </c>
      <c r="H479" s="12">
        <f>+'29'!H479+'30'!H479+'31'!H479</f>
        <v>0</v>
      </c>
      <c r="I479" s="271"/>
      <c r="J479" s="514">
        <f>+'29'!J479+'30'!J479+'31'!J479</f>
        <v>0</v>
      </c>
      <c r="K479" s="12">
        <f>+'29'!K479+'30'!K479+'31'!K479</f>
        <v>0</v>
      </c>
      <c r="L479" s="12">
        <f>+'29'!L479+'30'!L479+'31'!L479</f>
        <v>0</v>
      </c>
      <c r="M479" s="271"/>
      <c r="N479" s="514">
        <f>+'29'!N479+'30'!N479+'31'!N479</f>
        <v>0</v>
      </c>
      <c r="O479" s="12">
        <f>+'29'!O479+'30'!O479+'31'!O479</f>
        <v>0</v>
      </c>
      <c r="P479" s="12">
        <f>+'29'!P479+'30'!P479+'31'!P479</f>
        <v>0</v>
      </c>
      <c r="Q479" s="532"/>
      <c r="R479" s="270">
        <v>0</v>
      </c>
      <c r="S479" s="12">
        <v>0</v>
      </c>
      <c r="T479" s="12">
        <v>0</v>
      </c>
      <c r="U479" s="271"/>
      <c r="V479" s="533">
        <f t="shared" si="57"/>
        <v>0</v>
      </c>
      <c r="W479" s="533">
        <f t="shared" si="58"/>
        <v>0</v>
      </c>
      <c r="X479" s="257"/>
      <c r="Y479" s="261">
        <f t="shared" si="59"/>
        <v>0</v>
      </c>
      <c r="Z479" s="12">
        <f t="shared" si="60"/>
        <v>0</v>
      </c>
      <c r="AB479" s="13">
        <f t="shared" si="56"/>
        <v>0</v>
      </c>
      <c r="AD479" s="16">
        <v>98.214285714285708</v>
      </c>
      <c r="AF479" s="13">
        <f t="shared" si="61"/>
        <v>-98.214285714285708</v>
      </c>
      <c r="AG479" s="16">
        <v>142.41071428571428</v>
      </c>
      <c r="AM479" s="12">
        <f t="shared" si="62"/>
        <v>142.41071428571428</v>
      </c>
      <c r="AN479" s="13">
        <f t="shared" si="63"/>
        <v>-240.625</v>
      </c>
    </row>
    <row r="480" spans="1:40" x14ac:dyDescent="0.25">
      <c r="A480">
        <v>475</v>
      </c>
      <c r="B480" t="s">
        <v>3187</v>
      </c>
      <c r="C480" t="s">
        <v>366</v>
      </c>
      <c r="D480" t="s">
        <v>3188</v>
      </c>
      <c r="F480" s="514">
        <f>+'29'!F480+'30'!F480+'31'!F480</f>
        <v>1</v>
      </c>
      <c r="G480" s="12">
        <f>+'29'!G480+'30'!G480+'31'!G480</f>
        <v>76483.64</v>
      </c>
      <c r="H480" s="12">
        <f>+'29'!H480+'30'!H480+'31'!H480</f>
        <v>60</v>
      </c>
      <c r="I480" s="271"/>
      <c r="J480" s="514">
        <f>+'29'!J480+'30'!J480+'31'!J480</f>
        <v>0</v>
      </c>
      <c r="K480" s="12">
        <f>+'29'!K480+'30'!K480+'31'!K480</f>
        <v>0</v>
      </c>
      <c r="L480" s="12">
        <f>+'29'!L480+'30'!L480+'31'!L480</f>
        <v>0</v>
      </c>
      <c r="M480" s="271"/>
      <c r="N480" s="514">
        <f>+'29'!N480+'30'!N480+'31'!N480</f>
        <v>1</v>
      </c>
      <c r="O480" s="12">
        <f>+'29'!O480+'30'!O480+'31'!O480</f>
        <v>76483.64</v>
      </c>
      <c r="P480" s="12">
        <f>+'29'!P480+'30'!P480+'31'!P480</f>
        <v>60</v>
      </c>
      <c r="Q480" s="532"/>
      <c r="R480" s="270">
        <v>1</v>
      </c>
      <c r="S480" s="12">
        <v>76483.64</v>
      </c>
      <c r="T480" s="12">
        <v>0</v>
      </c>
      <c r="U480" s="271"/>
      <c r="V480" s="533">
        <f t="shared" si="57"/>
        <v>0</v>
      </c>
      <c r="W480" s="533">
        <f t="shared" si="58"/>
        <v>0</v>
      </c>
      <c r="X480" s="257"/>
      <c r="Y480" s="261">
        <f t="shared" si="59"/>
        <v>0</v>
      </c>
      <c r="Z480" s="12">
        <f t="shared" si="60"/>
        <v>0</v>
      </c>
      <c r="AB480" s="13">
        <f t="shared" si="56"/>
        <v>76483.64</v>
      </c>
      <c r="AF480" s="13">
        <f t="shared" si="61"/>
        <v>76483.64</v>
      </c>
      <c r="AG480" s="16">
        <v>559.81999999999994</v>
      </c>
      <c r="AM480" s="12">
        <f t="shared" si="62"/>
        <v>559.81999999999994</v>
      </c>
      <c r="AN480" s="13">
        <f t="shared" si="63"/>
        <v>75923.819999999992</v>
      </c>
    </row>
    <row r="481" spans="1:40" x14ac:dyDescent="0.25">
      <c r="A481">
        <v>476</v>
      </c>
      <c r="B481" t="s">
        <v>2220</v>
      </c>
      <c r="F481" s="514">
        <f>+'29'!F481+'30'!F481+'31'!F481</f>
        <v>5</v>
      </c>
      <c r="G481" s="12">
        <f>+'29'!G481+'30'!G481+'31'!G481</f>
        <v>30000</v>
      </c>
      <c r="H481" s="12">
        <f>+'29'!H481+'30'!H481+'31'!H481</f>
        <v>80</v>
      </c>
      <c r="I481" s="271"/>
      <c r="J481" s="514">
        <f>+'29'!J481+'30'!J481+'31'!J481</f>
        <v>0</v>
      </c>
      <c r="K481" s="12">
        <f>+'29'!K481+'30'!K481+'31'!K481</f>
        <v>0</v>
      </c>
      <c r="L481" s="12">
        <f>+'29'!L481+'30'!L481+'31'!L481</f>
        <v>0</v>
      </c>
      <c r="M481" s="271"/>
      <c r="N481" s="514">
        <f>+'29'!N481+'30'!N481+'31'!N481</f>
        <v>5</v>
      </c>
      <c r="O481" s="12">
        <f>+'29'!O481+'30'!O481+'31'!O481</f>
        <v>30000</v>
      </c>
      <c r="P481" s="12">
        <f>+'29'!P481+'30'!P481+'31'!P481</f>
        <v>80</v>
      </c>
      <c r="Q481" s="532"/>
      <c r="R481" s="270">
        <v>5</v>
      </c>
      <c r="S481" s="12">
        <v>30000</v>
      </c>
      <c r="T481" s="12">
        <v>0</v>
      </c>
      <c r="U481" s="271"/>
      <c r="V481" s="533">
        <f t="shared" si="57"/>
        <v>0</v>
      </c>
      <c r="W481" s="533">
        <f t="shared" si="58"/>
        <v>0</v>
      </c>
      <c r="X481" s="257"/>
      <c r="Y481" s="261">
        <f t="shared" si="59"/>
        <v>0</v>
      </c>
      <c r="Z481" s="12">
        <f t="shared" si="60"/>
        <v>0</v>
      </c>
      <c r="AB481" s="13">
        <f t="shared" si="56"/>
        <v>30000</v>
      </c>
      <c r="AD481" s="16">
        <v>14.732142857142858</v>
      </c>
      <c r="AF481" s="13">
        <f t="shared" si="61"/>
        <v>29985.267857142859</v>
      </c>
      <c r="AG481" s="16">
        <v>358.48214285714289</v>
      </c>
      <c r="AM481" s="12">
        <f t="shared" si="62"/>
        <v>358.48214285714289</v>
      </c>
      <c r="AN481" s="13">
        <f t="shared" si="63"/>
        <v>29626.785714285717</v>
      </c>
    </row>
    <row r="482" spans="1:40" x14ac:dyDescent="0.25">
      <c r="A482">
        <v>477</v>
      </c>
      <c r="B482" t="s">
        <v>481</v>
      </c>
      <c r="D482" t="s">
        <v>480</v>
      </c>
      <c r="F482" s="514">
        <f>+'29'!F482+'30'!F482+'31'!F482</f>
        <v>5</v>
      </c>
      <c r="G482" s="12">
        <f>+'29'!G482+'30'!G482+'31'!G482</f>
        <v>100409</v>
      </c>
      <c r="H482" s="12">
        <f>+'29'!H482+'30'!H482+'31'!H482</f>
        <v>170</v>
      </c>
      <c r="I482" s="271"/>
      <c r="J482" s="514">
        <f>+'29'!J482+'30'!J482+'31'!J482</f>
        <v>0</v>
      </c>
      <c r="K482" s="12">
        <f>+'29'!K482+'30'!K482+'31'!K482</f>
        <v>0</v>
      </c>
      <c r="L482" s="12">
        <f>+'29'!L482+'30'!L482+'31'!L482</f>
        <v>0</v>
      </c>
      <c r="M482" s="271"/>
      <c r="N482" s="514">
        <f>+'29'!N482+'30'!N482+'31'!N482</f>
        <v>5</v>
      </c>
      <c r="O482" s="12">
        <f>+'29'!O482+'30'!O482+'31'!O482</f>
        <v>100409</v>
      </c>
      <c r="P482" s="12">
        <f>+'29'!P482+'30'!P482+'31'!P482</f>
        <v>170</v>
      </c>
      <c r="Q482" s="532"/>
      <c r="R482" s="270">
        <v>5</v>
      </c>
      <c r="S482" s="12">
        <v>100409</v>
      </c>
      <c r="T482" s="12">
        <v>0</v>
      </c>
      <c r="U482" s="271"/>
      <c r="V482" s="533">
        <f t="shared" si="57"/>
        <v>0</v>
      </c>
      <c r="W482" s="533">
        <f t="shared" si="58"/>
        <v>0</v>
      </c>
      <c r="X482" s="257"/>
      <c r="Y482" s="261">
        <f t="shared" si="59"/>
        <v>0</v>
      </c>
      <c r="Z482" s="12">
        <f t="shared" si="60"/>
        <v>0</v>
      </c>
      <c r="AB482" s="13">
        <f t="shared" si="56"/>
        <v>100409</v>
      </c>
      <c r="AD482" s="16">
        <v>1070.5357142857142</v>
      </c>
      <c r="AF482" s="13">
        <f t="shared" si="61"/>
        <v>99338.46428571429</v>
      </c>
      <c r="AG482" s="16">
        <v>1198.2142857142858</v>
      </c>
      <c r="AM482" s="12">
        <f t="shared" si="62"/>
        <v>1198.2142857142858</v>
      </c>
      <c r="AN482" s="13">
        <f t="shared" si="63"/>
        <v>98140.25</v>
      </c>
    </row>
    <row r="483" spans="1:40" x14ac:dyDescent="0.25">
      <c r="A483">
        <v>478</v>
      </c>
      <c r="B483" t="s">
        <v>482</v>
      </c>
      <c r="C483" t="s">
        <v>15</v>
      </c>
      <c r="D483" t="s">
        <v>45</v>
      </c>
      <c r="F483" s="514">
        <f>+'29'!F483+'30'!F483+'31'!F483</f>
        <v>31</v>
      </c>
      <c r="G483" s="12">
        <f>+'29'!G483+'30'!G483+'31'!G483</f>
        <v>781595</v>
      </c>
      <c r="H483" s="12">
        <f>+'29'!H483+'30'!H483+'31'!H483</f>
        <v>1000</v>
      </c>
      <c r="I483" s="271"/>
      <c r="J483" s="514">
        <f>+'29'!J483+'30'!J483+'31'!J483</f>
        <v>0</v>
      </c>
      <c r="K483" s="12">
        <f>+'29'!K483+'30'!K483+'31'!K483</f>
        <v>0</v>
      </c>
      <c r="L483" s="12">
        <f>+'29'!L483+'30'!L483+'31'!L483</f>
        <v>0</v>
      </c>
      <c r="M483" s="271"/>
      <c r="N483" s="514">
        <f>+'29'!N483+'30'!N483+'31'!N483</f>
        <v>31</v>
      </c>
      <c r="O483" s="12">
        <f>+'29'!O483+'30'!O483+'31'!O483</f>
        <v>781595</v>
      </c>
      <c r="P483" s="12">
        <f>+'29'!P483+'30'!P483+'31'!P483</f>
        <v>1000</v>
      </c>
      <c r="Q483" s="532"/>
      <c r="R483" s="270">
        <v>31</v>
      </c>
      <c r="S483" s="12">
        <v>781595</v>
      </c>
      <c r="T483" s="12">
        <v>0</v>
      </c>
      <c r="U483" s="271"/>
      <c r="V483" s="533">
        <f t="shared" si="57"/>
        <v>0</v>
      </c>
      <c r="W483" s="533">
        <f t="shared" si="58"/>
        <v>0</v>
      </c>
      <c r="X483" s="257"/>
      <c r="Y483" s="261">
        <f t="shared" si="59"/>
        <v>0</v>
      </c>
      <c r="Z483" s="12">
        <f t="shared" si="60"/>
        <v>0</v>
      </c>
      <c r="AB483" s="13">
        <f t="shared" si="56"/>
        <v>781595</v>
      </c>
      <c r="AD483" s="16">
        <v>25638.839285714286</v>
      </c>
      <c r="AF483" s="13">
        <f t="shared" si="61"/>
        <v>755956.16071428568</v>
      </c>
      <c r="AG483" s="16">
        <v>19917.857142857141</v>
      </c>
      <c r="AM483" s="12">
        <f t="shared" si="62"/>
        <v>19917.857142857141</v>
      </c>
      <c r="AN483" s="13">
        <f t="shared" si="63"/>
        <v>736038.30357142852</v>
      </c>
    </row>
    <row r="484" spans="1:40" x14ac:dyDescent="0.25">
      <c r="A484">
        <v>479</v>
      </c>
      <c r="B484" t="s">
        <v>483</v>
      </c>
      <c r="C484" t="s">
        <v>15</v>
      </c>
      <c r="D484" t="s">
        <v>45</v>
      </c>
      <c r="F484" s="514">
        <f>+'29'!F484+'30'!F484+'31'!F484</f>
        <v>5</v>
      </c>
      <c r="G484" s="12">
        <f>+'29'!G484+'30'!G484+'31'!G484</f>
        <v>88200</v>
      </c>
      <c r="H484" s="12">
        <f>+'29'!H484+'30'!H484+'31'!H484</f>
        <v>140</v>
      </c>
      <c r="I484" s="271"/>
      <c r="J484" s="514">
        <f>+'29'!J484+'30'!J484+'31'!J484</f>
        <v>0</v>
      </c>
      <c r="K484" s="12">
        <f>+'29'!K484+'30'!K484+'31'!K484</f>
        <v>0</v>
      </c>
      <c r="L484" s="12">
        <f>+'29'!L484+'30'!L484+'31'!L484</f>
        <v>0</v>
      </c>
      <c r="M484" s="271"/>
      <c r="N484" s="514">
        <f>+'29'!N484+'30'!N484+'31'!N484</f>
        <v>5</v>
      </c>
      <c r="O484" s="12">
        <f>+'29'!O484+'30'!O484+'31'!O484</f>
        <v>88200</v>
      </c>
      <c r="P484" s="12">
        <f>+'29'!P484+'30'!P484+'31'!P484</f>
        <v>140</v>
      </c>
      <c r="Q484" s="532"/>
      <c r="R484" s="270">
        <v>5</v>
      </c>
      <c r="S484" s="12">
        <v>88200</v>
      </c>
      <c r="T484" s="12">
        <v>0</v>
      </c>
      <c r="U484" s="271"/>
      <c r="V484" s="533">
        <f t="shared" si="57"/>
        <v>0</v>
      </c>
      <c r="W484" s="533">
        <f t="shared" si="58"/>
        <v>0</v>
      </c>
      <c r="X484" s="257"/>
      <c r="Y484" s="261">
        <f t="shared" si="59"/>
        <v>0</v>
      </c>
      <c r="Z484" s="12">
        <f t="shared" si="60"/>
        <v>0</v>
      </c>
      <c r="AB484" s="13">
        <f t="shared" si="56"/>
        <v>88200</v>
      </c>
      <c r="AD484" s="16">
        <v>4964.7321428571431</v>
      </c>
      <c r="AF484" s="13">
        <f t="shared" si="61"/>
        <v>83235.267857142855</v>
      </c>
      <c r="AG484" s="16">
        <v>3378.5714285714284</v>
      </c>
      <c r="AM484" s="12">
        <f t="shared" si="62"/>
        <v>3378.5714285714284</v>
      </c>
      <c r="AN484" s="13">
        <f t="shared" si="63"/>
        <v>79856.69642857142</v>
      </c>
    </row>
    <row r="485" spans="1:40" x14ac:dyDescent="0.25">
      <c r="A485">
        <v>480</v>
      </c>
      <c r="B485" t="s">
        <v>484</v>
      </c>
      <c r="C485" t="s">
        <v>15</v>
      </c>
      <c r="D485" t="s">
        <v>45</v>
      </c>
      <c r="F485" s="514">
        <f>+'29'!F485+'30'!F485+'31'!F485</f>
        <v>3</v>
      </c>
      <c r="G485" s="12">
        <f>+'29'!G485+'30'!G485+'31'!G485</f>
        <v>27531</v>
      </c>
      <c r="H485" s="12">
        <f>+'29'!H485+'30'!H485+'31'!H485</f>
        <v>75</v>
      </c>
      <c r="I485" s="271"/>
      <c r="J485" s="514">
        <f>+'29'!J485+'30'!J485+'31'!J485</f>
        <v>0</v>
      </c>
      <c r="K485" s="12">
        <f>+'29'!K485+'30'!K485+'31'!K485</f>
        <v>0</v>
      </c>
      <c r="L485" s="12">
        <f>+'29'!L485+'30'!L485+'31'!L485</f>
        <v>0</v>
      </c>
      <c r="M485" s="271"/>
      <c r="N485" s="514">
        <f>+'29'!N485+'30'!N485+'31'!N485</f>
        <v>3</v>
      </c>
      <c r="O485" s="12">
        <f>+'29'!O485+'30'!O485+'31'!O485</f>
        <v>27531</v>
      </c>
      <c r="P485" s="12">
        <f>+'29'!P485+'30'!P485+'31'!P485</f>
        <v>75</v>
      </c>
      <c r="Q485" s="532"/>
      <c r="R485" s="270">
        <v>3</v>
      </c>
      <c r="S485" s="12">
        <v>27531</v>
      </c>
      <c r="T485" s="12">
        <v>0</v>
      </c>
      <c r="U485" s="271"/>
      <c r="V485" s="533">
        <f t="shared" si="57"/>
        <v>0</v>
      </c>
      <c r="W485" s="533">
        <f t="shared" si="58"/>
        <v>0</v>
      </c>
      <c r="X485" s="257"/>
      <c r="Y485" s="261">
        <f t="shared" si="59"/>
        <v>0</v>
      </c>
      <c r="Z485" s="12">
        <f t="shared" si="60"/>
        <v>0</v>
      </c>
      <c r="AB485" s="13">
        <f t="shared" si="56"/>
        <v>27531</v>
      </c>
      <c r="AD485" s="16">
        <v>2254.0178571428573</v>
      </c>
      <c r="AF485" s="13">
        <f t="shared" si="61"/>
        <v>25276.982142857141</v>
      </c>
      <c r="AG485" s="16">
        <v>1738.3928571428571</v>
      </c>
      <c r="AM485" s="12">
        <f t="shared" si="62"/>
        <v>1738.3928571428571</v>
      </c>
      <c r="AN485" s="13">
        <f t="shared" si="63"/>
        <v>23538.589285714283</v>
      </c>
    </row>
    <row r="486" spans="1:40" x14ac:dyDescent="0.25">
      <c r="A486">
        <v>481</v>
      </c>
      <c r="B486" t="s">
        <v>485</v>
      </c>
      <c r="C486" t="s">
        <v>15</v>
      </c>
      <c r="D486" t="s">
        <v>45</v>
      </c>
      <c r="F486" s="514">
        <f>+'29'!F486+'30'!F486+'31'!F486</f>
        <v>43</v>
      </c>
      <c r="G486" s="12">
        <f>+'29'!G486+'30'!G486+'31'!G486</f>
        <v>1250143.5</v>
      </c>
      <c r="H486" s="12">
        <f>+'29'!H486+'30'!H486+'31'!H486</f>
        <v>1455</v>
      </c>
      <c r="I486" s="271"/>
      <c r="J486" s="514">
        <f>+'29'!J486+'30'!J486+'31'!J486</f>
        <v>0</v>
      </c>
      <c r="K486" s="12">
        <f>+'29'!K486+'30'!K486+'31'!K486</f>
        <v>0</v>
      </c>
      <c r="L486" s="12">
        <f>+'29'!L486+'30'!L486+'31'!L486</f>
        <v>0</v>
      </c>
      <c r="M486" s="271"/>
      <c r="N486" s="514">
        <f>+'29'!N486+'30'!N486+'31'!N486</f>
        <v>43</v>
      </c>
      <c r="O486" s="12">
        <f>+'29'!O486+'30'!O486+'31'!O486</f>
        <v>1250143.5</v>
      </c>
      <c r="P486" s="12">
        <f>+'29'!P486+'30'!P486+'31'!P486</f>
        <v>1455</v>
      </c>
      <c r="Q486" s="532"/>
      <c r="R486" s="270">
        <v>43</v>
      </c>
      <c r="S486" s="12">
        <v>1250143.5</v>
      </c>
      <c r="T486" s="12">
        <v>0</v>
      </c>
      <c r="U486" s="271"/>
      <c r="V486" s="533">
        <f t="shared" si="57"/>
        <v>0</v>
      </c>
      <c r="W486" s="533">
        <f t="shared" si="58"/>
        <v>0</v>
      </c>
      <c r="X486" s="257"/>
      <c r="Y486" s="261">
        <f t="shared" si="59"/>
        <v>0</v>
      </c>
      <c r="Z486" s="12">
        <f t="shared" si="60"/>
        <v>0</v>
      </c>
      <c r="AB486" s="13">
        <f t="shared" si="56"/>
        <v>1250143.5</v>
      </c>
      <c r="AD486" s="16">
        <v>37468.75</v>
      </c>
      <c r="AF486" s="13">
        <f t="shared" si="61"/>
        <v>1212674.75</v>
      </c>
      <c r="AG486" s="16">
        <v>30657.589285714286</v>
      </c>
      <c r="AM486" s="12">
        <f t="shared" si="62"/>
        <v>30657.589285714286</v>
      </c>
      <c r="AN486" s="13">
        <f t="shared" si="63"/>
        <v>1182017.1607142857</v>
      </c>
    </row>
    <row r="487" spans="1:40" x14ac:dyDescent="0.25">
      <c r="A487">
        <v>482</v>
      </c>
      <c r="B487" t="s">
        <v>486</v>
      </c>
      <c r="C487" t="s">
        <v>15</v>
      </c>
      <c r="D487" t="s">
        <v>45</v>
      </c>
      <c r="F487" s="514">
        <f>+'29'!F487+'30'!F487+'31'!F487</f>
        <v>6</v>
      </c>
      <c r="G487" s="12">
        <f>+'29'!G487+'30'!G487+'31'!G487</f>
        <v>281300</v>
      </c>
      <c r="H487" s="12">
        <f>+'29'!H487+'30'!H487+'31'!H487</f>
        <v>240</v>
      </c>
      <c r="I487" s="271"/>
      <c r="J487" s="514">
        <f>+'29'!J487+'30'!J487+'31'!J487</f>
        <v>0</v>
      </c>
      <c r="K487" s="12">
        <f>+'29'!K487+'30'!K487+'31'!K487</f>
        <v>0</v>
      </c>
      <c r="L487" s="12">
        <f>+'29'!L487+'30'!L487+'31'!L487</f>
        <v>0</v>
      </c>
      <c r="M487" s="271"/>
      <c r="N487" s="514">
        <f>+'29'!N487+'30'!N487+'31'!N487</f>
        <v>6</v>
      </c>
      <c r="O487" s="12">
        <f>+'29'!O487+'30'!O487+'31'!O487</f>
        <v>281300</v>
      </c>
      <c r="P487" s="12">
        <f>+'29'!P487+'30'!P487+'31'!P487</f>
        <v>240</v>
      </c>
      <c r="Q487" s="532"/>
      <c r="R487" s="270">
        <v>6</v>
      </c>
      <c r="S487" s="12">
        <v>281300</v>
      </c>
      <c r="T487" s="12">
        <v>0</v>
      </c>
      <c r="U487" s="271"/>
      <c r="V487" s="533">
        <f t="shared" si="57"/>
        <v>0</v>
      </c>
      <c r="W487" s="533">
        <f t="shared" si="58"/>
        <v>0</v>
      </c>
      <c r="X487" s="257"/>
      <c r="Y487" s="261">
        <f t="shared" si="59"/>
        <v>0</v>
      </c>
      <c r="Z487" s="12">
        <f t="shared" si="60"/>
        <v>0</v>
      </c>
      <c r="AB487" s="13">
        <f t="shared" si="56"/>
        <v>281300</v>
      </c>
      <c r="AD487" s="16">
        <v>5112.0535714285716</v>
      </c>
      <c r="AF487" s="13">
        <f t="shared" si="61"/>
        <v>276187.94642857142</v>
      </c>
      <c r="AG487" s="16">
        <v>4144.6428571428569</v>
      </c>
      <c r="AM487" s="12">
        <f t="shared" si="62"/>
        <v>4144.6428571428569</v>
      </c>
      <c r="AN487" s="13">
        <f t="shared" si="63"/>
        <v>272043.30357142858</v>
      </c>
    </row>
    <row r="488" spans="1:40" x14ac:dyDescent="0.25">
      <c r="A488">
        <v>483</v>
      </c>
      <c r="B488" t="s">
        <v>487</v>
      </c>
      <c r="C488" t="s">
        <v>15</v>
      </c>
      <c r="D488" t="s">
        <v>45</v>
      </c>
      <c r="F488" s="514">
        <f>+'29'!F488+'30'!F488+'31'!F488</f>
        <v>10</v>
      </c>
      <c r="G488" s="12">
        <f>+'29'!G488+'30'!G488+'31'!G488</f>
        <v>481695</v>
      </c>
      <c r="H488" s="12">
        <f>+'29'!H488+'30'!H488+'31'!H488</f>
        <v>415</v>
      </c>
      <c r="I488" s="271"/>
      <c r="J488" s="514">
        <f>+'29'!J488+'30'!J488+'31'!J488</f>
        <v>0</v>
      </c>
      <c r="K488" s="12">
        <f>+'29'!K488+'30'!K488+'31'!K488</f>
        <v>0</v>
      </c>
      <c r="L488" s="12">
        <f>+'29'!L488+'30'!L488+'31'!L488</f>
        <v>0</v>
      </c>
      <c r="M488" s="271"/>
      <c r="N488" s="514">
        <f>+'29'!N488+'30'!N488+'31'!N488</f>
        <v>10</v>
      </c>
      <c r="O488" s="12">
        <f>+'29'!O488+'30'!O488+'31'!O488</f>
        <v>481695</v>
      </c>
      <c r="P488" s="12">
        <f>+'29'!P488+'30'!P488+'31'!P488</f>
        <v>415</v>
      </c>
      <c r="Q488" s="532"/>
      <c r="R488" s="270">
        <v>10</v>
      </c>
      <c r="S488" s="12">
        <v>481695</v>
      </c>
      <c r="T488" s="12">
        <v>0</v>
      </c>
      <c r="U488" s="271"/>
      <c r="V488" s="533">
        <f t="shared" si="57"/>
        <v>0</v>
      </c>
      <c r="W488" s="533">
        <f t="shared" si="58"/>
        <v>0</v>
      </c>
      <c r="X488" s="257"/>
      <c r="Y488" s="261">
        <f t="shared" si="59"/>
        <v>0</v>
      </c>
      <c r="Z488" s="12">
        <f t="shared" si="60"/>
        <v>0</v>
      </c>
      <c r="AB488" s="13">
        <f t="shared" si="56"/>
        <v>481695</v>
      </c>
      <c r="AD488" s="16">
        <v>3221.4285714285716</v>
      </c>
      <c r="AF488" s="13">
        <f t="shared" si="61"/>
        <v>478473.57142857142</v>
      </c>
      <c r="AG488" s="16">
        <v>4566.9642857142853</v>
      </c>
      <c r="AM488" s="12">
        <f t="shared" si="62"/>
        <v>4566.9642857142853</v>
      </c>
      <c r="AN488" s="13">
        <f t="shared" si="63"/>
        <v>473906.60714285716</v>
      </c>
    </row>
    <row r="489" spans="1:40" x14ac:dyDescent="0.25">
      <c r="A489">
        <v>484</v>
      </c>
      <c r="B489" t="s">
        <v>488</v>
      </c>
      <c r="C489" t="s">
        <v>15</v>
      </c>
      <c r="D489" t="s">
        <v>45</v>
      </c>
      <c r="F489" s="514">
        <f>+'29'!F489+'30'!F489+'31'!F489</f>
        <v>0</v>
      </c>
      <c r="G489" s="12">
        <f>+'29'!G489+'30'!G489+'31'!G489</f>
        <v>0</v>
      </c>
      <c r="H489" s="12">
        <f>+'29'!H489+'30'!H489+'31'!H489</f>
        <v>0</v>
      </c>
      <c r="I489" s="271"/>
      <c r="J489" s="514">
        <f>+'29'!J489+'30'!J489+'31'!J489</f>
        <v>0</v>
      </c>
      <c r="K489" s="12">
        <f>+'29'!K489+'30'!K489+'31'!K489</f>
        <v>0</v>
      </c>
      <c r="L489" s="12">
        <f>+'29'!L489+'30'!L489+'31'!L489</f>
        <v>0</v>
      </c>
      <c r="M489" s="271"/>
      <c r="N489" s="514">
        <f>+'29'!N489+'30'!N489+'31'!N489</f>
        <v>0</v>
      </c>
      <c r="O489" s="12">
        <f>+'29'!O489+'30'!O489+'31'!O489</f>
        <v>0</v>
      </c>
      <c r="P489" s="12">
        <f>+'29'!P489+'30'!P489+'31'!P489</f>
        <v>0</v>
      </c>
      <c r="Q489" s="532"/>
      <c r="R489" s="270">
        <v>0</v>
      </c>
      <c r="S489" s="12">
        <v>0</v>
      </c>
      <c r="T489" s="12">
        <v>0</v>
      </c>
      <c r="U489" s="271"/>
      <c r="V489" s="533">
        <f t="shared" si="57"/>
        <v>0</v>
      </c>
      <c r="W489" s="533">
        <f t="shared" si="58"/>
        <v>0</v>
      </c>
      <c r="X489" s="257"/>
      <c r="Y489" s="261">
        <f t="shared" si="59"/>
        <v>0</v>
      </c>
      <c r="Z489" s="12">
        <f t="shared" si="60"/>
        <v>0</v>
      </c>
      <c r="AB489" s="13">
        <f t="shared" si="56"/>
        <v>0</v>
      </c>
      <c r="AF489" s="13">
        <f t="shared" si="61"/>
        <v>0</v>
      </c>
      <c r="AM489" s="12">
        <f t="shared" si="62"/>
        <v>0</v>
      </c>
      <c r="AN489" s="13">
        <f t="shared" si="63"/>
        <v>0</v>
      </c>
    </row>
    <row r="490" spans="1:40" x14ac:dyDescent="0.25">
      <c r="A490">
        <v>485</v>
      </c>
      <c r="B490" t="s">
        <v>2221</v>
      </c>
      <c r="C490" t="s">
        <v>136</v>
      </c>
      <c r="D490" t="s">
        <v>380</v>
      </c>
      <c r="F490" s="514">
        <f>+'29'!F490+'30'!F490+'31'!F490</f>
        <v>0</v>
      </c>
      <c r="G490" s="12">
        <f>+'29'!G490+'30'!G490+'31'!G490</f>
        <v>0</v>
      </c>
      <c r="H490" s="12">
        <f>+'29'!H490+'30'!H490+'31'!H490</f>
        <v>0</v>
      </c>
      <c r="I490" s="271"/>
      <c r="J490" s="514">
        <f>+'29'!J490+'30'!J490+'31'!J490</f>
        <v>0</v>
      </c>
      <c r="K490" s="12">
        <f>+'29'!K490+'30'!K490+'31'!K490</f>
        <v>0</v>
      </c>
      <c r="L490" s="12">
        <f>+'29'!L490+'30'!L490+'31'!L490</f>
        <v>0</v>
      </c>
      <c r="M490" s="271"/>
      <c r="N490" s="514">
        <f>+'29'!N490+'30'!N490+'31'!N490</f>
        <v>0</v>
      </c>
      <c r="O490" s="12">
        <f>+'29'!O490+'30'!O490+'31'!O490</f>
        <v>0</v>
      </c>
      <c r="P490" s="12">
        <f>+'29'!P490+'30'!P490+'31'!P490</f>
        <v>0</v>
      </c>
      <c r="Q490" s="532"/>
      <c r="R490" s="270">
        <v>0</v>
      </c>
      <c r="S490" s="12">
        <v>0</v>
      </c>
      <c r="T490" s="12">
        <v>0</v>
      </c>
      <c r="U490" s="271"/>
      <c r="V490" s="533">
        <f t="shared" si="57"/>
        <v>0</v>
      </c>
      <c r="W490" s="533">
        <f t="shared" si="58"/>
        <v>0</v>
      </c>
      <c r="X490" s="257"/>
      <c r="Y490" s="261">
        <f t="shared" si="59"/>
        <v>0</v>
      </c>
      <c r="Z490" s="12">
        <f t="shared" si="60"/>
        <v>0</v>
      </c>
      <c r="AB490" s="13">
        <f t="shared" si="56"/>
        <v>0</v>
      </c>
      <c r="AF490" s="13">
        <f t="shared" si="61"/>
        <v>0</v>
      </c>
      <c r="AM490" s="12">
        <f t="shared" si="62"/>
        <v>0</v>
      </c>
      <c r="AN490" s="13">
        <f t="shared" si="63"/>
        <v>0</v>
      </c>
    </row>
    <row r="491" spans="1:40" x14ac:dyDescent="0.25">
      <c r="A491">
        <v>486</v>
      </c>
      <c r="B491" t="s">
        <v>489</v>
      </c>
      <c r="C491" t="s">
        <v>18</v>
      </c>
      <c r="D491" t="s">
        <v>20</v>
      </c>
      <c r="F491" s="514">
        <f>+'29'!F491+'30'!F491+'31'!F491</f>
        <v>138</v>
      </c>
      <c r="G491" s="12">
        <f>+'29'!G491+'30'!G491+'31'!G491</f>
        <v>3580284.37</v>
      </c>
      <c r="H491" s="12">
        <f>+'29'!H491+'30'!H491+'31'!H491</f>
        <v>5150</v>
      </c>
      <c r="I491" s="271"/>
      <c r="J491" s="514">
        <f>+'29'!J491+'30'!J491+'31'!J491</f>
        <v>0</v>
      </c>
      <c r="K491" s="12">
        <f>+'29'!K491+'30'!K491+'31'!K491</f>
        <v>0</v>
      </c>
      <c r="L491" s="12">
        <f>+'29'!L491+'30'!L491+'31'!L491</f>
        <v>0</v>
      </c>
      <c r="M491" s="271"/>
      <c r="N491" s="514">
        <f>+'29'!N491+'30'!N491+'31'!N491</f>
        <v>138</v>
      </c>
      <c r="O491" s="12">
        <f>+'29'!O491+'30'!O491+'31'!O491</f>
        <v>3580284.37</v>
      </c>
      <c r="P491" s="12">
        <f>+'29'!P491+'30'!P491+'31'!P491</f>
        <v>5150</v>
      </c>
      <c r="Q491" s="532"/>
      <c r="R491" s="270">
        <v>138</v>
      </c>
      <c r="S491" s="12">
        <v>3575134.37</v>
      </c>
      <c r="T491" s="12">
        <v>5150</v>
      </c>
      <c r="U491" s="271"/>
      <c r="V491" s="533">
        <f t="shared" si="57"/>
        <v>0</v>
      </c>
      <c r="W491" s="533">
        <f t="shared" si="58"/>
        <v>5150</v>
      </c>
      <c r="X491" s="257"/>
      <c r="Y491" s="261">
        <f t="shared" si="59"/>
        <v>0</v>
      </c>
      <c r="Z491" s="12">
        <f t="shared" si="60"/>
        <v>5150</v>
      </c>
      <c r="AB491" s="13">
        <f t="shared" si="56"/>
        <v>3580284.37</v>
      </c>
      <c r="AF491" s="13">
        <f t="shared" si="61"/>
        <v>3580284.37</v>
      </c>
      <c r="AM491" s="12">
        <f t="shared" si="62"/>
        <v>0</v>
      </c>
      <c r="AN491" s="13">
        <f t="shared" si="63"/>
        <v>3580284.37</v>
      </c>
    </row>
    <row r="492" spans="1:40" x14ac:dyDescent="0.25">
      <c r="A492">
        <v>487</v>
      </c>
      <c r="B492" t="s">
        <v>490</v>
      </c>
      <c r="C492" t="s">
        <v>15</v>
      </c>
      <c r="D492" t="s">
        <v>16</v>
      </c>
      <c r="F492" s="514">
        <f>+'29'!F492+'30'!F492+'31'!F492</f>
        <v>4</v>
      </c>
      <c r="G492" s="12">
        <f>+'29'!G492+'30'!G492+'31'!G492</f>
        <v>3442.73</v>
      </c>
      <c r="H492" s="12">
        <f>+'29'!H492+'30'!H492+'31'!H492</f>
        <v>40</v>
      </c>
      <c r="I492" s="271"/>
      <c r="J492" s="514">
        <f>+'29'!J492+'30'!J492+'31'!J492</f>
        <v>0</v>
      </c>
      <c r="K492" s="12">
        <f>+'29'!K492+'30'!K492+'31'!K492</f>
        <v>0</v>
      </c>
      <c r="L492" s="12">
        <f>+'29'!L492+'30'!L492+'31'!L492</f>
        <v>0</v>
      </c>
      <c r="M492" s="271"/>
      <c r="N492" s="514">
        <f>+'29'!N492+'30'!N492+'31'!N492</f>
        <v>4</v>
      </c>
      <c r="O492" s="12">
        <f>+'29'!O492+'30'!O492+'31'!O492</f>
        <v>3442.73</v>
      </c>
      <c r="P492" s="12">
        <f>+'29'!P492+'30'!P492+'31'!P492</f>
        <v>40</v>
      </c>
      <c r="Q492" s="532"/>
      <c r="R492" s="270">
        <v>4</v>
      </c>
      <c r="S492" s="12">
        <v>3442.73</v>
      </c>
      <c r="T492" s="12">
        <v>0</v>
      </c>
      <c r="U492" s="271"/>
      <c r="V492" s="533">
        <f t="shared" si="57"/>
        <v>0</v>
      </c>
      <c r="W492" s="533">
        <f t="shared" si="58"/>
        <v>0</v>
      </c>
      <c r="X492" s="257"/>
      <c r="Y492" s="261">
        <f t="shared" si="59"/>
        <v>0</v>
      </c>
      <c r="Z492" s="12">
        <f t="shared" si="60"/>
        <v>0</v>
      </c>
      <c r="AB492" s="13">
        <f t="shared" si="56"/>
        <v>3442.73</v>
      </c>
      <c r="AF492" s="13">
        <f t="shared" si="61"/>
        <v>3442.73</v>
      </c>
      <c r="AM492" s="12">
        <f t="shared" si="62"/>
        <v>0</v>
      </c>
      <c r="AN492" s="13">
        <f t="shared" si="63"/>
        <v>3442.73</v>
      </c>
    </row>
    <row r="493" spans="1:40" x14ac:dyDescent="0.25">
      <c r="A493">
        <v>488</v>
      </c>
      <c r="B493" t="s">
        <v>491</v>
      </c>
      <c r="C493" t="s">
        <v>98</v>
      </c>
      <c r="D493" t="s">
        <v>16</v>
      </c>
      <c r="F493" s="514">
        <f>+'29'!F493+'30'!F493+'31'!F493</f>
        <v>0</v>
      </c>
      <c r="G493" s="12">
        <f>+'29'!G493+'30'!G493+'31'!G493</f>
        <v>0</v>
      </c>
      <c r="H493" s="12">
        <f>+'29'!H493+'30'!H493+'31'!H493</f>
        <v>0</v>
      </c>
      <c r="I493" s="271"/>
      <c r="J493" s="514">
        <f>+'29'!J493+'30'!J493+'31'!J493</f>
        <v>0</v>
      </c>
      <c r="K493" s="12">
        <f>+'29'!K493+'30'!K493+'31'!K493</f>
        <v>0</v>
      </c>
      <c r="L493" s="12">
        <f>+'29'!L493+'30'!L493+'31'!L493</f>
        <v>0</v>
      </c>
      <c r="M493" s="271"/>
      <c r="N493" s="514">
        <f>+'29'!N493+'30'!N493+'31'!N493</f>
        <v>0</v>
      </c>
      <c r="O493" s="12">
        <f>+'29'!O493+'30'!O493+'31'!O493</f>
        <v>0</v>
      </c>
      <c r="P493" s="12">
        <f>+'29'!P493+'30'!P493+'31'!P493</f>
        <v>0</v>
      </c>
      <c r="Q493" s="532"/>
      <c r="R493" s="270">
        <v>0</v>
      </c>
      <c r="S493" s="12">
        <v>0</v>
      </c>
      <c r="T493" s="12">
        <v>0</v>
      </c>
      <c r="U493" s="271"/>
      <c r="V493" s="533">
        <f t="shared" si="57"/>
        <v>0</v>
      </c>
      <c r="W493" s="533">
        <f t="shared" si="58"/>
        <v>0</v>
      </c>
      <c r="X493" s="257"/>
      <c r="Y493" s="261">
        <f t="shared" si="59"/>
        <v>0</v>
      </c>
      <c r="Z493" s="12">
        <f t="shared" si="60"/>
        <v>0</v>
      </c>
      <c r="AB493" s="13">
        <f t="shared" si="56"/>
        <v>0</v>
      </c>
      <c r="AF493" s="13">
        <f t="shared" si="61"/>
        <v>0</v>
      </c>
      <c r="AM493" s="12">
        <f t="shared" si="62"/>
        <v>0</v>
      </c>
      <c r="AN493" s="13">
        <f t="shared" si="63"/>
        <v>0</v>
      </c>
    </row>
    <row r="494" spans="1:40" x14ac:dyDescent="0.25">
      <c r="A494">
        <v>489</v>
      </c>
      <c r="B494" t="s">
        <v>492</v>
      </c>
      <c r="C494" t="s">
        <v>18</v>
      </c>
      <c r="D494" t="s">
        <v>16</v>
      </c>
      <c r="F494" s="514">
        <f>+'29'!F494+'30'!F494+'31'!F494</f>
        <v>119</v>
      </c>
      <c r="G494" s="12">
        <f>+'29'!G494+'30'!G494+'31'!G494</f>
        <v>8618173.1400000006</v>
      </c>
      <c r="H494" s="12">
        <f>+'29'!H494+'30'!H494+'31'!H494</f>
        <v>3640</v>
      </c>
      <c r="I494" s="271"/>
      <c r="J494" s="514">
        <f>+'29'!J494+'30'!J494+'31'!J494</f>
        <v>0</v>
      </c>
      <c r="K494" s="12">
        <f>+'29'!K494+'30'!K494+'31'!K494</f>
        <v>0</v>
      </c>
      <c r="L494" s="12">
        <f>+'29'!L494+'30'!L494+'31'!L494</f>
        <v>0</v>
      </c>
      <c r="M494" s="271"/>
      <c r="N494" s="514">
        <f>+'29'!N494+'30'!N494+'31'!N494</f>
        <v>119</v>
      </c>
      <c r="O494" s="12">
        <f>+'29'!O494+'30'!O494+'31'!O494</f>
        <v>8618173.1400000006</v>
      </c>
      <c r="P494" s="12">
        <f>+'29'!P494+'30'!P494+'31'!P494</f>
        <v>3640</v>
      </c>
      <c r="Q494" s="532"/>
      <c r="R494" s="270">
        <v>119</v>
      </c>
      <c r="S494" s="12">
        <v>8614533.1400000006</v>
      </c>
      <c r="T494" s="12">
        <v>3640</v>
      </c>
      <c r="U494" s="271"/>
      <c r="V494" s="533">
        <f t="shared" si="57"/>
        <v>0</v>
      </c>
      <c r="W494" s="533">
        <f t="shared" si="58"/>
        <v>3640</v>
      </c>
      <c r="X494" s="257"/>
      <c r="Y494" s="261">
        <f t="shared" si="59"/>
        <v>0</v>
      </c>
      <c r="Z494" s="12">
        <f t="shared" si="60"/>
        <v>3640</v>
      </c>
      <c r="AB494" s="13">
        <f t="shared" si="56"/>
        <v>8618173.1400000006</v>
      </c>
      <c r="AF494" s="13">
        <f t="shared" si="61"/>
        <v>8618173.1400000006</v>
      </c>
      <c r="AM494" s="12">
        <f t="shared" si="62"/>
        <v>0</v>
      </c>
      <c r="AN494" s="13">
        <f t="shared" si="63"/>
        <v>8618173.1400000006</v>
      </c>
    </row>
    <row r="495" spans="1:40" x14ac:dyDescent="0.25">
      <c r="A495">
        <v>490</v>
      </c>
      <c r="B495" t="s">
        <v>493</v>
      </c>
      <c r="C495" t="s">
        <v>18</v>
      </c>
      <c r="D495" t="s">
        <v>20</v>
      </c>
      <c r="F495" s="514">
        <f>+'29'!F495+'30'!F495+'31'!F495</f>
        <v>67</v>
      </c>
      <c r="G495" s="12">
        <f>+'29'!G495+'30'!G495+'31'!G495</f>
        <v>4521908.2699999996</v>
      </c>
      <c r="H495" s="12">
        <f>+'29'!H495+'30'!H495+'31'!H495</f>
        <v>2050</v>
      </c>
      <c r="I495" s="271"/>
      <c r="J495" s="514">
        <f>+'29'!J495+'30'!J495+'31'!J495</f>
        <v>0</v>
      </c>
      <c r="K495" s="12">
        <f>+'29'!K495+'30'!K495+'31'!K495</f>
        <v>0</v>
      </c>
      <c r="L495" s="12">
        <f>+'29'!L495+'30'!L495+'31'!L495</f>
        <v>0</v>
      </c>
      <c r="M495" s="271"/>
      <c r="N495" s="514">
        <f>+'29'!N495+'30'!N495+'31'!N495</f>
        <v>67</v>
      </c>
      <c r="O495" s="12">
        <f>+'29'!O495+'30'!O495+'31'!O495</f>
        <v>4521908.2699999996</v>
      </c>
      <c r="P495" s="12">
        <f>+'29'!P495+'30'!P495+'31'!P495</f>
        <v>2050</v>
      </c>
      <c r="Q495" s="532"/>
      <c r="R495" s="270">
        <v>67</v>
      </c>
      <c r="S495" s="12">
        <v>4519858.2699999996</v>
      </c>
      <c r="T495" s="12">
        <v>2050</v>
      </c>
      <c r="U495" s="271"/>
      <c r="V495" s="533">
        <f t="shared" si="57"/>
        <v>0</v>
      </c>
      <c r="W495" s="533">
        <f t="shared" si="58"/>
        <v>2050</v>
      </c>
      <c r="X495" s="257"/>
      <c r="Y495" s="261">
        <f t="shared" si="59"/>
        <v>0</v>
      </c>
      <c r="Z495" s="12">
        <f t="shared" si="60"/>
        <v>2050</v>
      </c>
      <c r="AB495" s="13">
        <f t="shared" si="56"/>
        <v>4521908.2699999996</v>
      </c>
      <c r="AF495" s="13">
        <f t="shared" si="61"/>
        <v>4521908.2699999996</v>
      </c>
      <c r="AM495" s="12">
        <f t="shared" si="62"/>
        <v>0</v>
      </c>
      <c r="AN495" s="13">
        <f t="shared" si="63"/>
        <v>4521908.2699999996</v>
      </c>
    </row>
    <row r="496" spans="1:40" x14ac:dyDescent="0.25">
      <c r="A496">
        <v>491</v>
      </c>
      <c r="B496" t="s">
        <v>494</v>
      </c>
      <c r="D496" t="s">
        <v>16</v>
      </c>
      <c r="F496" s="514">
        <f>+'29'!F496+'30'!F496+'31'!F496</f>
        <v>1</v>
      </c>
      <c r="G496" s="12">
        <f>+'29'!G496+'30'!G496+'31'!G496</f>
        <v>7000</v>
      </c>
      <c r="H496" s="12">
        <f>+'29'!H496+'30'!H496+'31'!H496</f>
        <v>30</v>
      </c>
      <c r="I496" s="271"/>
      <c r="J496" s="514">
        <f>+'29'!J496+'30'!J496+'31'!J496</f>
        <v>0</v>
      </c>
      <c r="K496" s="12">
        <f>+'29'!K496+'30'!K496+'31'!K496</f>
        <v>0</v>
      </c>
      <c r="L496" s="12">
        <f>+'29'!L496+'30'!L496+'31'!L496</f>
        <v>0</v>
      </c>
      <c r="M496" s="271"/>
      <c r="N496" s="514">
        <f>+'29'!N496+'30'!N496+'31'!N496</f>
        <v>1</v>
      </c>
      <c r="O496" s="12">
        <f>+'29'!O496+'30'!O496+'31'!O496</f>
        <v>7000</v>
      </c>
      <c r="P496" s="12">
        <f>+'29'!P496+'30'!P496+'31'!P496</f>
        <v>30</v>
      </c>
      <c r="Q496" s="532"/>
      <c r="R496" s="270">
        <v>1</v>
      </c>
      <c r="S496" s="12">
        <v>7000</v>
      </c>
      <c r="T496" s="12">
        <v>0</v>
      </c>
      <c r="U496" s="271"/>
      <c r="V496" s="533">
        <f t="shared" si="57"/>
        <v>0</v>
      </c>
      <c r="W496" s="533">
        <f t="shared" si="58"/>
        <v>0</v>
      </c>
      <c r="X496" s="257"/>
      <c r="Y496" s="261">
        <f t="shared" si="59"/>
        <v>0</v>
      </c>
      <c r="Z496" s="12">
        <f t="shared" si="60"/>
        <v>0</v>
      </c>
      <c r="AB496" s="13">
        <f t="shared" si="56"/>
        <v>7000</v>
      </c>
      <c r="AF496" s="13">
        <f t="shared" si="61"/>
        <v>7000</v>
      </c>
      <c r="AM496" s="12">
        <f t="shared" si="62"/>
        <v>0</v>
      </c>
      <c r="AN496" s="13">
        <f t="shared" si="63"/>
        <v>7000</v>
      </c>
    </row>
    <row r="497" spans="1:40" x14ac:dyDescent="0.25">
      <c r="A497">
        <v>492</v>
      </c>
      <c r="B497" t="s">
        <v>495</v>
      </c>
      <c r="C497" t="s">
        <v>98</v>
      </c>
      <c r="D497" t="s">
        <v>20</v>
      </c>
      <c r="F497" s="514">
        <f>+'29'!F497+'30'!F497+'31'!F497</f>
        <v>199</v>
      </c>
      <c r="G497" s="12">
        <f>+'29'!G497+'30'!G497+'31'!G497</f>
        <v>3197168.26</v>
      </c>
      <c r="H497" s="12">
        <f>+'29'!H497+'30'!H497+'31'!H497</f>
        <v>5970</v>
      </c>
      <c r="I497" s="271"/>
      <c r="J497" s="514">
        <f>+'29'!J497+'30'!J497+'31'!J497</f>
        <v>0</v>
      </c>
      <c r="K497" s="12">
        <f>+'29'!K497+'30'!K497+'31'!K497</f>
        <v>0</v>
      </c>
      <c r="L497" s="12">
        <f>+'29'!L497+'30'!L497+'31'!L497</f>
        <v>0</v>
      </c>
      <c r="M497" s="271"/>
      <c r="N497" s="514">
        <f>+'29'!N497+'30'!N497+'31'!N497</f>
        <v>199</v>
      </c>
      <c r="O497" s="12">
        <f>+'29'!O497+'30'!O497+'31'!O497</f>
        <v>3197168.26</v>
      </c>
      <c r="P497" s="12">
        <f>+'29'!P497+'30'!P497+'31'!P497</f>
        <v>5970</v>
      </c>
      <c r="Q497" s="532"/>
      <c r="R497" s="270">
        <v>199</v>
      </c>
      <c r="S497" s="12">
        <v>3191198.26</v>
      </c>
      <c r="T497" s="12">
        <v>5970</v>
      </c>
      <c r="U497" s="271"/>
      <c r="V497" s="533">
        <f t="shared" si="57"/>
        <v>0</v>
      </c>
      <c r="W497" s="533">
        <f t="shared" si="58"/>
        <v>5970</v>
      </c>
      <c r="X497" s="257"/>
      <c r="Y497" s="261">
        <f t="shared" si="59"/>
        <v>0</v>
      </c>
      <c r="Z497" s="12">
        <f t="shared" si="60"/>
        <v>5970</v>
      </c>
      <c r="AB497" s="13">
        <f t="shared" si="56"/>
        <v>3197168.26</v>
      </c>
      <c r="AF497" s="13">
        <f t="shared" si="61"/>
        <v>3197168.26</v>
      </c>
      <c r="AM497" s="12">
        <f t="shared" si="62"/>
        <v>0</v>
      </c>
      <c r="AN497" s="13">
        <f t="shared" si="63"/>
        <v>3197168.26</v>
      </c>
    </row>
    <row r="498" spans="1:40" x14ac:dyDescent="0.25">
      <c r="A498">
        <v>493</v>
      </c>
      <c r="B498" t="s">
        <v>496</v>
      </c>
      <c r="C498" t="s">
        <v>329</v>
      </c>
      <c r="D498" t="s">
        <v>20</v>
      </c>
      <c r="F498" s="514">
        <f>+'29'!F498+'30'!F498+'31'!F498</f>
        <v>32</v>
      </c>
      <c r="G498" s="12">
        <f>+'29'!G498+'30'!G498+'31'!G498</f>
        <v>1077225</v>
      </c>
      <c r="H498" s="12">
        <f>+'29'!H498+'30'!H498+'31'!H498</f>
        <v>1325</v>
      </c>
      <c r="I498" s="271"/>
      <c r="J498" s="514">
        <f>+'29'!J498+'30'!J498+'31'!J498</f>
        <v>0</v>
      </c>
      <c r="K498" s="12">
        <f>+'29'!K498+'30'!K498+'31'!K498</f>
        <v>0</v>
      </c>
      <c r="L498" s="12">
        <f>+'29'!L498+'30'!L498+'31'!L498</f>
        <v>0</v>
      </c>
      <c r="M498" s="271"/>
      <c r="N498" s="514">
        <f>+'29'!N498+'30'!N498+'31'!N498</f>
        <v>32</v>
      </c>
      <c r="O498" s="12">
        <f>+'29'!O498+'30'!O498+'31'!O498</f>
        <v>1077225</v>
      </c>
      <c r="P498" s="12">
        <f>+'29'!P498+'30'!P498+'31'!P498</f>
        <v>1325</v>
      </c>
      <c r="Q498" s="532"/>
      <c r="R498" s="270">
        <v>32</v>
      </c>
      <c r="S498" s="12">
        <v>1077225</v>
      </c>
      <c r="T498" s="12">
        <v>0</v>
      </c>
      <c r="U498" s="271"/>
      <c r="V498" s="533">
        <f t="shared" si="57"/>
        <v>0</v>
      </c>
      <c r="W498" s="533">
        <f t="shared" si="58"/>
        <v>0</v>
      </c>
      <c r="X498" s="257"/>
      <c r="Y498" s="261">
        <f t="shared" si="59"/>
        <v>0</v>
      </c>
      <c r="Z498" s="12">
        <f t="shared" si="60"/>
        <v>0</v>
      </c>
      <c r="AB498" s="13">
        <f t="shared" si="56"/>
        <v>1077225</v>
      </c>
      <c r="AF498" s="13">
        <f t="shared" si="61"/>
        <v>1077225</v>
      </c>
      <c r="AM498" s="12">
        <f t="shared" si="62"/>
        <v>0</v>
      </c>
      <c r="AN498" s="13">
        <f t="shared" si="63"/>
        <v>1077225</v>
      </c>
    </row>
    <row r="499" spans="1:40" x14ac:dyDescent="0.25">
      <c r="A499">
        <v>494</v>
      </c>
      <c r="B499" t="s">
        <v>498</v>
      </c>
      <c r="C499" t="s">
        <v>15</v>
      </c>
      <c r="D499" t="s">
        <v>380</v>
      </c>
      <c r="F499" s="514">
        <f>+'29'!F499+'30'!F499+'31'!F499</f>
        <v>20</v>
      </c>
      <c r="G499" s="12">
        <f>+'29'!G499+'30'!G499+'31'!G499</f>
        <v>538289.52</v>
      </c>
      <c r="H499" s="12">
        <f>+'29'!H499+'30'!H499+'31'!H499</f>
        <v>775</v>
      </c>
      <c r="I499" s="271"/>
      <c r="J499" s="514">
        <f>+'29'!J499+'30'!J499+'31'!J499</f>
        <v>0</v>
      </c>
      <c r="K499" s="12">
        <f>+'29'!K499+'30'!K499+'31'!K499</f>
        <v>0</v>
      </c>
      <c r="L499" s="12">
        <f>+'29'!L499+'30'!L499+'31'!L499</f>
        <v>0</v>
      </c>
      <c r="M499" s="271"/>
      <c r="N499" s="514">
        <f>+'29'!N499+'30'!N499+'31'!N499</f>
        <v>20</v>
      </c>
      <c r="O499" s="12">
        <f>+'29'!O499+'30'!O499+'31'!O499</f>
        <v>538289.52</v>
      </c>
      <c r="P499" s="12">
        <f>+'29'!P499+'30'!P499+'31'!P499</f>
        <v>775</v>
      </c>
      <c r="Q499" s="532"/>
      <c r="R499" s="270">
        <v>20</v>
      </c>
      <c r="S499" s="12">
        <v>538289.52</v>
      </c>
      <c r="T499" s="12">
        <v>0</v>
      </c>
      <c r="U499" s="271"/>
      <c r="V499" s="533">
        <f t="shared" si="57"/>
        <v>0</v>
      </c>
      <c r="W499" s="533">
        <f t="shared" si="58"/>
        <v>0</v>
      </c>
      <c r="X499" s="257"/>
      <c r="Y499" s="261">
        <f t="shared" si="59"/>
        <v>0</v>
      </c>
      <c r="Z499" s="12">
        <f t="shared" si="60"/>
        <v>0</v>
      </c>
      <c r="AB499" s="13">
        <f t="shared" si="56"/>
        <v>538289.52</v>
      </c>
      <c r="AF499" s="13">
        <f t="shared" si="61"/>
        <v>538289.52</v>
      </c>
      <c r="AG499" s="16">
        <v>10675</v>
      </c>
      <c r="AM499" s="12">
        <f t="shared" si="62"/>
        <v>10675</v>
      </c>
      <c r="AN499" s="13">
        <f t="shared" si="63"/>
        <v>527614.52</v>
      </c>
    </row>
    <row r="500" spans="1:40" x14ac:dyDescent="0.25">
      <c r="A500">
        <v>495</v>
      </c>
      <c r="B500" t="s">
        <v>499</v>
      </c>
      <c r="C500" t="s">
        <v>366</v>
      </c>
      <c r="D500" t="s">
        <v>16</v>
      </c>
      <c r="F500" s="514">
        <f>+'29'!F500+'30'!F500+'31'!F500</f>
        <v>0</v>
      </c>
      <c r="G500" s="12">
        <f>+'29'!G500+'30'!G500+'31'!G500</f>
        <v>0</v>
      </c>
      <c r="H500" s="12">
        <f>+'29'!H500+'30'!H500+'31'!H500</f>
        <v>0</v>
      </c>
      <c r="I500" s="271"/>
      <c r="J500" s="514">
        <f>+'29'!J500+'30'!J500+'31'!J500</f>
        <v>0</v>
      </c>
      <c r="K500" s="12">
        <f>+'29'!K500+'30'!K500+'31'!K500</f>
        <v>0</v>
      </c>
      <c r="L500" s="12">
        <f>+'29'!L500+'30'!L500+'31'!L500</f>
        <v>0</v>
      </c>
      <c r="M500" s="271"/>
      <c r="N500" s="514">
        <f>+'29'!N500+'30'!N500+'31'!N500</f>
        <v>0</v>
      </c>
      <c r="O500" s="12">
        <f>+'29'!O500+'30'!O500+'31'!O500</f>
        <v>0</v>
      </c>
      <c r="P500" s="12">
        <f>+'29'!P500+'30'!P500+'31'!P500</f>
        <v>0</v>
      </c>
      <c r="Q500" s="532"/>
      <c r="R500" s="270">
        <v>0</v>
      </c>
      <c r="S500" s="12">
        <v>0</v>
      </c>
      <c r="T500" s="12">
        <v>0</v>
      </c>
      <c r="U500" s="271"/>
      <c r="V500" s="533">
        <f t="shared" si="57"/>
        <v>0</v>
      </c>
      <c r="W500" s="533">
        <f t="shared" si="58"/>
        <v>0</v>
      </c>
      <c r="X500" s="257"/>
      <c r="Y500" s="261">
        <f t="shared" si="59"/>
        <v>0</v>
      </c>
      <c r="Z500" s="12">
        <f t="shared" si="60"/>
        <v>0</v>
      </c>
      <c r="AB500" s="13">
        <f t="shared" si="56"/>
        <v>0</v>
      </c>
      <c r="AF500" s="13">
        <f t="shared" si="61"/>
        <v>0</v>
      </c>
      <c r="AM500" s="12">
        <f t="shared" si="62"/>
        <v>0</v>
      </c>
      <c r="AN500" s="13">
        <f t="shared" si="63"/>
        <v>0</v>
      </c>
    </row>
    <row r="501" spans="1:40" x14ac:dyDescent="0.25">
      <c r="A501">
        <v>496</v>
      </c>
      <c r="B501" t="s">
        <v>500</v>
      </c>
      <c r="C501" t="s">
        <v>18</v>
      </c>
      <c r="D501" t="s">
        <v>16</v>
      </c>
      <c r="F501" s="514">
        <f>+'29'!F501+'30'!F501+'31'!F501</f>
        <v>838</v>
      </c>
      <c r="G501" s="12">
        <f>+'29'!G501+'30'!G501+'31'!G501</f>
        <v>960243.95</v>
      </c>
      <c r="H501" s="12">
        <f>+'29'!H501+'30'!H501+'31'!H501</f>
        <v>8380</v>
      </c>
      <c r="I501" s="271"/>
      <c r="J501" s="514">
        <f>+'29'!J501+'30'!J501+'31'!J501</f>
        <v>0</v>
      </c>
      <c r="K501" s="12">
        <f>+'29'!K501+'30'!K501+'31'!K501</f>
        <v>0</v>
      </c>
      <c r="L501" s="12">
        <f>+'29'!L501+'30'!L501+'31'!L501</f>
        <v>0</v>
      </c>
      <c r="M501" s="271"/>
      <c r="N501" s="514">
        <f>+'29'!N501+'30'!N501+'31'!N501</f>
        <v>838</v>
      </c>
      <c r="O501" s="12">
        <f>+'29'!O501+'30'!O501+'31'!O501</f>
        <v>960243.95</v>
      </c>
      <c r="P501" s="12">
        <f>+'29'!P501+'30'!P501+'31'!P501</f>
        <v>8380</v>
      </c>
      <c r="Q501" s="532"/>
      <c r="R501" s="270">
        <v>838</v>
      </c>
      <c r="S501" s="12">
        <v>960243.95</v>
      </c>
      <c r="T501" s="12">
        <v>0</v>
      </c>
      <c r="U501" s="271"/>
      <c r="V501" s="533">
        <f t="shared" si="57"/>
        <v>0</v>
      </c>
      <c r="W501" s="533">
        <f t="shared" si="58"/>
        <v>0</v>
      </c>
      <c r="X501" s="257"/>
      <c r="Y501" s="261">
        <f t="shared" si="59"/>
        <v>0</v>
      </c>
      <c r="Z501" s="12">
        <f t="shared" si="60"/>
        <v>0</v>
      </c>
      <c r="AB501" s="13">
        <f t="shared" si="56"/>
        <v>960243.95</v>
      </c>
      <c r="AF501" s="13">
        <f t="shared" si="61"/>
        <v>960243.95</v>
      </c>
      <c r="AM501" s="12">
        <f t="shared" si="62"/>
        <v>0</v>
      </c>
      <c r="AN501" s="13">
        <f t="shared" si="63"/>
        <v>960243.95</v>
      </c>
    </row>
    <row r="502" spans="1:40" x14ac:dyDescent="0.25">
      <c r="A502">
        <v>497</v>
      </c>
      <c r="B502" t="s">
        <v>501</v>
      </c>
      <c r="C502" t="s">
        <v>18</v>
      </c>
      <c r="D502" t="s">
        <v>16</v>
      </c>
      <c r="F502" s="514">
        <f>+'29'!F502+'30'!F502+'31'!F502</f>
        <v>2</v>
      </c>
      <c r="G502" s="12">
        <f>+'29'!G502+'30'!G502+'31'!G502</f>
        <v>5825.1500000000005</v>
      </c>
      <c r="H502" s="12">
        <f>+'29'!H502+'30'!H502+'31'!H502</f>
        <v>10</v>
      </c>
      <c r="I502" s="271"/>
      <c r="J502" s="514">
        <f>+'29'!J502+'30'!J502+'31'!J502</f>
        <v>0</v>
      </c>
      <c r="K502" s="12">
        <f>+'29'!K502+'30'!K502+'31'!K502</f>
        <v>0</v>
      </c>
      <c r="L502" s="12">
        <f>+'29'!L502+'30'!L502+'31'!L502</f>
        <v>0</v>
      </c>
      <c r="M502" s="271"/>
      <c r="N502" s="514">
        <f>+'29'!N502+'30'!N502+'31'!N502</f>
        <v>2</v>
      </c>
      <c r="O502" s="12">
        <f>+'29'!O502+'30'!O502+'31'!O502</f>
        <v>5825.1500000000005</v>
      </c>
      <c r="P502" s="12">
        <f>+'29'!P502+'30'!P502+'31'!P502</f>
        <v>10</v>
      </c>
      <c r="Q502" s="532"/>
      <c r="R502" s="270">
        <v>2</v>
      </c>
      <c r="S502" s="12">
        <v>5825.15</v>
      </c>
      <c r="T502" s="12">
        <v>0</v>
      </c>
      <c r="U502" s="271"/>
      <c r="V502" s="533">
        <f t="shared" si="57"/>
        <v>0</v>
      </c>
      <c r="W502" s="533">
        <f t="shared" si="58"/>
        <v>0</v>
      </c>
      <c r="X502" s="257"/>
      <c r="Y502" s="261">
        <f t="shared" si="59"/>
        <v>0</v>
      </c>
      <c r="Z502" s="12">
        <f t="shared" si="60"/>
        <v>0</v>
      </c>
      <c r="AB502" s="13">
        <f t="shared" si="56"/>
        <v>5825.1500000000005</v>
      </c>
      <c r="AF502" s="13">
        <f t="shared" si="61"/>
        <v>5825.1500000000005</v>
      </c>
      <c r="AM502" s="12">
        <f t="shared" si="62"/>
        <v>0</v>
      </c>
      <c r="AN502" s="13">
        <f t="shared" si="63"/>
        <v>5825.1500000000005</v>
      </c>
    </row>
    <row r="503" spans="1:40" x14ac:dyDescent="0.25">
      <c r="A503">
        <v>498</v>
      </c>
      <c r="B503" t="s">
        <v>502</v>
      </c>
      <c r="D503" t="s">
        <v>16</v>
      </c>
      <c r="F503" s="514">
        <f>+'29'!F503+'30'!F503+'31'!F503</f>
        <v>0</v>
      </c>
      <c r="G503" s="12">
        <f>+'29'!G503+'30'!G503+'31'!G503</f>
        <v>0</v>
      </c>
      <c r="H503" s="12">
        <f>+'29'!H503+'30'!H503+'31'!H503</f>
        <v>0</v>
      </c>
      <c r="I503" s="271"/>
      <c r="J503" s="514">
        <f>+'29'!J503+'30'!J503+'31'!J503</f>
        <v>0</v>
      </c>
      <c r="K503" s="12">
        <f>+'29'!K503+'30'!K503+'31'!K503</f>
        <v>0</v>
      </c>
      <c r="L503" s="12">
        <f>+'29'!L503+'30'!L503+'31'!L503</f>
        <v>0</v>
      </c>
      <c r="M503" s="271"/>
      <c r="N503" s="514">
        <f>+'29'!N503+'30'!N503+'31'!N503</f>
        <v>0</v>
      </c>
      <c r="O503" s="12">
        <f>+'29'!O503+'30'!O503+'31'!O503</f>
        <v>0</v>
      </c>
      <c r="P503" s="12">
        <f>+'29'!P503+'30'!P503+'31'!P503</f>
        <v>0</v>
      </c>
      <c r="Q503" s="532"/>
      <c r="R503" s="270">
        <v>0</v>
      </c>
      <c r="S503" s="12">
        <v>0</v>
      </c>
      <c r="T503" s="12">
        <v>0</v>
      </c>
      <c r="U503" s="271"/>
      <c r="V503" s="533">
        <f t="shared" si="57"/>
        <v>0</v>
      </c>
      <c r="W503" s="533">
        <f t="shared" si="58"/>
        <v>0</v>
      </c>
      <c r="X503" s="257"/>
      <c r="Y503" s="261">
        <f t="shared" si="59"/>
        <v>0</v>
      </c>
      <c r="Z503" s="12">
        <f t="shared" si="60"/>
        <v>0</v>
      </c>
      <c r="AB503" s="13">
        <f t="shared" si="56"/>
        <v>0</v>
      </c>
      <c r="AF503" s="13">
        <f t="shared" si="61"/>
        <v>0</v>
      </c>
      <c r="AM503" s="12">
        <f t="shared" si="62"/>
        <v>0</v>
      </c>
      <c r="AN503" s="13">
        <f t="shared" si="63"/>
        <v>0</v>
      </c>
    </row>
    <row r="504" spans="1:40" x14ac:dyDescent="0.25">
      <c r="A504">
        <v>499</v>
      </c>
      <c r="B504" t="s">
        <v>503</v>
      </c>
      <c r="C504" t="s">
        <v>24</v>
      </c>
      <c r="D504" t="s">
        <v>16</v>
      </c>
      <c r="F504" s="514">
        <f>+'29'!F504+'30'!F504+'31'!F504</f>
        <v>0</v>
      </c>
      <c r="G504" s="12">
        <f>+'29'!G504+'30'!G504+'31'!G504</f>
        <v>0</v>
      </c>
      <c r="H504" s="12">
        <f>+'29'!H504+'30'!H504+'31'!H504</f>
        <v>0</v>
      </c>
      <c r="I504" s="271"/>
      <c r="J504" s="514">
        <f>+'29'!J504+'30'!J504+'31'!J504</f>
        <v>0</v>
      </c>
      <c r="K504" s="12">
        <f>+'29'!K504+'30'!K504+'31'!K504</f>
        <v>0</v>
      </c>
      <c r="L504" s="12">
        <f>+'29'!L504+'30'!L504+'31'!L504</f>
        <v>0</v>
      </c>
      <c r="M504" s="271"/>
      <c r="N504" s="514">
        <f>+'29'!N504+'30'!N504+'31'!N504</f>
        <v>0</v>
      </c>
      <c r="O504" s="12">
        <f>+'29'!O504+'30'!O504+'31'!O504</f>
        <v>0</v>
      </c>
      <c r="P504" s="12">
        <f>+'29'!P504+'30'!P504+'31'!P504</f>
        <v>0</v>
      </c>
      <c r="Q504" s="532"/>
      <c r="R504" s="270">
        <v>0</v>
      </c>
      <c r="S504" s="12">
        <v>0</v>
      </c>
      <c r="T504" s="12">
        <v>0</v>
      </c>
      <c r="U504" s="271"/>
      <c r="V504" s="533">
        <f t="shared" si="57"/>
        <v>0</v>
      </c>
      <c r="W504" s="533">
        <f t="shared" si="58"/>
        <v>0</v>
      </c>
      <c r="X504" s="257"/>
      <c r="Y504" s="261">
        <f t="shared" si="59"/>
        <v>0</v>
      </c>
      <c r="Z504" s="12">
        <f t="shared" si="60"/>
        <v>0</v>
      </c>
      <c r="AB504" s="13">
        <f t="shared" si="56"/>
        <v>0</v>
      </c>
      <c r="AF504" s="13">
        <f t="shared" si="61"/>
        <v>0</v>
      </c>
      <c r="AM504" s="12">
        <f t="shared" si="62"/>
        <v>0</v>
      </c>
      <c r="AN504" s="13">
        <f t="shared" si="63"/>
        <v>0</v>
      </c>
    </row>
    <row r="505" spans="1:40" x14ac:dyDescent="0.25">
      <c r="A505">
        <v>500</v>
      </c>
      <c r="B505" t="s">
        <v>3078</v>
      </c>
      <c r="C505" t="s">
        <v>242</v>
      </c>
      <c r="D505" t="s">
        <v>16</v>
      </c>
      <c r="F505" s="514">
        <f>+'29'!F505+'30'!F505+'31'!F505</f>
        <v>0</v>
      </c>
      <c r="G505" s="12">
        <f>+'29'!G505+'30'!G505+'31'!G505</f>
        <v>0</v>
      </c>
      <c r="H505" s="12">
        <f>+'29'!H505+'30'!H505+'31'!H505</f>
        <v>0</v>
      </c>
      <c r="I505" s="271"/>
      <c r="J505" s="514">
        <f>+'29'!J505+'30'!J505+'31'!J505</f>
        <v>0</v>
      </c>
      <c r="K505" s="12">
        <f>+'29'!K505+'30'!K505+'31'!K505</f>
        <v>0</v>
      </c>
      <c r="L505" s="12">
        <f>+'29'!L505+'30'!L505+'31'!L505</f>
        <v>0</v>
      </c>
      <c r="M505" s="271"/>
      <c r="N505" s="514">
        <f>+'29'!N505+'30'!N505+'31'!N505</f>
        <v>0</v>
      </c>
      <c r="O505" s="12">
        <f>+'29'!O505+'30'!O505+'31'!O505</f>
        <v>0</v>
      </c>
      <c r="P505" s="12">
        <f>+'29'!P505+'30'!P505+'31'!P505</f>
        <v>0</v>
      </c>
      <c r="Q505" s="532"/>
      <c r="R505" s="270">
        <v>0</v>
      </c>
      <c r="S505" s="12">
        <v>0</v>
      </c>
      <c r="T505" s="12">
        <v>0</v>
      </c>
      <c r="U505" s="271"/>
      <c r="V505" s="533">
        <f t="shared" si="57"/>
        <v>0</v>
      </c>
      <c r="W505" s="533">
        <f t="shared" si="58"/>
        <v>0</v>
      </c>
      <c r="X505" s="257"/>
      <c r="Y505" s="261">
        <f t="shared" si="59"/>
        <v>0</v>
      </c>
      <c r="Z505" s="12">
        <f t="shared" si="60"/>
        <v>0</v>
      </c>
      <c r="AB505" s="13">
        <f t="shared" si="56"/>
        <v>0</v>
      </c>
      <c r="AF505" s="13">
        <f t="shared" si="61"/>
        <v>0</v>
      </c>
      <c r="AM505" s="12">
        <f t="shared" si="62"/>
        <v>0</v>
      </c>
      <c r="AN505" s="13">
        <f t="shared" si="63"/>
        <v>0</v>
      </c>
    </row>
    <row r="506" spans="1:40" x14ac:dyDescent="0.25">
      <c r="A506">
        <v>501</v>
      </c>
      <c r="B506" t="s">
        <v>504</v>
      </c>
      <c r="C506" t="s">
        <v>24</v>
      </c>
      <c r="D506" t="s">
        <v>16</v>
      </c>
      <c r="F506" s="514">
        <f>+'29'!F506+'30'!F506+'31'!F506</f>
        <v>7</v>
      </c>
      <c r="G506" s="12">
        <f>+'29'!G506+'30'!G506+'31'!G506</f>
        <v>5670</v>
      </c>
      <c r="H506" s="12">
        <f>+'29'!H506+'30'!H506+'31'!H506</f>
        <v>70</v>
      </c>
      <c r="I506" s="271"/>
      <c r="J506" s="514">
        <f>+'29'!J506+'30'!J506+'31'!J506</f>
        <v>0</v>
      </c>
      <c r="K506" s="12">
        <f>+'29'!K506+'30'!K506+'31'!K506</f>
        <v>0</v>
      </c>
      <c r="L506" s="12">
        <f>+'29'!L506+'30'!L506+'31'!L506</f>
        <v>0</v>
      </c>
      <c r="M506" s="271"/>
      <c r="N506" s="514">
        <f>+'29'!N506+'30'!N506+'31'!N506</f>
        <v>7</v>
      </c>
      <c r="O506" s="12">
        <f>+'29'!O506+'30'!O506+'31'!O506</f>
        <v>5670</v>
      </c>
      <c r="P506" s="12">
        <f>+'29'!P506+'30'!P506+'31'!P506</f>
        <v>70</v>
      </c>
      <c r="Q506" s="532"/>
      <c r="R506" s="270">
        <v>7</v>
      </c>
      <c r="S506" s="12">
        <v>5670</v>
      </c>
      <c r="T506" s="12">
        <v>0</v>
      </c>
      <c r="U506" s="271"/>
      <c r="V506" s="533">
        <f t="shared" si="57"/>
        <v>0</v>
      </c>
      <c r="W506" s="533">
        <f t="shared" si="58"/>
        <v>0</v>
      </c>
      <c r="X506" s="257"/>
      <c r="Y506" s="261">
        <f t="shared" si="59"/>
        <v>0</v>
      </c>
      <c r="Z506" s="12">
        <f t="shared" si="60"/>
        <v>0</v>
      </c>
      <c r="AB506" s="13">
        <f t="shared" si="56"/>
        <v>5670</v>
      </c>
      <c r="AF506" s="13">
        <f t="shared" si="61"/>
        <v>5670</v>
      </c>
      <c r="AM506" s="12">
        <f t="shared" si="62"/>
        <v>0</v>
      </c>
      <c r="AN506" s="13">
        <f t="shared" si="63"/>
        <v>5670</v>
      </c>
    </row>
    <row r="507" spans="1:40" x14ac:dyDescent="0.25">
      <c r="A507">
        <v>502</v>
      </c>
      <c r="B507" t="s">
        <v>505</v>
      </c>
      <c r="C507" t="s">
        <v>25</v>
      </c>
      <c r="D507" t="s">
        <v>16</v>
      </c>
      <c r="F507" s="514">
        <f>+'29'!F507+'30'!F507+'31'!F507</f>
        <v>49</v>
      </c>
      <c r="G507" s="12">
        <f>+'29'!G507+'30'!G507+'31'!G507</f>
        <v>654334</v>
      </c>
      <c r="H507" s="12">
        <f>+'29'!H507+'30'!H507+'31'!H507</f>
        <v>1470</v>
      </c>
      <c r="I507" s="271"/>
      <c r="J507" s="514">
        <f>+'29'!J507+'30'!J507+'31'!J507</f>
        <v>0</v>
      </c>
      <c r="K507" s="12">
        <f>+'29'!K507+'30'!K507+'31'!K507</f>
        <v>0</v>
      </c>
      <c r="L507" s="12">
        <f>+'29'!L507+'30'!L507+'31'!L507</f>
        <v>0</v>
      </c>
      <c r="M507" s="271"/>
      <c r="N507" s="514">
        <f>+'29'!N507+'30'!N507+'31'!N507</f>
        <v>49</v>
      </c>
      <c r="O507" s="12">
        <f>+'29'!O507+'30'!O507+'31'!O507</f>
        <v>654334</v>
      </c>
      <c r="P507" s="12">
        <f>+'29'!P507+'30'!P507+'31'!P507</f>
        <v>1470</v>
      </c>
      <c r="Q507" s="532"/>
      <c r="R507" s="270">
        <v>49</v>
      </c>
      <c r="S507" s="12">
        <v>654334</v>
      </c>
      <c r="T507" s="12">
        <v>0</v>
      </c>
      <c r="U507" s="271"/>
      <c r="V507" s="533">
        <f t="shared" si="57"/>
        <v>0</v>
      </c>
      <c r="W507" s="533">
        <f t="shared" si="58"/>
        <v>0</v>
      </c>
      <c r="X507" s="257"/>
      <c r="Y507" s="261">
        <f t="shared" si="59"/>
        <v>0</v>
      </c>
      <c r="Z507" s="12">
        <f t="shared" si="60"/>
        <v>0</v>
      </c>
      <c r="AB507" s="13">
        <f t="shared" si="56"/>
        <v>654334</v>
      </c>
      <c r="AF507" s="13">
        <f t="shared" si="61"/>
        <v>654334</v>
      </c>
      <c r="AM507" s="12">
        <f t="shared" si="62"/>
        <v>0</v>
      </c>
      <c r="AN507" s="13">
        <f t="shared" si="63"/>
        <v>654334</v>
      </c>
    </row>
    <row r="508" spans="1:40" x14ac:dyDescent="0.25">
      <c r="A508">
        <v>503</v>
      </c>
      <c r="B508" t="s">
        <v>506</v>
      </c>
      <c r="C508" t="s">
        <v>18</v>
      </c>
      <c r="D508" t="s">
        <v>20</v>
      </c>
      <c r="F508" s="514">
        <f>+'29'!F508+'30'!F508+'31'!F508</f>
        <v>31</v>
      </c>
      <c r="G508" s="12">
        <f>+'29'!G508+'30'!G508+'31'!G508</f>
        <v>514051.07999999996</v>
      </c>
      <c r="H508" s="12">
        <f>+'29'!H508+'30'!H508+'31'!H508</f>
        <v>1550</v>
      </c>
      <c r="I508" s="271"/>
      <c r="J508" s="514">
        <f>+'29'!J508+'30'!J508+'31'!J508</f>
        <v>0</v>
      </c>
      <c r="K508" s="12">
        <f>+'29'!K508+'30'!K508+'31'!K508</f>
        <v>0</v>
      </c>
      <c r="L508" s="12">
        <f>+'29'!L508+'30'!L508+'31'!L508</f>
        <v>0</v>
      </c>
      <c r="M508" s="271"/>
      <c r="N508" s="514">
        <f>+'29'!N508+'30'!N508+'31'!N508</f>
        <v>31</v>
      </c>
      <c r="O508" s="12">
        <f>+'29'!O508+'30'!O508+'31'!O508</f>
        <v>514051.07999999996</v>
      </c>
      <c r="P508" s="12">
        <f>+'29'!P508+'30'!P508+'31'!P508</f>
        <v>1550</v>
      </c>
      <c r="Q508" s="532"/>
      <c r="R508" s="270">
        <v>31</v>
      </c>
      <c r="S508" s="12">
        <v>512501.08</v>
      </c>
      <c r="T508" s="12">
        <v>1550</v>
      </c>
      <c r="U508" s="271"/>
      <c r="V508" s="533">
        <f t="shared" si="57"/>
        <v>0</v>
      </c>
      <c r="W508" s="533">
        <f t="shared" si="58"/>
        <v>1549.9999999999418</v>
      </c>
      <c r="X508" s="257"/>
      <c r="Y508" s="261">
        <f t="shared" si="59"/>
        <v>0</v>
      </c>
      <c r="Z508" s="12">
        <f t="shared" si="60"/>
        <v>1549.9999999999418</v>
      </c>
      <c r="AB508" s="13">
        <f t="shared" si="56"/>
        <v>514051.07999999996</v>
      </c>
      <c r="AF508" s="13">
        <f t="shared" si="61"/>
        <v>514051.07999999996</v>
      </c>
      <c r="AM508" s="12">
        <f t="shared" si="62"/>
        <v>0</v>
      </c>
      <c r="AN508" s="13">
        <f t="shared" si="63"/>
        <v>514051.07999999996</v>
      </c>
    </row>
    <row r="509" spans="1:40" x14ac:dyDescent="0.25">
      <c r="A509">
        <v>504</v>
      </c>
      <c r="B509" t="s">
        <v>507</v>
      </c>
      <c r="C509" t="s">
        <v>15</v>
      </c>
      <c r="D509" t="s">
        <v>16</v>
      </c>
      <c r="F509" s="514">
        <f>+'29'!F509+'30'!F509+'31'!F509</f>
        <v>4</v>
      </c>
      <c r="G509" s="12">
        <f>+'29'!G509+'30'!G509+'31'!G509</f>
        <v>34558</v>
      </c>
      <c r="H509" s="12">
        <f>+'29'!H509+'30'!H509+'31'!H509</f>
        <v>200</v>
      </c>
      <c r="I509" s="271"/>
      <c r="J509" s="514">
        <f>+'29'!J509+'30'!J509+'31'!J509</f>
        <v>0</v>
      </c>
      <c r="K509" s="12">
        <f>+'29'!K509+'30'!K509+'31'!K509</f>
        <v>0</v>
      </c>
      <c r="L509" s="12">
        <f>+'29'!L509+'30'!L509+'31'!L509</f>
        <v>0</v>
      </c>
      <c r="M509" s="271"/>
      <c r="N509" s="514">
        <f>+'29'!N509+'30'!N509+'31'!N509</f>
        <v>4</v>
      </c>
      <c r="O509" s="12">
        <f>+'29'!O509+'30'!O509+'31'!O509</f>
        <v>34558</v>
      </c>
      <c r="P509" s="12">
        <f>+'29'!P509+'30'!P509+'31'!P509</f>
        <v>200</v>
      </c>
      <c r="Q509" s="532"/>
      <c r="R509" s="270">
        <v>4</v>
      </c>
      <c r="S509" s="12">
        <v>34558</v>
      </c>
      <c r="T509" s="12">
        <v>0</v>
      </c>
      <c r="U509" s="271"/>
      <c r="V509" s="533">
        <f t="shared" si="57"/>
        <v>0</v>
      </c>
      <c r="W509" s="533">
        <f t="shared" si="58"/>
        <v>0</v>
      </c>
      <c r="X509" s="257"/>
      <c r="Y509" s="261">
        <f t="shared" si="59"/>
        <v>0</v>
      </c>
      <c r="Z509" s="12">
        <f t="shared" si="60"/>
        <v>0</v>
      </c>
      <c r="AB509" s="13">
        <f t="shared" si="56"/>
        <v>34558</v>
      </c>
      <c r="AF509" s="13">
        <f t="shared" si="61"/>
        <v>34558</v>
      </c>
      <c r="AM509" s="12">
        <f t="shared" si="62"/>
        <v>0</v>
      </c>
      <c r="AN509" s="13">
        <f t="shared" si="63"/>
        <v>34558</v>
      </c>
    </row>
    <row r="510" spans="1:40" x14ac:dyDescent="0.25">
      <c r="A510">
        <v>505</v>
      </c>
      <c r="B510" t="s">
        <v>508</v>
      </c>
      <c r="C510" t="s">
        <v>154</v>
      </c>
      <c r="D510" t="s">
        <v>16</v>
      </c>
      <c r="F510" s="514">
        <f>+'29'!F510+'30'!F510+'31'!F510</f>
        <v>41</v>
      </c>
      <c r="G510" s="12">
        <f>+'29'!G510+'30'!G510+'31'!G510</f>
        <v>897974.5</v>
      </c>
      <c r="H510" s="12">
        <f>+'29'!H510+'30'!H510+'31'!H510</f>
        <v>1230</v>
      </c>
      <c r="I510" s="271"/>
      <c r="J510" s="514">
        <f>+'29'!J510+'30'!J510+'31'!J510</f>
        <v>0</v>
      </c>
      <c r="K510" s="12">
        <f>+'29'!K510+'30'!K510+'31'!K510</f>
        <v>0</v>
      </c>
      <c r="L510" s="12">
        <f>+'29'!L510+'30'!L510+'31'!L510</f>
        <v>0</v>
      </c>
      <c r="M510" s="271"/>
      <c r="N510" s="514">
        <f>+'29'!N510+'30'!N510+'31'!N510</f>
        <v>41</v>
      </c>
      <c r="O510" s="12">
        <f>+'29'!O510+'30'!O510+'31'!O510</f>
        <v>897974.5</v>
      </c>
      <c r="P510" s="12">
        <f>+'29'!P510+'30'!P510+'31'!P510</f>
        <v>1230</v>
      </c>
      <c r="Q510" s="532"/>
      <c r="R510" s="270">
        <v>41</v>
      </c>
      <c r="S510" s="12">
        <v>897974.5</v>
      </c>
      <c r="T510" s="12">
        <v>0</v>
      </c>
      <c r="U510" s="271"/>
      <c r="V510" s="533">
        <f t="shared" si="57"/>
        <v>0</v>
      </c>
      <c r="W510" s="533">
        <f t="shared" si="58"/>
        <v>0</v>
      </c>
      <c r="X510" s="257"/>
      <c r="Y510" s="261">
        <f t="shared" si="59"/>
        <v>0</v>
      </c>
      <c r="Z510" s="12">
        <f t="shared" si="60"/>
        <v>0</v>
      </c>
      <c r="AB510" s="13">
        <f t="shared" si="56"/>
        <v>897974.5</v>
      </c>
      <c r="AF510" s="13">
        <f t="shared" si="61"/>
        <v>897974.5</v>
      </c>
      <c r="AM510" s="12">
        <f t="shared" si="62"/>
        <v>0</v>
      </c>
      <c r="AN510" s="13">
        <f t="shared" si="63"/>
        <v>897974.5</v>
      </c>
    </row>
    <row r="511" spans="1:40" x14ac:dyDescent="0.25">
      <c r="A511">
        <v>506</v>
      </c>
      <c r="B511" t="s">
        <v>509</v>
      </c>
      <c r="C511" t="s">
        <v>135</v>
      </c>
      <c r="D511" t="s">
        <v>327</v>
      </c>
      <c r="F511" s="514">
        <f>+'29'!F511+'30'!F511+'31'!F511</f>
        <v>1</v>
      </c>
      <c r="G511" s="12">
        <f>+'29'!G511+'30'!G511+'31'!G511</f>
        <v>36115</v>
      </c>
      <c r="H511" s="12">
        <f>+'29'!H511+'30'!H511+'31'!H511</f>
        <v>100</v>
      </c>
      <c r="I511" s="271"/>
      <c r="J511" s="514">
        <f>+'29'!J511+'30'!J511+'31'!J511</f>
        <v>0</v>
      </c>
      <c r="K511" s="12">
        <f>+'29'!K511+'30'!K511+'31'!K511</f>
        <v>0</v>
      </c>
      <c r="L511" s="12">
        <f>+'29'!L511+'30'!L511+'31'!L511</f>
        <v>0</v>
      </c>
      <c r="M511" s="271"/>
      <c r="N511" s="514">
        <f>+'29'!N511+'30'!N511+'31'!N511</f>
        <v>1</v>
      </c>
      <c r="O511" s="12">
        <f>+'29'!O511+'30'!O511+'31'!O511</f>
        <v>36115</v>
      </c>
      <c r="P511" s="12">
        <f>+'29'!P511+'30'!P511+'31'!P511</f>
        <v>100</v>
      </c>
      <c r="Q511" s="532"/>
      <c r="R511" s="270">
        <v>1</v>
      </c>
      <c r="S511" s="12">
        <v>36115</v>
      </c>
      <c r="T511" s="12">
        <v>0</v>
      </c>
      <c r="U511" s="271"/>
      <c r="V511" s="533">
        <f t="shared" si="57"/>
        <v>0</v>
      </c>
      <c r="W511" s="533">
        <f t="shared" si="58"/>
        <v>0</v>
      </c>
      <c r="X511" s="257"/>
      <c r="Y511" s="261">
        <f t="shared" si="59"/>
        <v>0</v>
      </c>
      <c r="Z511" s="12">
        <f t="shared" si="60"/>
        <v>0</v>
      </c>
      <c r="AB511" s="13">
        <f t="shared" si="56"/>
        <v>36115</v>
      </c>
      <c r="AF511" s="13">
        <f t="shared" si="61"/>
        <v>36115</v>
      </c>
      <c r="AG511" s="16">
        <v>13365</v>
      </c>
      <c r="AM511" s="12">
        <f t="shared" si="62"/>
        <v>13365</v>
      </c>
      <c r="AN511" s="13">
        <f t="shared" si="63"/>
        <v>22750</v>
      </c>
    </row>
    <row r="512" spans="1:40" x14ac:dyDescent="0.25">
      <c r="A512">
        <v>507</v>
      </c>
      <c r="B512" t="s">
        <v>510</v>
      </c>
      <c r="C512" t="s">
        <v>351</v>
      </c>
      <c r="D512" t="s">
        <v>40</v>
      </c>
      <c r="F512" s="514">
        <f>+'29'!F512+'30'!F512+'31'!F512</f>
        <v>28</v>
      </c>
      <c r="G512" s="12">
        <f>+'29'!G512+'30'!G512+'31'!G512</f>
        <v>85461.719999999987</v>
      </c>
      <c r="H512" s="12">
        <f>+'29'!H512+'30'!H512+'31'!H512</f>
        <v>0</v>
      </c>
      <c r="I512" s="271"/>
      <c r="J512" s="514">
        <f>+'29'!J512+'30'!J512+'31'!J512</f>
        <v>0</v>
      </c>
      <c r="K512" s="12">
        <f>+'29'!K512+'30'!K512+'31'!K512</f>
        <v>0</v>
      </c>
      <c r="L512" s="12">
        <f>+'29'!L512+'30'!L512+'31'!L512</f>
        <v>0</v>
      </c>
      <c r="M512" s="271"/>
      <c r="N512" s="514">
        <f>+'29'!N512+'30'!N512+'31'!N512</f>
        <v>28</v>
      </c>
      <c r="O512" s="12">
        <f>+'29'!O512+'30'!O512+'31'!O512</f>
        <v>85461.719999999987</v>
      </c>
      <c r="P512" s="12">
        <f>+'29'!P512+'30'!P512+'31'!P512</f>
        <v>0</v>
      </c>
      <c r="Q512" s="532"/>
      <c r="R512" s="270">
        <v>28</v>
      </c>
      <c r="S512" s="12">
        <v>85461.72</v>
      </c>
      <c r="T512" s="12">
        <v>0</v>
      </c>
      <c r="U512" s="271"/>
      <c r="V512" s="533">
        <f t="shared" si="57"/>
        <v>0</v>
      </c>
      <c r="W512" s="533">
        <f t="shared" si="58"/>
        <v>0</v>
      </c>
      <c r="X512" s="257"/>
      <c r="Y512" s="261">
        <f t="shared" si="59"/>
        <v>0</v>
      </c>
      <c r="Z512" s="12">
        <f t="shared" si="60"/>
        <v>0</v>
      </c>
      <c r="AB512" s="13">
        <f t="shared" si="56"/>
        <v>85461.719999999987</v>
      </c>
      <c r="AF512" s="13">
        <f t="shared" si="61"/>
        <v>85461.719999999987</v>
      </c>
      <c r="AM512" s="12">
        <f t="shared" si="62"/>
        <v>0</v>
      </c>
      <c r="AN512" s="13">
        <f t="shared" si="63"/>
        <v>85461.719999999987</v>
      </c>
    </row>
    <row r="513" spans="1:40" x14ac:dyDescent="0.25">
      <c r="A513">
        <v>508</v>
      </c>
      <c r="B513" t="s">
        <v>511</v>
      </c>
      <c r="D513" t="s">
        <v>40</v>
      </c>
      <c r="F513" s="514">
        <f>+'29'!F513+'30'!F513+'31'!F513</f>
        <v>1</v>
      </c>
      <c r="G513" s="12">
        <f>+'29'!G513+'30'!G513+'31'!G513</f>
        <v>14546</v>
      </c>
      <c r="H513" s="12">
        <f>+'29'!H513+'30'!H513+'31'!H513</f>
        <v>0</v>
      </c>
      <c r="I513" s="271"/>
      <c r="J513" s="514">
        <f>+'29'!J513+'30'!J513+'31'!J513</f>
        <v>0</v>
      </c>
      <c r="K513" s="12">
        <f>+'29'!K513+'30'!K513+'31'!K513</f>
        <v>0</v>
      </c>
      <c r="L513" s="12">
        <f>+'29'!L513+'30'!L513+'31'!L513</f>
        <v>0</v>
      </c>
      <c r="M513" s="271"/>
      <c r="N513" s="514">
        <f>+'29'!N513+'30'!N513+'31'!N513</f>
        <v>1</v>
      </c>
      <c r="O513" s="12">
        <f>+'29'!O513+'30'!O513+'31'!O513</f>
        <v>14546</v>
      </c>
      <c r="P513" s="12">
        <f>+'29'!P513+'30'!P513+'31'!P513</f>
        <v>0</v>
      </c>
      <c r="Q513" s="532"/>
      <c r="R513" s="270">
        <v>1</v>
      </c>
      <c r="S513" s="12">
        <v>14546</v>
      </c>
      <c r="T513" s="12">
        <v>0</v>
      </c>
      <c r="U513" s="271"/>
      <c r="V513" s="533">
        <f t="shared" si="57"/>
        <v>0</v>
      </c>
      <c r="W513" s="533">
        <f t="shared" si="58"/>
        <v>0</v>
      </c>
      <c r="X513" s="257"/>
      <c r="Y513" s="261">
        <f t="shared" si="59"/>
        <v>0</v>
      </c>
      <c r="Z513" s="12">
        <f t="shared" si="60"/>
        <v>0</v>
      </c>
      <c r="AB513" s="13">
        <f t="shared" si="56"/>
        <v>14546</v>
      </c>
      <c r="AF513" s="13">
        <f t="shared" si="61"/>
        <v>14546</v>
      </c>
      <c r="AM513" s="12">
        <f t="shared" si="62"/>
        <v>0</v>
      </c>
      <c r="AN513" s="13">
        <f t="shared" si="63"/>
        <v>14546</v>
      </c>
    </row>
    <row r="514" spans="1:40" x14ac:dyDescent="0.25">
      <c r="A514">
        <v>509</v>
      </c>
      <c r="B514" t="s">
        <v>512</v>
      </c>
      <c r="D514" t="s">
        <v>26</v>
      </c>
      <c r="F514" s="514">
        <f>+'29'!F514+'30'!F514+'31'!F514</f>
        <v>62</v>
      </c>
      <c r="G514" s="12">
        <f>+'29'!G514+'30'!G514+'31'!G514</f>
        <v>748635.55</v>
      </c>
      <c r="H514" s="12">
        <f>+'29'!H514+'30'!H514+'31'!H514</f>
        <v>0</v>
      </c>
      <c r="I514" s="271"/>
      <c r="J514" s="514">
        <f>+'29'!J514+'30'!J514+'31'!J514</f>
        <v>0</v>
      </c>
      <c r="K514" s="12">
        <f>+'29'!K514+'30'!K514+'31'!K514</f>
        <v>0</v>
      </c>
      <c r="L514" s="12">
        <f>+'29'!L514+'30'!L514+'31'!L514</f>
        <v>0</v>
      </c>
      <c r="M514" s="271"/>
      <c r="N514" s="514">
        <f>+'29'!N514+'30'!N514+'31'!N514</f>
        <v>62</v>
      </c>
      <c r="O514" s="12">
        <f>+'29'!O514+'30'!O514+'31'!O514</f>
        <v>748635.55</v>
      </c>
      <c r="P514" s="12">
        <f>+'29'!P514+'30'!P514+'31'!P514</f>
        <v>0</v>
      </c>
      <c r="Q514" s="532"/>
      <c r="R514" s="270">
        <v>0</v>
      </c>
      <c r="S514" s="12">
        <v>0</v>
      </c>
      <c r="T514" s="12">
        <v>0</v>
      </c>
      <c r="U514" s="271"/>
      <c r="V514" s="533">
        <f t="shared" si="57"/>
        <v>62</v>
      </c>
      <c r="W514" s="533">
        <f t="shared" si="58"/>
        <v>748635.55</v>
      </c>
      <c r="X514" s="257"/>
      <c r="Y514" s="261">
        <f t="shared" si="59"/>
        <v>62</v>
      </c>
      <c r="Z514" s="12">
        <f t="shared" si="60"/>
        <v>748635.55</v>
      </c>
      <c r="AB514" s="13">
        <f t="shared" si="56"/>
        <v>748635.55</v>
      </c>
      <c r="AF514" s="13">
        <f t="shared" si="61"/>
        <v>748635.55</v>
      </c>
      <c r="AM514" s="12">
        <f t="shared" si="62"/>
        <v>0</v>
      </c>
      <c r="AN514" s="13">
        <f t="shared" si="63"/>
        <v>748635.55</v>
      </c>
    </row>
    <row r="515" spans="1:40" x14ac:dyDescent="0.25">
      <c r="A515">
        <v>510</v>
      </c>
      <c r="B515" t="s">
        <v>2236</v>
      </c>
      <c r="F515" s="514">
        <f>+'29'!F515+'30'!F515+'31'!F515</f>
        <v>1</v>
      </c>
      <c r="G515" s="12">
        <f>+'29'!G515+'30'!G515+'31'!G515</f>
        <v>22777</v>
      </c>
      <c r="H515" s="12">
        <f>+'29'!H515+'30'!H515+'31'!H515</f>
        <v>0</v>
      </c>
      <c r="I515" s="271"/>
      <c r="J515" s="514">
        <f>+'29'!J515+'30'!J515+'31'!J515</f>
        <v>0</v>
      </c>
      <c r="K515" s="12">
        <f>+'29'!K515+'30'!K515+'31'!K515</f>
        <v>0</v>
      </c>
      <c r="L515" s="12">
        <f>+'29'!L515+'30'!L515+'31'!L515</f>
        <v>0</v>
      </c>
      <c r="M515" s="271"/>
      <c r="N515" s="514">
        <f>+'29'!N515+'30'!N515+'31'!N515</f>
        <v>1</v>
      </c>
      <c r="O515" s="12">
        <f>+'29'!O515+'30'!O515+'31'!O515</f>
        <v>22777</v>
      </c>
      <c r="P515" s="12">
        <f>+'29'!P515+'30'!P515+'31'!P515</f>
        <v>0</v>
      </c>
      <c r="Q515" s="532"/>
      <c r="R515" s="270">
        <v>0</v>
      </c>
      <c r="S515" s="12">
        <v>0</v>
      </c>
      <c r="T515" s="12">
        <v>0</v>
      </c>
      <c r="U515" s="271"/>
      <c r="V515" s="533">
        <f t="shared" si="57"/>
        <v>1</v>
      </c>
      <c r="W515" s="533">
        <f t="shared" si="58"/>
        <v>22777</v>
      </c>
      <c r="X515" s="257"/>
      <c r="Y515" s="261">
        <f t="shared" si="59"/>
        <v>1</v>
      </c>
      <c r="Z515" s="12">
        <f t="shared" si="60"/>
        <v>22777</v>
      </c>
      <c r="AB515" s="13">
        <f t="shared" si="56"/>
        <v>22777</v>
      </c>
      <c r="AF515" s="13">
        <f t="shared" si="61"/>
        <v>22777</v>
      </c>
      <c r="AM515" s="12">
        <f t="shared" si="62"/>
        <v>0</v>
      </c>
      <c r="AN515" s="13">
        <f t="shared" si="63"/>
        <v>22777</v>
      </c>
    </row>
    <row r="516" spans="1:40" x14ac:dyDescent="0.25">
      <c r="A516">
        <v>511</v>
      </c>
      <c r="B516" t="s">
        <v>2430</v>
      </c>
      <c r="F516" s="514">
        <f>+'29'!F516+'30'!F516+'31'!F516</f>
        <v>1</v>
      </c>
      <c r="G516" s="12">
        <f>+'29'!G516+'30'!G516+'31'!G516</f>
        <v>5000</v>
      </c>
      <c r="H516" s="12">
        <f>+'29'!H516+'30'!H516+'31'!H516</f>
        <v>0</v>
      </c>
      <c r="I516" s="271"/>
      <c r="J516" s="514">
        <f>+'29'!J516+'30'!J516+'31'!J516</f>
        <v>0</v>
      </c>
      <c r="K516" s="12">
        <f>+'29'!K516+'30'!K516+'31'!K516</f>
        <v>0</v>
      </c>
      <c r="L516" s="12">
        <f>+'29'!L516+'30'!L516+'31'!L516</f>
        <v>0</v>
      </c>
      <c r="M516" s="271"/>
      <c r="N516" s="514">
        <f>+'29'!N516+'30'!N516+'31'!N516</f>
        <v>1</v>
      </c>
      <c r="O516" s="12">
        <f>+'29'!O516+'30'!O516+'31'!O516</f>
        <v>5000</v>
      </c>
      <c r="P516" s="12">
        <f>+'29'!P516+'30'!P516+'31'!P516</f>
        <v>0</v>
      </c>
      <c r="Q516" s="532"/>
      <c r="R516" s="270">
        <v>0</v>
      </c>
      <c r="S516" s="12">
        <v>0</v>
      </c>
      <c r="T516" s="12">
        <v>0</v>
      </c>
      <c r="U516" s="271"/>
      <c r="V516" s="533">
        <f t="shared" si="57"/>
        <v>1</v>
      </c>
      <c r="W516" s="533">
        <f t="shared" si="58"/>
        <v>5000</v>
      </c>
      <c r="X516" s="257"/>
      <c r="Y516" s="261">
        <f t="shared" si="59"/>
        <v>1</v>
      </c>
      <c r="Z516" s="12">
        <f t="shared" si="60"/>
        <v>5000</v>
      </c>
      <c r="AB516" s="13">
        <f t="shared" si="56"/>
        <v>5000</v>
      </c>
      <c r="AF516" s="13">
        <f t="shared" si="61"/>
        <v>5000</v>
      </c>
      <c r="AM516" s="12">
        <f t="shared" si="62"/>
        <v>0</v>
      </c>
      <c r="AN516" s="13">
        <f t="shared" si="63"/>
        <v>5000</v>
      </c>
    </row>
    <row r="517" spans="1:40" x14ac:dyDescent="0.25">
      <c r="A517">
        <v>512</v>
      </c>
      <c r="B517" t="s">
        <v>3226</v>
      </c>
      <c r="F517" s="514">
        <f>+'29'!F517+'30'!F517+'31'!F517</f>
        <v>0</v>
      </c>
      <c r="G517" s="12">
        <f>+'29'!G517+'30'!G517+'31'!G517</f>
        <v>0</v>
      </c>
      <c r="H517" s="12">
        <f>+'29'!H517+'30'!H517+'31'!H517</f>
        <v>0</v>
      </c>
      <c r="I517" s="271"/>
      <c r="J517" s="514">
        <f>+'29'!J517+'30'!J517+'31'!J517</f>
        <v>0</v>
      </c>
      <c r="K517" s="12">
        <f>+'29'!K517+'30'!K517+'31'!K517</f>
        <v>0</v>
      </c>
      <c r="L517" s="12">
        <f>+'29'!L517+'30'!L517+'31'!L517</f>
        <v>0</v>
      </c>
      <c r="M517" s="271"/>
      <c r="N517" s="514">
        <f>+'29'!N517+'30'!N517+'31'!N517</f>
        <v>0</v>
      </c>
      <c r="O517" s="12">
        <f>+'29'!O517+'30'!O517+'31'!O517</f>
        <v>0</v>
      </c>
      <c r="P517" s="12">
        <f>+'29'!P517+'30'!P517+'31'!P517</f>
        <v>0</v>
      </c>
      <c r="Q517" s="532"/>
      <c r="R517" s="270">
        <v>0</v>
      </c>
      <c r="S517" s="12">
        <v>0</v>
      </c>
      <c r="T517" s="12">
        <v>0</v>
      </c>
      <c r="U517" s="271"/>
      <c r="V517" s="533">
        <f t="shared" si="57"/>
        <v>0</v>
      </c>
      <c r="W517" s="533">
        <f t="shared" si="58"/>
        <v>0</v>
      </c>
      <c r="X517" s="257"/>
      <c r="Y517" s="261">
        <f t="shared" si="59"/>
        <v>0</v>
      </c>
      <c r="Z517" s="12">
        <f t="shared" si="60"/>
        <v>0</v>
      </c>
      <c r="AB517" s="13">
        <f t="shared" si="56"/>
        <v>0</v>
      </c>
      <c r="AF517" s="13">
        <f t="shared" si="61"/>
        <v>0</v>
      </c>
      <c r="AM517" s="12">
        <f t="shared" si="62"/>
        <v>0</v>
      </c>
      <c r="AN517" s="13">
        <f t="shared" si="63"/>
        <v>0</v>
      </c>
    </row>
    <row r="518" spans="1:40" x14ac:dyDescent="0.25">
      <c r="A518">
        <v>513</v>
      </c>
      <c r="B518" t="s">
        <v>2237</v>
      </c>
      <c r="F518" s="514">
        <f>+'29'!F518+'30'!F518+'31'!F518</f>
        <v>61</v>
      </c>
      <c r="G518" s="12">
        <f>+'29'!G518+'30'!G518+'31'!G518</f>
        <v>129124.54</v>
      </c>
      <c r="H518" s="12">
        <f>+'29'!H518+'30'!H518+'31'!H518</f>
        <v>0</v>
      </c>
      <c r="I518" s="271"/>
      <c r="J518" s="514">
        <f>+'29'!J518+'30'!J518+'31'!J518</f>
        <v>0</v>
      </c>
      <c r="K518" s="12">
        <f>+'29'!K518+'30'!K518+'31'!K518</f>
        <v>0</v>
      </c>
      <c r="L518" s="12">
        <f>+'29'!L518+'30'!L518+'31'!L518</f>
        <v>0</v>
      </c>
      <c r="M518" s="271"/>
      <c r="N518" s="514">
        <f>+'29'!N518+'30'!N518+'31'!N518</f>
        <v>61</v>
      </c>
      <c r="O518" s="12">
        <f>+'29'!O518+'30'!O518+'31'!O518</f>
        <v>129124.54</v>
      </c>
      <c r="P518" s="12">
        <f>+'29'!P518+'30'!P518+'31'!P518</f>
        <v>0</v>
      </c>
      <c r="Q518" s="532"/>
      <c r="R518" s="270">
        <v>0</v>
      </c>
      <c r="S518" s="12">
        <v>0</v>
      </c>
      <c r="T518" s="12">
        <v>0</v>
      </c>
      <c r="U518" s="271"/>
      <c r="V518" s="533">
        <f t="shared" si="57"/>
        <v>61</v>
      </c>
      <c r="W518" s="533">
        <f t="shared" si="58"/>
        <v>129124.54</v>
      </c>
      <c r="X518" s="257"/>
      <c r="Y518" s="261">
        <f t="shared" si="59"/>
        <v>61</v>
      </c>
      <c r="Z518" s="12">
        <f t="shared" si="60"/>
        <v>129124.54</v>
      </c>
      <c r="AB518" s="13">
        <f t="shared" ref="AB518:AB581" si="64">O518</f>
        <v>129124.54</v>
      </c>
      <c r="AF518" s="13">
        <f t="shared" si="61"/>
        <v>129124.54</v>
      </c>
      <c r="AM518" s="12">
        <f t="shared" si="62"/>
        <v>0</v>
      </c>
      <c r="AN518" s="13">
        <f t="shared" si="63"/>
        <v>129124.54</v>
      </c>
    </row>
    <row r="519" spans="1:40" x14ac:dyDescent="0.25">
      <c r="A519">
        <v>514</v>
      </c>
      <c r="B519" t="s">
        <v>521</v>
      </c>
      <c r="C519" t="s">
        <v>136</v>
      </c>
      <c r="D519" t="s">
        <v>16</v>
      </c>
      <c r="F519" s="514">
        <f>+'29'!F519+'30'!F519+'31'!F519</f>
        <v>530</v>
      </c>
      <c r="G519" s="12">
        <f>+'29'!G519+'30'!G519+'31'!G519</f>
        <v>159965</v>
      </c>
      <c r="H519" s="12">
        <f>+'29'!H519+'30'!H519+'31'!H519</f>
        <v>0</v>
      </c>
      <c r="I519" s="271"/>
      <c r="J519" s="514">
        <f>+'29'!J519+'30'!J519+'31'!J519</f>
        <v>0</v>
      </c>
      <c r="K519" s="12">
        <f>+'29'!K519+'30'!K519+'31'!K519</f>
        <v>0</v>
      </c>
      <c r="L519" s="12">
        <f>+'29'!L519+'30'!L519+'31'!L519</f>
        <v>0</v>
      </c>
      <c r="M519" s="271"/>
      <c r="N519" s="514">
        <f>+'29'!N519+'30'!N519+'31'!N519</f>
        <v>530</v>
      </c>
      <c r="O519" s="12">
        <f>+'29'!O519+'30'!O519+'31'!O519</f>
        <v>159965</v>
      </c>
      <c r="P519" s="12">
        <f>+'29'!P519+'30'!P519+'31'!P519</f>
        <v>0</v>
      </c>
      <c r="Q519" s="532"/>
      <c r="R519" s="270">
        <v>0</v>
      </c>
      <c r="S519" s="12">
        <v>0</v>
      </c>
      <c r="T519" s="12">
        <v>0</v>
      </c>
      <c r="U519" s="271"/>
      <c r="V519" s="533">
        <f t="shared" ref="V519:V582" si="65">N519-R519</f>
        <v>530</v>
      </c>
      <c r="W519" s="533">
        <f t="shared" ref="W519:W582" si="66">O519-S519</f>
        <v>159965</v>
      </c>
      <c r="X519" s="257"/>
      <c r="Y519" s="261">
        <f t="shared" ref="Y519:Y582" si="67">V519</f>
        <v>530</v>
      </c>
      <c r="Z519" s="12">
        <f t="shared" ref="Z519:Z582" si="68">W519</f>
        <v>159965</v>
      </c>
      <c r="AB519" s="13">
        <f t="shared" si="64"/>
        <v>159965</v>
      </c>
      <c r="AF519" s="13">
        <f t="shared" ref="AF519:AF582" si="69">AB519-AD519</f>
        <v>159965</v>
      </c>
      <c r="AM519" s="12">
        <f t="shared" ref="AM519:AM582" si="70">SUM(AG519:AL519)</f>
        <v>0</v>
      </c>
      <c r="AN519" s="13">
        <f t="shared" ref="AN519:AN582" si="71">AF519-AM519</f>
        <v>159965</v>
      </c>
    </row>
    <row r="520" spans="1:40" x14ac:dyDescent="0.25">
      <c r="A520">
        <v>515</v>
      </c>
      <c r="B520" t="s">
        <v>513</v>
      </c>
      <c r="C520" t="s">
        <v>27</v>
      </c>
      <c r="D520" t="s">
        <v>16</v>
      </c>
      <c r="F520" s="514">
        <f>+'29'!F520+'30'!F520+'31'!F520</f>
        <v>54</v>
      </c>
      <c r="G520" s="12">
        <f>+'29'!G520+'30'!G520+'31'!G520</f>
        <v>619600.48</v>
      </c>
      <c r="H520" s="12">
        <f>+'29'!H520+'30'!H520+'31'!H520</f>
        <v>1225</v>
      </c>
      <c r="I520" s="271"/>
      <c r="J520" s="514">
        <f>+'29'!J520+'30'!J520+'31'!J520</f>
        <v>0</v>
      </c>
      <c r="K520" s="12">
        <f>+'29'!K520+'30'!K520+'31'!K520</f>
        <v>0</v>
      </c>
      <c r="L520" s="12">
        <f>+'29'!L520+'30'!L520+'31'!L520</f>
        <v>0</v>
      </c>
      <c r="M520" s="271"/>
      <c r="N520" s="514">
        <f>+'29'!N520+'30'!N520+'31'!N520</f>
        <v>54</v>
      </c>
      <c r="O520" s="12">
        <f>+'29'!O520+'30'!O520+'31'!O520</f>
        <v>619600.48</v>
      </c>
      <c r="P520" s="12">
        <f>+'29'!P520+'30'!P520+'31'!P520</f>
        <v>1225</v>
      </c>
      <c r="Q520" s="532"/>
      <c r="R520" s="270">
        <v>54</v>
      </c>
      <c r="S520" s="12">
        <v>619600.48</v>
      </c>
      <c r="T520" s="12">
        <v>0</v>
      </c>
      <c r="U520" s="271"/>
      <c r="V520" s="533">
        <f t="shared" si="65"/>
        <v>0</v>
      </c>
      <c r="W520" s="533">
        <f t="shared" si="66"/>
        <v>0</v>
      </c>
      <c r="X520" s="257"/>
      <c r="Y520" s="261">
        <f t="shared" si="67"/>
        <v>0</v>
      </c>
      <c r="Z520" s="12">
        <f t="shared" si="68"/>
        <v>0</v>
      </c>
      <c r="AB520" s="13">
        <f t="shared" si="64"/>
        <v>619600.48</v>
      </c>
      <c r="AF520" s="13">
        <f t="shared" si="69"/>
        <v>619600.48</v>
      </c>
      <c r="AM520" s="12">
        <f t="shared" si="70"/>
        <v>0</v>
      </c>
      <c r="AN520" s="13">
        <f t="shared" si="71"/>
        <v>619600.48</v>
      </c>
    </row>
    <row r="521" spans="1:40" x14ac:dyDescent="0.25">
      <c r="A521">
        <v>516</v>
      </c>
      <c r="B521" t="s">
        <v>3232</v>
      </c>
      <c r="C521" t="s">
        <v>525</v>
      </c>
      <c r="D521" t="s">
        <v>3231</v>
      </c>
      <c r="F521" s="514">
        <f>+'29'!F521+'30'!F521+'31'!F521</f>
        <v>17</v>
      </c>
      <c r="G521" s="12">
        <f>+'29'!G521+'30'!G521+'31'!G521</f>
        <v>512194</v>
      </c>
      <c r="H521" s="12">
        <f>+'29'!H521+'30'!H521+'31'!H521</f>
        <v>810</v>
      </c>
      <c r="I521" s="271"/>
      <c r="J521" s="514">
        <f>+'29'!J521+'30'!J521+'31'!J521</f>
        <v>0</v>
      </c>
      <c r="K521" s="12">
        <f>+'29'!K521+'30'!K521+'31'!K521</f>
        <v>0</v>
      </c>
      <c r="L521" s="12">
        <f>+'29'!L521+'30'!L521+'31'!L521</f>
        <v>0</v>
      </c>
      <c r="M521" s="271"/>
      <c r="N521" s="514">
        <f>+'29'!N521+'30'!N521+'31'!N521</f>
        <v>17</v>
      </c>
      <c r="O521" s="12">
        <f>+'29'!O521+'30'!O521+'31'!O521</f>
        <v>512194</v>
      </c>
      <c r="P521" s="12">
        <f>+'29'!P521+'30'!P521+'31'!P521</f>
        <v>810</v>
      </c>
      <c r="Q521" s="532"/>
      <c r="R521" s="270">
        <v>17</v>
      </c>
      <c r="S521" s="12">
        <v>512194</v>
      </c>
      <c r="T521" s="12">
        <v>0</v>
      </c>
      <c r="U521" s="271"/>
      <c r="V521" s="533">
        <f t="shared" si="65"/>
        <v>0</v>
      </c>
      <c r="W521" s="533">
        <f t="shared" si="66"/>
        <v>0</v>
      </c>
      <c r="X521" s="257"/>
      <c r="Y521" s="261">
        <f t="shared" si="67"/>
        <v>0</v>
      </c>
      <c r="Z521" s="12">
        <f t="shared" si="68"/>
        <v>0</v>
      </c>
      <c r="AB521" s="13">
        <f t="shared" si="64"/>
        <v>512194</v>
      </c>
      <c r="AF521" s="13">
        <f t="shared" si="69"/>
        <v>512194</v>
      </c>
      <c r="AM521" s="12">
        <f t="shared" si="70"/>
        <v>0</v>
      </c>
      <c r="AN521" s="13">
        <f t="shared" si="71"/>
        <v>512194</v>
      </c>
    </row>
    <row r="522" spans="1:40" x14ac:dyDescent="0.25">
      <c r="A522">
        <v>517</v>
      </c>
      <c r="B522" t="s">
        <v>514</v>
      </c>
      <c r="C522" t="s">
        <v>18</v>
      </c>
      <c r="D522" t="s">
        <v>16</v>
      </c>
      <c r="F522" s="514">
        <f>+'29'!F522+'30'!F522+'31'!F522</f>
        <v>4</v>
      </c>
      <c r="G522" s="12">
        <f>+'29'!G522+'30'!G522+'31'!G522</f>
        <v>29198</v>
      </c>
      <c r="H522" s="12">
        <f>+'29'!H522+'30'!H522+'31'!H522</f>
        <v>160</v>
      </c>
      <c r="I522" s="271"/>
      <c r="J522" s="514">
        <f>+'29'!J522+'30'!J522+'31'!J522</f>
        <v>0</v>
      </c>
      <c r="K522" s="12">
        <f>+'29'!K522+'30'!K522+'31'!K522</f>
        <v>0</v>
      </c>
      <c r="L522" s="12">
        <f>+'29'!L522+'30'!L522+'31'!L522</f>
        <v>0</v>
      </c>
      <c r="M522" s="271"/>
      <c r="N522" s="514">
        <f>+'29'!N522+'30'!N522+'31'!N522</f>
        <v>4</v>
      </c>
      <c r="O522" s="12">
        <f>+'29'!O522+'30'!O522+'31'!O522</f>
        <v>29198</v>
      </c>
      <c r="P522" s="12">
        <f>+'29'!P522+'30'!P522+'31'!P522</f>
        <v>160</v>
      </c>
      <c r="Q522" s="532"/>
      <c r="R522" s="270">
        <v>4</v>
      </c>
      <c r="S522" s="12">
        <v>29198</v>
      </c>
      <c r="T522" s="12">
        <v>0</v>
      </c>
      <c r="U522" s="271"/>
      <c r="V522" s="533">
        <f t="shared" si="65"/>
        <v>0</v>
      </c>
      <c r="W522" s="533">
        <f t="shared" si="66"/>
        <v>0</v>
      </c>
      <c r="X522" s="257"/>
      <c r="Y522" s="261">
        <f t="shared" si="67"/>
        <v>0</v>
      </c>
      <c r="Z522" s="12">
        <f t="shared" si="68"/>
        <v>0</v>
      </c>
      <c r="AB522" s="13">
        <f t="shared" si="64"/>
        <v>29198</v>
      </c>
      <c r="AD522" s="16"/>
      <c r="AF522" s="13">
        <f t="shared" si="69"/>
        <v>29198</v>
      </c>
      <c r="AG522" s="16"/>
      <c r="AI522" s="33"/>
      <c r="AL522" s="13"/>
      <c r="AM522" s="12">
        <f t="shared" si="70"/>
        <v>0</v>
      </c>
      <c r="AN522" s="13">
        <f t="shared" si="71"/>
        <v>29198</v>
      </c>
    </row>
    <row r="523" spans="1:40" x14ac:dyDescent="0.25">
      <c r="A523">
        <v>518</v>
      </c>
      <c r="B523" t="s">
        <v>517</v>
      </c>
      <c r="D523" t="s">
        <v>516</v>
      </c>
      <c r="F523" s="514">
        <f>+'29'!F523+'30'!F523+'31'!F523</f>
        <v>459</v>
      </c>
      <c r="G523" s="12">
        <f>+'29'!G523+'30'!G523+'31'!G523</f>
        <v>3182928.7199999997</v>
      </c>
      <c r="H523" s="12">
        <f>+'29'!H523+'30'!H523+'31'!H523</f>
        <v>9180</v>
      </c>
      <c r="I523" s="271"/>
      <c r="J523" s="514">
        <f>+'29'!J523+'30'!J523+'31'!J523</f>
        <v>0</v>
      </c>
      <c r="K523" s="12">
        <f>+'29'!K523+'30'!K523+'31'!K523</f>
        <v>0</v>
      </c>
      <c r="L523" s="12">
        <f>+'29'!L523+'30'!L523+'31'!L523</f>
        <v>0</v>
      </c>
      <c r="M523" s="271"/>
      <c r="N523" s="514">
        <f>+'29'!N523+'30'!N523+'31'!N523</f>
        <v>459</v>
      </c>
      <c r="O523" s="12">
        <f>+'29'!O523+'30'!O523+'31'!O523</f>
        <v>3182928.7199999997</v>
      </c>
      <c r="P523" s="12">
        <f>+'29'!P523+'30'!P523+'31'!P523</f>
        <v>9180</v>
      </c>
      <c r="Q523" s="532"/>
      <c r="R523" s="270">
        <v>459</v>
      </c>
      <c r="S523" s="12">
        <v>3178420.6842857143</v>
      </c>
      <c r="T523" s="12">
        <v>4508.0357142857147</v>
      </c>
      <c r="U523" s="271"/>
      <c r="V523" s="533">
        <f t="shared" si="65"/>
        <v>0</v>
      </c>
      <c r="W523" s="533">
        <f t="shared" si="66"/>
        <v>4508.0357142854482</v>
      </c>
      <c r="X523" s="257"/>
      <c r="Y523" s="261">
        <f t="shared" si="67"/>
        <v>0</v>
      </c>
      <c r="Z523" s="12">
        <f t="shared" si="68"/>
        <v>4508.0357142854482</v>
      </c>
      <c r="AB523" s="13">
        <f t="shared" si="64"/>
        <v>3182928.7199999997</v>
      </c>
      <c r="AF523" s="13">
        <f t="shared" si="69"/>
        <v>3182928.7199999997</v>
      </c>
      <c r="AG523" s="16"/>
      <c r="AH523" s="33">
        <v>800</v>
      </c>
      <c r="AI523" s="33">
        <v>92428</v>
      </c>
      <c r="AJ523" s="13">
        <v>2980.16</v>
      </c>
      <c r="AL523" s="13"/>
      <c r="AM523" s="12">
        <f t="shared" si="70"/>
        <v>96208.16</v>
      </c>
      <c r="AN523" s="13">
        <f t="shared" si="71"/>
        <v>3086720.5599999996</v>
      </c>
    </row>
    <row r="524" spans="1:40" x14ac:dyDescent="0.25">
      <c r="A524">
        <v>519</v>
      </c>
      <c r="B524" t="s">
        <v>518</v>
      </c>
      <c r="C524" t="s">
        <v>112</v>
      </c>
      <c r="F524" s="514">
        <f>+'29'!F524+'30'!F524+'31'!F524</f>
        <v>0</v>
      </c>
      <c r="G524" s="12">
        <f>+'29'!G524+'30'!G524+'31'!G524</f>
        <v>0</v>
      </c>
      <c r="H524" s="12">
        <f>+'29'!H524+'30'!H524+'31'!H524</f>
        <v>0</v>
      </c>
      <c r="I524" s="271"/>
      <c r="J524" s="514">
        <f>+'29'!J524+'30'!J524+'31'!J524</f>
        <v>0</v>
      </c>
      <c r="K524" s="12">
        <f>+'29'!K524+'30'!K524+'31'!K524</f>
        <v>0</v>
      </c>
      <c r="L524" s="12">
        <f>+'29'!L524+'30'!L524+'31'!L524</f>
        <v>0</v>
      </c>
      <c r="M524" s="271"/>
      <c r="N524" s="514">
        <f>+'29'!N524+'30'!N524+'31'!N524</f>
        <v>0</v>
      </c>
      <c r="O524" s="12">
        <f>+'29'!O524+'30'!O524+'31'!O524</f>
        <v>0</v>
      </c>
      <c r="P524" s="12">
        <f>+'29'!P524+'30'!P524+'31'!P524</f>
        <v>0</v>
      </c>
      <c r="Q524" s="532"/>
      <c r="R524" s="270">
        <v>0</v>
      </c>
      <c r="S524" s="12">
        <v>0</v>
      </c>
      <c r="T524" s="12">
        <v>0</v>
      </c>
      <c r="U524" s="271"/>
      <c r="V524" s="533">
        <f t="shared" si="65"/>
        <v>0</v>
      </c>
      <c r="W524" s="533">
        <f t="shared" si="66"/>
        <v>0</v>
      </c>
      <c r="X524" s="257"/>
      <c r="Y524" s="261">
        <f t="shared" si="67"/>
        <v>0</v>
      </c>
      <c r="Z524" s="12">
        <f t="shared" si="68"/>
        <v>0</v>
      </c>
      <c r="AB524" s="13">
        <f t="shared" si="64"/>
        <v>0</v>
      </c>
      <c r="AD524" s="16"/>
      <c r="AF524" s="13">
        <f t="shared" si="69"/>
        <v>0</v>
      </c>
      <c r="AG524" s="16"/>
      <c r="AM524" s="12">
        <f t="shared" si="70"/>
        <v>0</v>
      </c>
      <c r="AN524" s="13">
        <f t="shared" si="71"/>
        <v>0</v>
      </c>
    </row>
    <row r="525" spans="1:40" x14ac:dyDescent="0.25">
      <c r="A525">
        <v>520</v>
      </c>
      <c r="B525" t="s">
        <v>519</v>
      </c>
      <c r="C525" t="s">
        <v>18</v>
      </c>
      <c r="D525" t="s">
        <v>414</v>
      </c>
      <c r="F525" s="514">
        <f>+'29'!F525+'30'!F525+'31'!F525</f>
        <v>0</v>
      </c>
      <c r="G525" s="12">
        <f>+'29'!G525+'30'!G525+'31'!G525</f>
        <v>0</v>
      </c>
      <c r="H525" s="12">
        <f>+'29'!H525+'30'!H525+'31'!H525</f>
        <v>0</v>
      </c>
      <c r="I525" s="271"/>
      <c r="J525" s="514">
        <f>+'29'!J525+'30'!J525+'31'!J525</f>
        <v>0</v>
      </c>
      <c r="K525" s="12">
        <f>+'29'!K525+'30'!K525+'31'!K525</f>
        <v>0</v>
      </c>
      <c r="L525" s="12">
        <f>+'29'!L525+'30'!L525+'31'!L525</f>
        <v>0</v>
      </c>
      <c r="M525" s="271"/>
      <c r="N525" s="514">
        <f>+'29'!N525+'30'!N525+'31'!N525</f>
        <v>0</v>
      </c>
      <c r="O525" s="12">
        <f>+'29'!O525+'30'!O525+'31'!O525</f>
        <v>0</v>
      </c>
      <c r="P525" s="12">
        <f>+'29'!P525+'30'!P525+'31'!P525</f>
        <v>0</v>
      </c>
      <c r="Q525" s="532"/>
      <c r="R525" s="270">
        <v>0</v>
      </c>
      <c r="S525" s="12">
        <v>0</v>
      </c>
      <c r="T525" s="12">
        <v>0</v>
      </c>
      <c r="U525" s="271"/>
      <c r="V525" s="533">
        <f t="shared" si="65"/>
        <v>0</v>
      </c>
      <c r="W525" s="533">
        <f t="shared" si="66"/>
        <v>0</v>
      </c>
      <c r="X525" s="257"/>
      <c r="Y525" s="261">
        <f t="shared" si="67"/>
        <v>0</v>
      </c>
      <c r="Z525" s="12">
        <f t="shared" si="68"/>
        <v>0</v>
      </c>
      <c r="AB525" s="13">
        <f t="shared" si="64"/>
        <v>0</v>
      </c>
      <c r="AF525" s="13">
        <f t="shared" si="69"/>
        <v>0</v>
      </c>
      <c r="AI525" s="33">
        <v>1000</v>
      </c>
      <c r="AM525" s="12">
        <f t="shared" si="70"/>
        <v>1000</v>
      </c>
      <c r="AN525" s="13">
        <f t="shared" si="71"/>
        <v>-1000</v>
      </c>
    </row>
    <row r="526" spans="1:40" x14ac:dyDescent="0.25">
      <c r="A526">
        <v>521</v>
      </c>
      <c r="B526" t="s">
        <v>520</v>
      </c>
      <c r="D526" t="s">
        <v>16</v>
      </c>
      <c r="F526" s="514">
        <f>+'29'!F526+'30'!F526+'31'!F526</f>
        <v>0</v>
      </c>
      <c r="G526" s="12">
        <f>+'29'!G526+'30'!G526+'31'!G526</f>
        <v>0</v>
      </c>
      <c r="H526" s="12">
        <f>+'29'!H526+'30'!H526+'31'!H526</f>
        <v>0</v>
      </c>
      <c r="I526" s="271"/>
      <c r="J526" s="514">
        <f>+'29'!J526+'30'!J526+'31'!J526</f>
        <v>0</v>
      </c>
      <c r="K526" s="12">
        <f>+'29'!K526+'30'!K526+'31'!K526</f>
        <v>0</v>
      </c>
      <c r="L526" s="12">
        <f>+'29'!L526+'30'!L526+'31'!L526</f>
        <v>0</v>
      </c>
      <c r="M526" s="271"/>
      <c r="N526" s="514">
        <f>+'29'!N526+'30'!N526+'31'!N526</f>
        <v>0</v>
      </c>
      <c r="O526" s="12">
        <f>+'29'!O526+'30'!O526+'31'!O526</f>
        <v>0</v>
      </c>
      <c r="P526" s="12">
        <f>+'29'!P526+'30'!P526+'31'!P526</f>
        <v>0</v>
      </c>
      <c r="Q526" s="532"/>
      <c r="R526" s="270">
        <v>0</v>
      </c>
      <c r="S526" s="12">
        <v>0</v>
      </c>
      <c r="T526" s="12">
        <v>0</v>
      </c>
      <c r="U526" s="271"/>
      <c r="V526" s="533">
        <f t="shared" si="65"/>
        <v>0</v>
      </c>
      <c r="W526" s="533">
        <f t="shared" si="66"/>
        <v>0</v>
      </c>
      <c r="X526" s="257"/>
      <c r="Y526" s="261">
        <f t="shared" si="67"/>
        <v>0</v>
      </c>
      <c r="Z526" s="12">
        <f t="shared" si="68"/>
        <v>0</v>
      </c>
      <c r="AB526" s="13">
        <f t="shared" si="64"/>
        <v>0</v>
      </c>
      <c r="AF526" s="13">
        <f t="shared" si="69"/>
        <v>0</v>
      </c>
      <c r="AG526" s="16"/>
      <c r="AM526" s="12">
        <f t="shared" si="70"/>
        <v>0</v>
      </c>
      <c r="AN526" s="13">
        <f t="shared" si="71"/>
        <v>0</v>
      </c>
    </row>
    <row r="527" spans="1:40" x14ac:dyDescent="0.25">
      <c r="A527">
        <v>522</v>
      </c>
      <c r="B527" t="s">
        <v>522</v>
      </c>
      <c r="C527" t="s">
        <v>366</v>
      </c>
      <c r="D527" t="s">
        <v>16</v>
      </c>
      <c r="F527" s="514">
        <f>+'29'!F527+'30'!F527+'31'!F527</f>
        <v>226</v>
      </c>
      <c r="G527" s="12">
        <f>+'29'!G527+'30'!G527+'31'!G527</f>
        <v>4867988.49</v>
      </c>
      <c r="H527" s="12">
        <f>+'29'!H527+'30'!H527+'31'!H527</f>
        <v>4660</v>
      </c>
      <c r="I527" s="271"/>
      <c r="J527" s="514">
        <f>+'29'!J527+'30'!J527+'31'!J527</f>
        <v>0</v>
      </c>
      <c r="K527" s="12">
        <f>+'29'!K527+'30'!K527+'31'!K527</f>
        <v>0</v>
      </c>
      <c r="L527" s="12">
        <f>+'29'!L527+'30'!L527+'31'!L527</f>
        <v>0</v>
      </c>
      <c r="M527" s="271"/>
      <c r="N527" s="514">
        <f>+'29'!N527+'30'!N527+'31'!N527</f>
        <v>226</v>
      </c>
      <c r="O527" s="12">
        <f>+'29'!O527+'30'!O527+'31'!O527</f>
        <v>4867988.49</v>
      </c>
      <c r="P527" s="12">
        <f>+'29'!P527+'30'!P527+'31'!P527</f>
        <v>4660</v>
      </c>
      <c r="Q527" s="532"/>
      <c r="R527" s="270">
        <v>226</v>
      </c>
      <c r="S527" s="12">
        <v>4867988.49</v>
      </c>
      <c r="T527" s="12">
        <v>0</v>
      </c>
      <c r="U527" s="271"/>
      <c r="V527" s="533">
        <f t="shared" si="65"/>
        <v>0</v>
      </c>
      <c r="W527" s="533">
        <f t="shared" si="66"/>
        <v>0</v>
      </c>
      <c r="X527" s="257"/>
      <c r="Y527" s="261">
        <f t="shared" si="67"/>
        <v>0</v>
      </c>
      <c r="Z527" s="12">
        <f t="shared" si="68"/>
        <v>0</v>
      </c>
      <c r="AB527" s="13">
        <f t="shared" si="64"/>
        <v>4867988.49</v>
      </c>
      <c r="AD527" s="16"/>
      <c r="AF527" s="13">
        <f t="shared" si="69"/>
        <v>4867988.49</v>
      </c>
      <c r="AG527" s="16"/>
      <c r="AM527" s="12">
        <f t="shared" si="70"/>
        <v>0</v>
      </c>
      <c r="AN527" s="13">
        <f t="shared" si="71"/>
        <v>4867988.49</v>
      </c>
    </row>
    <row r="528" spans="1:40" x14ac:dyDescent="0.25">
      <c r="A528">
        <v>523</v>
      </c>
      <c r="B528" t="s">
        <v>523</v>
      </c>
      <c r="C528" t="s">
        <v>41</v>
      </c>
      <c r="D528" t="s">
        <v>16</v>
      </c>
      <c r="F528" s="514">
        <f>+'29'!F528+'30'!F528+'31'!F528</f>
        <v>827</v>
      </c>
      <c r="G528" s="12">
        <f>+'29'!G528+'30'!G528+'31'!G528</f>
        <v>1429250.37</v>
      </c>
      <c r="H528" s="12">
        <f>+'29'!H528+'30'!H528+'31'!H528</f>
        <v>8270</v>
      </c>
      <c r="I528" s="271"/>
      <c r="J528" s="514">
        <f>+'29'!J528+'30'!J528+'31'!J528</f>
        <v>0</v>
      </c>
      <c r="K528" s="12">
        <f>+'29'!K528+'30'!K528+'31'!K528</f>
        <v>0</v>
      </c>
      <c r="L528" s="12">
        <f>+'29'!L528+'30'!L528+'31'!L528</f>
        <v>0</v>
      </c>
      <c r="M528" s="271"/>
      <c r="N528" s="514">
        <f>+'29'!N528+'30'!N528+'31'!N528</f>
        <v>827</v>
      </c>
      <c r="O528" s="12">
        <f>+'29'!O528+'30'!O528+'31'!O528</f>
        <v>1429250.37</v>
      </c>
      <c r="P528" s="12">
        <f>+'29'!P528+'30'!P528+'31'!P528</f>
        <v>8270</v>
      </c>
      <c r="Q528" s="532"/>
      <c r="R528" s="270">
        <v>827</v>
      </c>
      <c r="S528" s="12">
        <v>1429250.37</v>
      </c>
      <c r="T528" s="12">
        <v>0</v>
      </c>
      <c r="U528" s="271"/>
      <c r="V528" s="533">
        <f t="shared" si="65"/>
        <v>0</v>
      </c>
      <c r="W528" s="533">
        <f t="shared" si="66"/>
        <v>0</v>
      </c>
      <c r="X528" s="257"/>
      <c r="Y528" s="261">
        <f t="shared" si="67"/>
        <v>0</v>
      </c>
      <c r="Z528" s="12">
        <f t="shared" si="68"/>
        <v>0</v>
      </c>
      <c r="AB528" s="13">
        <f t="shared" si="64"/>
        <v>1429250.37</v>
      </c>
      <c r="AF528" s="13">
        <f t="shared" si="69"/>
        <v>1429250.37</v>
      </c>
      <c r="AM528" s="12">
        <f t="shared" si="70"/>
        <v>0</v>
      </c>
      <c r="AN528" s="13">
        <f t="shared" si="71"/>
        <v>1429250.37</v>
      </c>
    </row>
    <row r="529" spans="1:40" x14ac:dyDescent="0.25">
      <c r="A529">
        <v>524</v>
      </c>
      <c r="B529" t="s">
        <v>524</v>
      </c>
      <c r="C529" t="s">
        <v>525</v>
      </c>
      <c r="D529" t="s">
        <v>16</v>
      </c>
      <c r="F529" s="514">
        <f>+'29'!F529+'30'!F529+'31'!F529</f>
        <v>2</v>
      </c>
      <c r="G529" s="12">
        <f>+'29'!G529+'30'!G529+'31'!G529</f>
        <v>1799.06</v>
      </c>
      <c r="H529" s="12">
        <f>+'29'!H529+'30'!H529+'31'!H529</f>
        <v>20</v>
      </c>
      <c r="I529" s="271"/>
      <c r="J529" s="514">
        <f>+'29'!J529+'30'!J529+'31'!J529</f>
        <v>0</v>
      </c>
      <c r="K529" s="12">
        <f>+'29'!K529+'30'!K529+'31'!K529</f>
        <v>0</v>
      </c>
      <c r="L529" s="12">
        <f>+'29'!L529+'30'!L529+'31'!L529</f>
        <v>0</v>
      </c>
      <c r="M529" s="271"/>
      <c r="N529" s="514">
        <f>+'29'!N529+'30'!N529+'31'!N529</f>
        <v>2</v>
      </c>
      <c r="O529" s="12">
        <f>+'29'!O529+'30'!O529+'31'!O529</f>
        <v>1799.06</v>
      </c>
      <c r="P529" s="12">
        <f>+'29'!P529+'30'!P529+'31'!P529</f>
        <v>20</v>
      </c>
      <c r="Q529" s="532"/>
      <c r="R529" s="270">
        <v>2</v>
      </c>
      <c r="S529" s="12">
        <v>1799.06</v>
      </c>
      <c r="T529" s="12">
        <v>0</v>
      </c>
      <c r="U529" s="271"/>
      <c r="V529" s="533">
        <f t="shared" si="65"/>
        <v>0</v>
      </c>
      <c r="W529" s="533">
        <f t="shared" si="66"/>
        <v>0</v>
      </c>
      <c r="X529" s="257"/>
      <c r="Y529" s="261">
        <f t="shared" si="67"/>
        <v>0</v>
      </c>
      <c r="Z529" s="12">
        <f t="shared" si="68"/>
        <v>0</v>
      </c>
      <c r="AB529" s="13">
        <f t="shared" si="64"/>
        <v>1799.06</v>
      </c>
      <c r="AF529" s="13">
        <f t="shared" si="69"/>
        <v>1799.06</v>
      </c>
      <c r="AM529" s="12">
        <f t="shared" si="70"/>
        <v>0</v>
      </c>
      <c r="AN529" s="13">
        <f t="shared" si="71"/>
        <v>1799.06</v>
      </c>
    </row>
    <row r="530" spans="1:40" x14ac:dyDescent="0.25">
      <c r="A530">
        <v>525</v>
      </c>
      <c r="B530" t="s">
        <v>526</v>
      </c>
      <c r="C530" t="s">
        <v>148</v>
      </c>
      <c r="D530" t="s">
        <v>16</v>
      </c>
      <c r="F530" s="514">
        <f>+'29'!F530+'30'!F530+'31'!F530</f>
        <v>1</v>
      </c>
      <c r="G530" s="12">
        <f>+'29'!G530+'30'!G530+'31'!G530</f>
        <v>8000</v>
      </c>
      <c r="H530" s="12">
        <f>+'29'!H530+'30'!H530+'31'!H530</f>
        <v>50</v>
      </c>
      <c r="I530" s="271"/>
      <c r="J530" s="514">
        <f>+'29'!J530+'30'!J530+'31'!J530</f>
        <v>0</v>
      </c>
      <c r="K530" s="12">
        <f>+'29'!K530+'30'!K530+'31'!K530</f>
        <v>0</v>
      </c>
      <c r="L530" s="12">
        <f>+'29'!L530+'30'!L530+'31'!L530</f>
        <v>0</v>
      </c>
      <c r="M530" s="271"/>
      <c r="N530" s="514">
        <f>+'29'!N530+'30'!N530+'31'!N530</f>
        <v>1</v>
      </c>
      <c r="O530" s="12">
        <f>+'29'!O530+'30'!O530+'31'!O530</f>
        <v>8000</v>
      </c>
      <c r="P530" s="12">
        <f>+'29'!P530+'30'!P530+'31'!P530</f>
        <v>50</v>
      </c>
      <c r="Q530" s="532"/>
      <c r="R530" s="270">
        <v>1</v>
      </c>
      <c r="S530" s="12">
        <v>8000</v>
      </c>
      <c r="T530" s="12">
        <v>0</v>
      </c>
      <c r="U530" s="271"/>
      <c r="V530" s="533">
        <f t="shared" si="65"/>
        <v>0</v>
      </c>
      <c r="W530" s="533">
        <f t="shared" si="66"/>
        <v>0</v>
      </c>
      <c r="X530" s="257"/>
      <c r="Y530" s="261">
        <f t="shared" si="67"/>
        <v>0</v>
      </c>
      <c r="Z530" s="12">
        <f t="shared" si="68"/>
        <v>0</v>
      </c>
      <c r="AB530" s="13">
        <f t="shared" si="64"/>
        <v>8000</v>
      </c>
      <c r="AF530" s="13">
        <f t="shared" si="69"/>
        <v>8000</v>
      </c>
      <c r="AM530" s="12">
        <f t="shared" si="70"/>
        <v>0</v>
      </c>
      <c r="AN530" s="13">
        <f t="shared" si="71"/>
        <v>8000</v>
      </c>
    </row>
    <row r="531" spans="1:40" x14ac:dyDescent="0.25">
      <c r="A531">
        <v>526</v>
      </c>
      <c r="B531" t="s">
        <v>2996</v>
      </c>
      <c r="C531" t="s">
        <v>15</v>
      </c>
      <c r="D531" t="s">
        <v>16</v>
      </c>
      <c r="F531" s="514">
        <f>+'29'!F531+'30'!F531+'31'!F531</f>
        <v>10</v>
      </c>
      <c r="G531" s="12">
        <f>+'29'!G531+'30'!G531+'31'!G531</f>
        <v>220450.93</v>
      </c>
      <c r="H531" s="12">
        <f>+'29'!H531+'30'!H531+'31'!H531</f>
        <v>550</v>
      </c>
      <c r="I531" s="271"/>
      <c r="J531" s="514">
        <f>+'29'!J531+'30'!J531+'31'!J531</f>
        <v>0</v>
      </c>
      <c r="K531" s="12">
        <f>+'29'!K531+'30'!K531+'31'!K531</f>
        <v>0</v>
      </c>
      <c r="L531" s="12">
        <f>+'29'!L531+'30'!L531+'31'!L531</f>
        <v>0</v>
      </c>
      <c r="M531" s="271"/>
      <c r="N531" s="514">
        <f>+'29'!N531+'30'!N531+'31'!N531</f>
        <v>10</v>
      </c>
      <c r="O531" s="12">
        <f>+'29'!O531+'30'!O531+'31'!O531</f>
        <v>220450.93</v>
      </c>
      <c r="P531" s="12">
        <f>+'29'!P531+'30'!P531+'31'!P531</f>
        <v>550</v>
      </c>
      <c r="Q531" s="532"/>
      <c r="R531" s="270">
        <v>10</v>
      </c>
      <c r="S531" s="12">
        <v>220450.93</v>
      </c>
      <c r="T531" s="12">
        <v>0</v>
      </c>
      <c r="U531" s="271"/>
      <c r="V531" s="533">
        <f t="shared" si="65"/>
        <v>0</v>
      </c>
      <c r="W531" s="533">
        <f t="shared" si="66"/>
        <v>0</v>
      </c>
      <c r="X531" s="257"/>
      <c r="Y531" s="261">
        <f t="shared" si="67"/>
        <v>0</v>
      </c>
      <c r="Z531" s="12">
        <f t="shared" si="68"/>
        <v>0</v>
      </c>
      <c r="AB531" s="13">
        <f t="shared" si="64"/>
        <v>220450.93</v>
      </c>
      <c r="AF531" s="13">
        <f t="shared" si="69"/>
        <v>220450.93</v>
      </c>
      <c r="AG531" s="16">
        <v>10017.857142857143</v>
      </c>
      <c r="AM531" s="12">
        <f t="shared" si="70"/>
        <v>10017.857142857143</v>
      </c>
      <c r="AN531" s="13">
        <f t="shared" si="71"/>
        <v>210433.07285714286</v>
      </c>
    </row>
    <row r="532" spans="1:40" x14ac:dyDescent="0.25">
      <c r="A532">
        <v>527</v>
      </c>
      <c r="B532" t="s">
        <v>527</v>
      </c>
      <c r="C532" t="s">
        <v>27</v>
      </c>
      <c r="D532" t="s">
        <v>16</v>
      </c>
      <c r="F532" s="514">
        <f>+'29'!F532+'30'!F532+'31'!F532</f>
        <v>1</v>
      </c>
      <c r="G532" s="12">
        <f>+'29'!G532+'30'!G532+'31'!G532</f>
        <v>4000</v>
      </c>
      <c r="H532" s="12">
        <f>+'29'!H532+'30'!H532+'31'!H532</f>
        <v>30</v>
      </c>
      <c r="I532" s="271"/>
      <c r="J532" s="514">
        <f>+'29'!J532+'30'!J532+'31'!J532</f>
        <v>0</v>
      </c>
      <c r="K532" s="12">
        <f>+'29'!K532+'30'!K532+'31'!K532</f>
        <v>0</v>
      </c>
      <c r="L532" s="12">
        <f>+'29'!L532+'30'!L532+'31'!L532</f>
        <v>0</v>
      </c>
      <c r="M532" s="271"/>
      <c r="N532" s="514">
        <f>+'29'!N532+'30'!N532+'31'!N532</f>
        <v>1</v>
      </c>
      <c r="O532" s="12">
        <f>+'29'!O532+'30'!O532+'31'!O532</f>
        <v>4000</v>
      </c>
      <c r="P532" s="12">
        <f>+'29'!P532+'30'!P532+'31'!P532</f>
        <v>30</v>
      </c>
      <c r="Q532" s="532"/>
      <c r="R532" s="270">
        <v>1</v>
      </c>
      <c r="S532" s="12">
        <v>4000</v>
      </c>
      <c r="T532" s="12">
        <v>0</v>
      </c>
      <c r="U532" s="271"/>
      <c r="V532" s="533">
        <f t="shared" si="65"/>
        <v>0</v>
      </c>
      <c r="W532" s="533">
        <f t="shared" si="66"/>
        <v>0</v>
      </c>
      <c r="X532" s="257"/>
      <c r="Y532" s="261">
        <f t="shared" si="67"/>
        <v>0</v>
      </c>
      <c r="Z532" s="12">
        <f t="shared" si="68"/>
        <v>0</v>
      </c>
      <c r="AB532" s="13">
        <f t="shared" si="64"/>
        <v>4000</v>
      </c>
      <c r="AF532" s="13">
        <f t="shared" si="69"/>
        <v>4000</v>
      </c>
      <c r="AM532" s="12">
        <f t="shared" si="70"/>
        <v>0</v>
      </c>
      <c r="AN532" s="13">
        <f t="shared" si="71"/>
        <v>4000</v>
      </c>
    </row>
    <row r="533" spans="1:40" x14ac:dyDescent="0.25">
      <c r="A533">
        <v>528</v>
      </c>
      <c r="B533" t="s">
        <v>528</v>
      </c>
      <c r="C533" t="s">
        <v>529</v>
      </c>
      <c r="D533" t="s">
        <v>16</v>
      </c>
      <c r="F533" s="514">
        <f>+'29'!F533+'30'!F533+'31'!F533</f>
        <v>1</v>
      </c>
      <c r="G533" s="12">
        <f>+'29'!G533+'30'!G533+'31'!G533</f>
        <v>5500</v>
      </c>
      <c r="H533" s="12">
        <f>+'29'!H533+'30'!H533+'31'!H533</f>
        <v>20</v>
      </c>
      <c r="I533" s="271"/>
      <c r="J533" s="514">
        <f>+'29'!J533+'30'!J533+'31'!J533</f>
        <v>0</v>
      </c>
      <c r="K533" s="12">
        <f>+'29'!K533+'30'!K533+'31'!K533</f>
        <v>0</v>
      </c>
      <c r="L533" s="12">
        <f>+'29'!L533+'30'!L533+'31'!L533</f>
        <v>0</v>
      </c>
      <c r="M533" s="271"/>
      <c r="N533" s="514">
        <f>+'29'!N533+'30'!N533+'31'!N533</f>
        <v>1</v>
      </c>
      <c r="O533" s="12">
        <f>+'29'!O533+'30'!O533+'31'!O533</f>
        <v>5500</v>
      </c>
      <c r="P533" s="12">
        <f>+'29'!P533+'30'!P533+'31'!P533</f>
        <v>20</v>
      </c>
      <c r="Q533" s="532"/>
      <c r="R533" s="270">
        <v>1</v>
      </c>
      <c r="S533" s="12">
        <v>5500</v>
      </c>
      <c r="T533" s="12">
        <v>0</v>
      </c>
      <c r="U533" s="271"/>
      <c r="V533" s="533">
        <f t="shared" si="65"/>
        <v>0</v>
      </c>
      <c r="W533" s="533">
        <f t="shared" si="66"/>
        <v>0</v>
      </c>
      <c r="X533" s="257"/>
      <c r="Y533" s="261">
        <f t="shared" si="67"/>
        <v>0</v>
      </c>
      <c r="Z533" s="12">
        <f t="shared" si="68"/>
        <v>0</v>
      </c>
      <c r="AB533" s="13">
        <f t="shared" si="64"/>
        <v>5500</v>
      </c>
      <c r="AF533" s="13">
        <f t="shared" si="69"/>
        <v>5500</v>
      </c>
      <c r="AM533" s="12">
        <f t="shared" si="70"/>
        <v>0</v>
      </c>
      <c r="AN533" s="13">
        <f t="shared" si="71"/>
        <v>5500</v>
      </c>
    </row>
    <row r="534" spans="1:40" x14ac:dyDescent="0.25">
      <c r="A534">
        <v>529</v>
      </c>
      <c r="B534" t="s">
        <v>530</v>
      </c>
      <c r="C534" t="s">
        <v>98</v>
      </c>
      <c r="D534" t="s">
        <v>16</v>
      </c>
      <c r="F534" s="514">
        <f>+'29'!F534+'30'!F534+'31'!F534</f>
        <v>1</v>
      </c>
      <c r="G534" s="12">
        <f>+'29'!G534+'30'!G534+'31'!G534</f>
        <v>6000</v>
      </c>
      <c r="H534" s="12">
        <f>+'29'!H534+'30'!H534+'31'!H534</f>
        <v>30</v>
      </c>
      <c r="I534" s="271"/>
      <c r="J534" s="514">
        <f>+'29'!J534+'30'!J534+'31'!J534</f>
        <v>0</v>
      </c>
      <c r="K534" s="12">
        <f>+'29'!K534+'30'!K534+'31'!K534</f>
        <v>0</v>
      </c>
      <c r="L534" s="12">
        <f>+'29'!L534+'30'!L534+'31'!L534</f>
        <v>0</v>
      </c>
      <c r="M534" s="271"/>
      <c r="N534" s="514">
        <f>+'29'!N534+'30'!N534+'31'!N534</f>
        <v>1</v>
      </c>
      <c r="O534" s="12">
        <f>+'29'!O534+'30'!O534+'31'!O534</f>
        <v>6000</v>
      </c>
      <c r="P534" s="12">
        <f>+'29'!P534+'30'!P534+'31'!P534</f>
        <v>30</v>
      </c>
      <c r="Q534" s="532"/>
      <c r="R534" s="270">
        <v>1</v>
      </c>
      <c r="S534" s="12">
        <v>6000</v>
      </c>
      <c r="T534" s="12">
        <v>0</v>
      </c>
      <c r="U534" s="271"/>
      <c r="V534" s="533">
        <f t="shared" si="65"/>
        <v>0</v>
      </c>
      <c r="W534" s="533">
        <f t="shared" si="66"/>
        <v>0</v>
      </c>
      <c r="X534" s="257"/>
      <c r="Y534" s="261">
        <f t="shared" si="67"/>
        <v>0</v>
      </c>
      <c r="Z534" s="12">
        <f t="shared" si="68"/>
        <v>0</v>
      </c>
      <c r="AB534" s="13">
        <f t="shared" si="64"/>
        <v>6000</v>
      </c>
      <c r="AF534" s="13">
        <f t="shared" si="69"/>
        <v>6000</v>
      </c>
      <c r="AM534" s="12">
        <f t="shared" si="70"/>
        <v>0</v>
      </c>
      <c r="AN534" s="13">
        <f t="shared" si="71"/>
        <v>6000</v>
      </c>
    </row>
    <row r="535" spans="1:40" x14ac:dyDescent="0.25">
      <c r="A535">
        <v>530</v>
      </c>
      <c r="B535" t="s">
        <v>531</v>
      </c>
      <c r="C535" t="s">
        <v>18</v>
      </c>
      <c r="D535" t="s">
        <v>16</v>
      </c>
      <c r="F535" s="514">
        <f>+'29'!F535+'30'!F535+'31'!F535</f>
        <v>0</v>
      </c>
      <c r="G535" s="12">
        <f>+'29'!G535+'30'!G535+'31'!G535</f>
        <v>0</v>
      </c>
      <c r="H535" s="12">
        <f>+'29'!H535+'30'!H535+'31'!H535</f>
        <v>0</v>
      </c>
      <c r="I535" s="271"/>
      <c r="J535" s="514">
        <f>+'29'!J535+'30'!J535+'31'!J535</f>
        <v>0</v>
      </c>
      <c r="K535" s="12">
        <f>+'29'!K535+'30'!K535+'31'!K535</f>
        <v>0</v>
      </c>
      <c r="L535" s="12">
        <f>+'29'!L535+'30'!L535+'31'!L535</f>
        <v>0</v>
      </c>
      <c r="M535" s="271"/>
      <c r="N535" s="514">
        <f>+'29'!N535+'30'!N535+'31'!N535</f>
        <v>0</v>
      </c>
      <c r="O535" s="12">
        <f>+'29'!O535+'30'!O535+'31'!O535</f>
        <v>0</v>
      </c>
      <c r="P535" s="12">
        <f>+'29'!P535+'30'!P535+'31'!P535</f>
        <v>0</v>
      </c>
      <c r="Q535" s="532"/>
      <c r="R535" s="270">
        <v>0</v>
      </c>
      <c r="S535" s="12">
        <v>0</v>
      </c>
      <c r="T535" s="12">
        <v>0</v>
      </c>
      <c r="U535" s="271"/>
      <c r="V535" s="533">
        <f t="shared" si="65"/>
        <v>0</v>
      </c>
      <c r="W535" s="533">
        <f t="shared" si="66"/>
        <v>0</v>
      </c>
      <c r="X535" s="257"/>
      <c r="Y535" s="261">
        <f t="shared" si="67"/>
        <v>0</v>
      </c>
      <c r="Z535" s="12">
        <f t="shared" si="68"/>
        <v>0</v>
      </c>
      <c r="AB535" s="13">
        <f t="shared" si="64"/>
        <v>0</v>
      </c>
      <c r="AF535" s="13">
        <f t="shared" si="69"/>
        <v>0</v>
      </c>
      <c r="AM535" s="12">
        <f t="shared" si="70"/>
        <v>0</v>
      </c>
      <c r="AN535" s="13">
        <f t="shared" si="71"/>
        <v>0</v>
      </c>
    </row>
    <row r="536" spans="1:40" x14ac:dyDescent="0.25">
      <c r="A536">
        <v>531</v>
      </c>
      <c r="B536" t="s">
        <v>532</v>
      </c>
      <c r="D536" t="s">
        <v>16</v>
      </c>
      <c r="F536" s="514">
        <f>+'29'!F536+'30'!F536+'31'!F536</f>
        <v>0</v>
      </c>
      <c r="G536" s="12">
        <f>+'29'!G536+'30'!G536+'31'!G536</f>
        <v>0</v>
      </c>
      <c r="H536" s="12">
        <f>+'29'!H536+'30'!H536+'31'!H536</f>
        <v>0</v>
      </c>
      <c r="I536" s="271"/>
      <c r="J536" s="514">
        <f>+'29'!J536+'30'!J536+'31'!J536</f>
        <v>0</v>
      </c>
      <c r="K536" s="12">
        <f>+'29'!K536+'30'!K536+'31'!K536</f>
        <v>0</v>
      </c>
      <c r="L536" s="12">
        <f>+'29'!L536+'30'!L536+'31'!L536</f>
        <v>0</v>
      </c>
      <c r="M536" s="271"/>
      <c r="N536" s="514">
        <f>+'29'!N536+'30'!N536+'31'!N536</f>
        <v>0</v>
      </c>
      <c r="O536" s="12">
        <f>+'29'!O536+'30'!O536+'31'!O536</f>
        <v>0</v>
      </c>
      <c r="P536" s="12">
        <f>+'29'!P536+'30'!P536+'31'!P536</f>
        <v>0</v>
      </c>
      <c r="Q536" s="532"/>
      <c r="R536" s="270">
        <v>0</v>
      </c>
      <c r="S536" s="12">
        <v>0</v>
      </c>
      <c r="T536" s="12">
        <v>0</v>
      </c>
      <c r="U536" s="271"/>
      <c r="V536" s="533">
        <f t="shared" si="65"/>
        <v>0</v>
      </c>
      <c r="W536" s="533">
        <f t="shared" si="66"/>
        <v>0</v>
      </c>
      <c r="X536" s="257"/>
      <c r="Y536" s="261">
        <f t="shared" si="67"/>
        <v>0</v>
      </c>
      <c r="Z536" s="12">
        <f t="shared" si="68"/>
        <v>0</v>
      </c>
      <c r="AB536" s="13">
        <f t="shared" si="64"/>
        <v>0</v>
      </c>
      <c r="AF536" s="13">
        <f t="shared" si="69"/>
        <v>0</v>
      </c>
      <c r="AG536" s="16"/>
      <c r="AM536" s="12">
        <f t="shared" si="70"/>
        <v>0</v>
      </c>
      <c r="AN536" s="13">
        <f t="shared" si="71"/>
        <v>0</v>
      </c>
    </row>
    <row r="537" spans="1:40" x14ac:dyDescent="0.25">
      <c r="A537">
        <v>532</v>
      </c>
      <c r="B537" t="s">
        <v>533</v>
      </c>
      <c r="C537" t="s">
        <v>18</v>
      </c>
      <c r="D537" t="s">
        <v>16</v>
      </c>
      <c r="F537" s="514">
        <f>+'29'!F537+'30'!F537+'31'!F537</f>
        <v>0</v>
      </c>
      <c r="G537" s="12">
        <f>+'29'!G537+'30'!G537+'31'!G537</f>
        <v>0</v>
      </c>
      <c r="H537" s="12">
        <f>+'29'!H537+'30'!H537+'31'!H537</f>
        <v>0</v>
      </c>
      <c r="I537" s="271"/>
      <c r="J537" s="514">
        <f>+'29'!J537+'30'!J537+'31'!J537</f>
        <v>0</v>
      </c>
      <c r="K537" s="12">
        <f>+'29'!K537+'30'!K537+'31'!K537</f>
        <v>0</v>
      </c>
      <c r="L537" s="12">
        <f>+'29'!L537+'30'!L537+'31'!L537</f>
        <v>0</v>
      </c>
      <c r="M537" s="271"/>
      <c r="N537" s="514">
        <f>+'29'!N537+'30'!N537+'31'!N537</f>
        <v>0</v>
      </c>
      <c r="O537" s="12">
        <f>+'29'!O537+'30'!O537+'31'!O537</f>
        <v>0</v>
      </c>
      <c r="P537" s="12">
        <f>+'29'!P537+'30'!P537+'31'!P537</f>
        <v>0</v>
      </c>
      <c r="Q537" s="532"/>
      <c r="R537" s="270">
        <v>0</v>
      </c>
      <c r="S537" s="12">
        <v>0</v>
      </c>
      <c r="T537" s="12">
        <v>0</v>
      </c>
      <c r="U537" s="271"/>
      <c r="V537" s="533">
        <f t="shared" si="65"/>
        <v>0</v>
      </c>
      <c r="W537" s="533">
        <f t="shared" si="66"/>
        <v>0</v>
      </c>
      <c r="X537" s="257"/>
      <c r="Y537" s="261">
        <f t="shared" si="67"/>
        <v>0</v>
      </c>
      <c r="Z537" s="12">
        <f t="shared" si="68"/>
        <v>0</v>
      </c>
      <c r="AB537" s="13">
        <f t="shared" si="64"/>
        <v>0</v>
      </c>
      <c r="AF537" s="13">
        <f t="shared" si="69"/>
        <v>0</v>
      </c>
      <c r="AG537" s="16"/>
      <c r="AM537" s="12">
        <f t="shared" si="70"/>
        <v>0</v>
      </c>
      <c r="AN537" s="13">
        <f t="shared" si="71"/>
        <v>0</v>
      </c>
    </row>
    <row r="538" spans="1:40" x14ac:dyDescent="0.25">
      <c r="A538">
        <v>533</v>
      </c>
      <c r="B538" t="s">
        <v>534</v>
      </c>
      <c r="C538" t="s">
        <v>18</v>
      </c>
      <c r="D538" t="s">
        <v>16</v>
      </c>
      <c r="F538" s="514">
        <f>+'29'!F538+'30'!F538+'31'!F538</f>
        <v>0</v>
      </c>
      <c r="G538" s="12">
        <f>+'29'!G538+'30'!G538+'31'!G538</f>
        <v>0</v>
      </c>
      <c r="H538" s="12">
        <f>+'29'!H538+'30'!H538+'31'!H538</f>
        <v>0</v>
      </c>
      <c r="I538" s="271"/>
      <c r="J538" s="514">
        <f>+'29'!J538+'30'!J538+'31'!J538</f>
        <v>0</v>
      </c>
      <c r="K538" s="12">
        <f>+'29'!K538+'30'!K538+'31'!K538</f>
        <v>0</v>
      </c>
      <c r="L538" s="12">
        <f>+'29'!L538+'30'!L538+'31'!L538</f>
        <v>0</v>
      </c>
      <c r="M538" s="271"/>
      <c r="N538" s="514">
        <f>+'29'!N538+'30'!N538+'31'!N538</f>
        <v>0</v>
      </c>
      <c r="O538" s="12">
        <f>+'29'!O538+'30'!O538+'31'!O538</f>
        <v>0</v>
      </c>
      <c r="P538" s="12">
        <f>+'29'!P538+'30'!P538+'31'!P538</f>
        <v>0</v>
      </c>
      <c r="Q538" s="532"/>
      <c r="R538" s="270">
        <v>0</v>
      </c>
      <c r="S538" s="12">
        <v>0</v>
      </c>
      <c r="T538" s="12">
        <v>0</v>
      </c>
      <c r="U538" s="271"/>
      <c r="V538" s="533">
        <f t="shared" si="65"/>
        <v>0</v>
      </c>
      <c r="W538" s="533">
        <f t="shared" si="66"/>
        <v>0</v>
      </c>
      <c r="X538" s="257"/>
      <c r="Y538" s="261">
        <f t="shared" si="67"/>
        <v>0</v>
      </c>
      <c r="Z538" s="12">
        <f t="shared" si="68"/>
        <v>0</v>
      </c>
      <c r="AB538" s="13">
        <f t="shared" si="64"/>
        <v>0</v>
      </c>
      <c r="AF538" s="13">
        <f t="shared" si="69"/>
        <v>0</v>
      </c>
      <c r="AM538" s="12">
        <f t="shared" si="70"/>
        <v>0</v>
      </c>
      <c r="AN538" s="13">
        <f t="shared" si="71"/>
        <v>0</v>
      </c>
    </row>
    <row r="539" spans="1:40" x14ac:dyDescent="0.25">
      <c r="A539">
        <v>534</v>
      </c>
      <c r="B539" t="s">
        <v>535</v>
      </c>
      <c r="C539" t="s">
        <v>18</v>
      </c>
      <c r="D539" t="s">
        <v>16</v>
      </c>
      <c r="F539" s="514">
        <f>+'29'!F539+'30'!F539+'31'!F539</f>
        <v>0</v>
      </c>
      <c r="G539" s="12">
        <f>+'29'!G539+'30'!G539+'31'!G539</f>
        <v>0</v>
      </c>
      <c r="H539" s="12">
        <f>+'29'!H539+'30'!H539+'31'!H539</f>
        <v>0</v>
      </c>
      <c r="I539" s="271"/>
      <c r="J539" s="514">
        <f>+'29'!J539+'30'!J539+'31'!J539</f>
        <v>0</v>
      </c>
      <c r="K539" s="12">
        <f>+'29'!K539+'30'!K539+'31'!K539</f>
        <v>0</v>
      </c>
      <c r="L539" s="12">
        <f>+'29'!L539+'30'!L539+'31'!L539</f>
        <v>0</v>
      </c>
      <c r="M539" s="271"/>
      <c r="N539" s="514">
        <f>+'29'!N539+'30'!N539+'31'!N539</f>
        <v>0</v>
      </c>
      <c r="O539" s="12">
        <f>+'29'!O539+'30'!O539+'31'!O539</f>
        <v>0</v>
      </c>
      <c r="P539" s="12">
        <f>+'29'!P539+'30'!P539+'31'!P539</f>
        <v>0</v>
      </c>
      <c r="Q539" s="532"/>
      <c r="R539" s="270">
        <v>0</v>
      </c>
      <c r="S539" s="12">
        <v>0</v>
      </c>
      <c r="T539" s="12">
        <v>0</v>
      </c>
      <c r="U539" s="271"/>
      <c r="V539" s="533">
        <f t="shared" si="65"/>
        <v>0</v>
      </c>
      <c r="W539" s="533">
        <f t="shared" si="66"/>
        <v>0</v>
      </c>
      <c r="X539" s="257"/>
      <c r="Y539" s="261">
        <f t="shared" si="67"/>
        <v>0</v>
      </c>
      <c r="Z539" s="12">
        <f t="shared" si="68"/>
        <v>0</v>
      </c>
      <c r="AB539" s="13">
        <f t="shared" si="64"/>
        <v>0</v>
      </c>
      <c r="AF539" s="13">
        <f t="shared" si="69"/>
        <v>0</v>
      </c>
      <c r="AG539" s="16"/>
      <c r="AM539" s="12">
        <f t="shared" si="70"/>
        <v>0</v>
      </c>
      <c r="AN539" s="13">
        <f t="shared" si="71"/>
        <v>0</v>
      </c>
    </row>
    <row r="540" spans="1:40" x14ac:dyDescent="0.25">
      <c r="A540">
        <v>535</v>
      </c>
      <c r="B540" t="s">
        <v>536</v>
      </c>
      <c r="C540" t="s">
        <v>18</v>
      </c>
      <c r="D540" t="s">
        <v>16</v>
      </c>
      <c r="F540" s="514">
        <f>+'29'!F540+'30'!F540+'31'!F540</f>
        <v>0</v>
      </c>
      <c r="G540" s="12">
        <f>+'29'!G540+'30'!G540+'31'!G540</f>
        <v>0</v>
      </c>
      <c r="H540" s="12">
        <f>+'29'!H540+'30'!H540+'31'!H540</f>
        <v>0</v>
      </c>
      <c r="I540" s="271"/>
      <c r="J540" s="514">
        <f>+'29'!J540+'30'!J540+'31'!J540</f>
        <v>0</v>
      </c>
      <c r="K540" s="12">
        <f>+'29'!K540+'30'!K540+'31'!K540</f>
        <v>0</v>
      </c>
      <c r="L540" s="12">
        <f>+'29'!L540+'30'!L540+'31'!L540</f>
        <v>0</v>
      </c>
      <c r="M540" s="271"/>
      <c r="N540" s="514">
        <f>+'29'!N540+'30'!N540+'31'!N540</f>
        <v>0</v>
      </c>
      <c r="O540" s="12">
        <f>+'29'!O540+'30'!O540+'31'!O540</f>
        <v>0</v>
      </c>
      <c r="P540" s="12">
        <f>+'29'!P540+'30'!P540+'31'!P540</f>
        <v>0</v>
      </c>
      <c r="Q540" s="532"/>
      <c r="R540" s="270">
        <v>0</v>
      </c>
      <c r="S540" s="12">
        <v>0</v>
      </c>
      <c r="T540" s="12">
        <v>0</v>
      </c>
      <c r="U540" s="271"/>
      <c r="V540" s="533">
        <f t="shared" si="65"/>
        <v>0</v>
      </c>
      <c r="W540" s="533">
        <f t="shared" si="66"/>
        <v>0</v>
      </c>
      <c r="X540" s="257"/>
      <c r="Y540" s="261">
        <f t="shared" si="67"/>
        <v>0</v>
      </c>
      <c r="Z540" s="12">
        <f t="shared" si="68"/>
        <v>0</v>
      </c>
      <c r="AB540" s="13">
        <f t="shared" si="64"/>
        <v>0</v>
      </c>
      <c r="AF540" s="13">
        <f t="shared" si="69"/>
        <v>0</v>
      </c>
      <c r="AG540" s="16"/>
      <c r="AM540" s="12">
        <f t="shared" si="70"/>
        <v>0</v>
      </c>
      <c r="AN540" s="13">
        <f t="shared" si="71"/>
        <v>0</v>
      </c>
    </row>
    <row r="541" spans="1:40" x14ac:dyDescent="0.25">
      <c r="A541">
        <v>536</v>
      </c>
      <c r="B541" t="s">
        <v>537</v>
      </c>
      <c r="C541" t="s">
        <v>18</v>
      </c>
      <c r="D541" t="s">
        <v>16</v>
      </c>
      <c r="F541" s="514">
        <f>+'29'!F541+'30'!F541+'31'!F541</f>
        <v>0</v>
      </c>
      <c r="G541" s="12">
        <f>+'29'!G541+'30'!G541+'31'!G541</f>
        <v>0</v>
      </c>
      <c r="H541" s="12">
        <f>+'29'!H541+'30'!H541+'31'!H541</f>
        <v>0</v>
      </c>
      <c r="I541" s="271"/>
      <c r="J541" s="514">
        <f>+'29'!J541+'30'!J541+'31'!J541</f>
        <v>0</v>
      </c>
      <c r="K541" s="12">
        <f>+'29'!K541+'30'!K541+'31'!K541</f>
        <v>0</v>
      </c>
      <c r="L541" s="12">
        <f>+'29'!L541+'30'!L541+'31'!L541</f>
        <v>0</v>
      </c>
      <c r="M541" s="271"/>
      <c r="N541" s="514">
        <f>+'29'!N541+'30'!N541+'31'!N541</f>
        <v>0</v>
      </c>
      <c r="O541" s="12">
        <f>+'29'!O541+'30'!O541+'31'!O541</f>
        <v>0</v>
      </c>
      <c r="P541" s="12">
        <f>+'29'!P541+'30'!P541+'31'!P541</f>
        <v>0</v>
      </c>
      <c r="Q541" s="532"/>
      <c r="R541" s="270">
        <v>0</v>
      </c>
      <c r="S541" s="12">
        <v>0</v>
      </c>
      <c r="T541" s="12">
        <v>0</v>
      </c>
      <c r="U541" s="271"/>
      <c r="V541" s="533">
        <f t="shared" si="65"/>
        <v>0</v>
      </c>
      <c r="W541" s="533">
        <f t="shared" si="66"/>
        <v>0</v>
      </c>
      <c r="X541" s="257"/>
      <c r="Y541" s="261">
        <f t="shared" si="67"/>
        <v>0</v>
      </c>
      <c r="Z541" s="12">
        <f t="shared" si="68"/>
        <v>0</v>
      </c>
      <c r="AB541" s="13">
        <f t="shared" si="64"/>
        <v>0</v>
      </c>
      <c r="AF541" s="13">
        <f t="shared" si="69"/>
        <v>0</v>
      </c>
      <c r="AG541" s="16"/>
      <c r="AJ541" s="13"/>
      <c r="AM541" s="12">
        <f t="shared" si="70"/>
        <v>0</v>
      </c>
      <c r="AN541" s="13">
        <f t="shared" si="71"/>
        <v>0</v>
      </c>
    </row>
    <row r="542" spans="1:40" x14ac:dyDescent="0.25">
      <c r="A542">
        <v>537</v>
      </c>
      <c r="B542" t="s">
        <v>538</v>
      </c>
      <c r="C542" t="s">
        <v>18</v>
      </c>
      <c r="D542" t="s">
        <v>16</v>
      </c>
      <c r="F542" s="514">
        <f>+'29'!F542+'30'!F542+'31'!F542</f>
        <v>1</v>
      </c>
      <c r="G542" s="12">
        <f>+'29'!G542+'30'!G542+'31'!G542</f>
        <v>8418</v>
      </c>
      <c r="H542" s="12">
        <f>+'29'!H542+'30'!H542+'31'!H542</f>
        <v>25</v>
      </c>
      <c r="I542" s="271"/>
      <c r="J542" s="514">
        <f>+'29'!J542+'30'!J542+'31'!J542</f>
        <v>0</v>
      </c>
      <c r="K542" s="12">
        <f>+'29'!K542+'30'!K542+'31'!K542</f>
        <v>0</v>
      </c>
      <c r="L542" s="12">
        <f>+'29'!L542+'30'!L542+'31'!L542</f>
        <v>0</v>
      </c>
      <c r="M542" s="271"/>
      <c r="N542" s="514">
        <f>+'29'!N542+'30'!N542+'31'!N542</f>
        <v>1</v>
      </c>
      <c r="O542" s="12">
        <f>+'29'!O542+'30'!O542+'31'!O542</f>
        <v>8418</v>
      </c>
      <c r="P542" s="12">
        <f>+'29'!P542+'30'!P542+'31'!P542</f>
        <v>25</v>
      </c>
      <c r="Q542" s="532"/>
      <c r="R542" s="270">
        <v>1</v>
      </c>
      <c r="S542" s="12">
        <v>8418</v>
      </c>
      <c r="T542" s="12">
        <v>0</v>
      </c>
      <c r="U542" s="271"/>
      <c r="V542" s="533">
        <f t="shared" si="65"/>
        <v>0</v>
      </c>
      <c r="W542" s="533">
        <f t="shared" si="66"/>
        <v>0</v>
      </c>
      <c r="X542" s="257"/>
      <c r="Y542" s="261">
        <f t="shared" si="67"/>
        <v>0</v>
      </c>
      <c r="Z542" s="12">
        <f t="shared" si="68"/>
        <v>0</v>
      </c>
      <c r="AB542" s="13">
        <f t="shared" si="64"/>
        <v>8418</v>
      </c>
      <c r="AD542" s="16"/>
      <c r="AF542" s="13">
        <f t="shared" si="69"/>
        <v>8418</v>
      </c>
      <c r="AG542" s="16"/>
      <c r="AM542" s="12">
        <f t="shared" si="70"/>
        <v>0</v>
      </c>
      <c r="AN542" s="13">
        <f t="shared" si="71"/>
        <v>8418</v>
      </c>
    </row>
    <row r="543" spans="1:40" ht="14.25" customHeight="1" x14ac:dyDescent="0.25">
      <c r="A543">
        <v>538</v>
      </c>
      <c r="B543" t="s">
        <v>539</v>
      </c>
      <c r="C543" t="s">
        <v>18</v>
      </c>
      <c r="D543" t="s">
        <v>16</v>
      </c>
      <c r="F543" s="514">
        <f>+'29'!F543+'30'!F543+'31'!F543</f>
        <v>0</v>
      </c>
      <c r="G543" s="12">
        <f>+'29'!G543+'30'!G543+'31'!G543</f>
        <v>0</v>
      </c>
      <c r="H543" s="12">
        <f>+'29'!H543+'30'!H543+'31'!H543</f>
        <v>0</v>
      </c>
      <c r="I543" s="271"/>
      <c r="J543" s="514">
        <f>+'29'!J543+'30'!J543+'31'!J543</f>
        <v>0</v>
      </c>
      <c r="K543" s="12">
        <f>+'29'!K543+'30'!K543+'31'!K543</f>
        <v>0</v>
      </c>
      <c r="L543" s="12">
        <f>+'29'!L543+'30'!L543+'31'!L543</f>
        <v>0</v>
      </c>
      <c r="M543" s="271"/>
      <c r="N543" s="514">
        <f>+'29'!N543+'30'!N543+'31'!N543</f>
        <v>0</v>
      </c>
      <c r="O543" s="12">
        <f>+'29'!O543+'30'!O543+'31'!O543</f>
        <v>0</v>
      </c>
      <c r="P543" s="12">
        <f>+'29'!P543+'30'!P543+'31'!P543</f>
        <v>0</v>
      </c>
      <c r="Q543" s="532"/>
      <c r="R543" s="270">
        <v>0</v>
      </c>
      <c r="S543" s="12">
        <v>0</v>
      </c>
      <c r="T543" s="12">
        <v>0</v>
      </c>
      <c r="U543" s="271"/>
      <c r="V543" s="533">
        <f t="shared" si="65"/>
        <v>0</v>
      </c>
      <c r="W543" s="533">
        <f t="shared" si="66"/>
        <v>0</v>
      </c>
      <c r="X543" s="257"/>
      <c r="Y543" s="261">
        <f t="shared" si="67"/>
        <v>0</v>
      </c>
      <c r="Z543" s="12">
        <f t="shared" si="68"/>
        <v>0</v>
      </c>
      <c r="AB543" s="13">
        <f t="shared" si="64"/>
        <v>0</v>
      </c>
      <c r="AD543" s="16"/>
      <c r="AF543" s="13">
        <f t="shared" si="69"/>
        <v>0</v>
      </c>
      <c r="AG543" s="16"/>
      <c r="AM543" s="12">
        <f t="shared" si="70"/>
        <v>0</v>
      </c>
      <c r="AN543" s="13">
        <f t="shared" si="71"/>
        <v>0</v>
      </c>
    </row>
    <row r="544" spans="1:40" x14ac:dyDescent="0.25">
      <c r="A544">
        <v>539</v>
      </c>
      <c r="B544" t="s">
        <v>540</v>
      </c>
      <c r="C544" t="s">
        <v>18</v>
      </c>
      <c r="D544" t="s">
        <v>16</v>
      </c>
      <c r="F544" s="514">
        <f>+'29'!F544+'30'!F544+'31'!F544</f>
        <v>0</v>
      </c>
      <c r="G544" s="12">
        <f>+'29'!G544+'30'!G544+'31'!G544</f>
        <v>0</v>
      </c>
      <c r="H544" s="12">
        <f>+'29'!H544+'30'!H544+'31'!H544</f>
        <v>0</v>
      </c>
      <c r="I544" s="271"/>
      <c r="J544" s="514">
        <f>+'29'!J544+'30'!J544+'31'!J544</f>
        <v>0</v>
      </c>
      <c r="K544" s="12">
        <f>+'29'!K544+'30'!K544+'31'!K544</f>
        <v>0</v>
      </c>
      <c r="L544" s="12">
        <f>+'29'!L544+'30'!L544+'31'!L544</f>
        <v>0</v>
      </c>
      <c r="M544" s="271"/>
      <c r="N544" s="514">
        <f>+'29'!N544+'30'!N544+'31'!N544</f>
        <v>0</v>
      </c>
      <c r="O544" s="12">
        <f>+'29'!O544+'30'!O544+'31'!O544</f>
        <v>0</v>
      </c>
      <c r="P544" s="12">
        <f>+'29'!P544+'30'!P544+'31'!P544</f>
        <v>0</v>
      </c>
      <c r="Q544" s="532"/>
      <c r="R544" s="270">
        <v>0</v>
      </c>
      <c r="S544" s="12">
        <v>0</v>
      </c>
      <c r="T544" s="12">
        <v>0</v>
      </c>
      <c r="U544" s="271"/>
      <c r="V544" s="533">
        <f t="shared" si="65"/>
        <v>0</v>
      </c>
      <c r="W544" s="533">
        <f t="shared" si="66"/>
        <v>0</v>
      </c>
      <c r="X544" s="257"/>
      <c r="Y544" s="261">
        <f t="shared" si="67"/>
        <v>0</v>
      </c>
      <c r="Z544" s="12">
        <f t="shared" si="68"/>
        <v>0</v>
      </c>
      <c r="AB544" s="13">
        <f t="shared" si="64"/>
        <v>0</v>
      </c>
      <c r="AD544" s="16"/>
      <c r="AF544" s="13">
        <f t="shared" si="69"/>
        <v>0</v>
      </c>
      <c r="AG544" s="16"/>
      <c r="AM544" s="12">
        <f t="shared" si="70"/>
        <v>0</v>
      </c>
      <c r="AN544" s="13">
        <f t="shared" si="71"/>
        <v>0</v>
      </c>
    </row>
    <row r="545" spans="1:40" x14ac:dyDescent="0.25">
      <c r="A545">
        <v>540</v>
      </c>
      <c r="B545" t="s">
        <v>541</v>
      </c>
      <c r="C545" t="s">
        <v>18</v>
      </c>
      <c r="D545" t="s">
        <v>16</v>
      </c>
      <c r="F545" s="514">
        <f>+'29'!F545+'30'!F545+'31'!F545</f>
        <v>0</v>
      </c>
      <c r="G545" s="12">
        <f>+'29'!G545+'30'!G545+'31'!G545</f>
        <v>0</v>
      </c>
      <c r="H545" s="12">
        <f>+'29'!H545+'30'!H545+'31'!H545</f>
        <v>0</v>
      </c>
      <c r="I545" s="271"/>
      <c r="J545" s="514">
        <f>+'29'!J545+'30'!J545+'31'!J545</f>
        <v>0</v>
      </c>
      <c r="K545" s="12">
        <f>+'29'!K545+'30'!K545+'31'!K545</f>
        <v>0</v>
      </c>
      <c r="L545" s="12">
        <f>+'29'!L545+'30'!L545+'31'!L545</f>
        <v>0</v>
      </c>
      <c r="M545" s="271"/>
      <c r="N545" s="514">
        <f>+'29'!N545+'30'!N545+'31'!N545</f>
        <v>0</v>
      </c>
      <c r="O545" s="12">
        <f>+'29'!O545+'30'!O545+'31'!O545</f>
        <v>0</v>
      </c>
      <c r="P545" s="12">
        <f>+'29'!P545+'30'!P545+'31'!P545</f>
        <v>0</v>
      </c>
      <c r="Q545" s="532"/>
      <c r="R545" s="270">
        <v>0</v>
      </c>
      <c r="S545" s="12">
        <v>0</v>
      </c>
      <c r="T545" s="12">
        <v>0</v>
      </c>
      <c r="U545" s="271"/>
      <c r="V545" s="533">
        <f t="shared" si="65"/>
        <v>0</v>
      </c>
      <c r="W545" s="533">
        <f t="shared" si="66"/>
        <v>0</v>
      </c>
      <c r="X545" s="257"/>
      <c r="Y545" s="261">
        <f t="shared" si="67"/>
        <v>0</v>
      </c>
      <c r="Z545" s="12">
        <f t="shared" si="68"/>
        <v>0</v>
      </c>
      <c r="AB545" s="13">
        <f t="shared" si="64"/>
        <v>0</v>
      </c>
      <c r="AF545" s="13">
        <f t="shared" si="69"/>
        <v>0</v>
      </c>
      <c r="AG545" s="16"/>
      <c r="AM545" s="12">
        <f t="shared" si="70"/>
        <v>0</v>
      </c>
      <c r="AN545" s="13">
        <f t="shared" si="71"/>
        <v>0</v>
      </c>
    </row>
    <row r="546" spans="1:40" x14ac:dyDescent="0.25">
      <c r="A546">
        <v>541</v>
      </c>
      <c r="B546" t="s">
        <v>542</v>
      </c>
      <c r="C546" t="s">
        <v>18</v>
      </c>
      <c r="D546" t="s">
        <v>16</v>
      </c>
      <c r="F546" s="514">
        <f>+'29'!F546+'30'!F546+'31'!F546</f>
        <v>0</v>
      </c>
      <c r="G546" s="12">
        <f>+'29'!G546+'30'!G546+'31'!G546</f>
        <v>0</v>
      </c>
      <c r="H546" s="12">
        <f>+'29'!H546+'30'!H546+'31'!H546</f>
        <v>0</v>
      </c>
      <c r="I546" s="271"/>
      <c r="J546" s="514">
        <f>+'29'!J546+'30'!J546+'31'!J546</f>
        <v>0</v>
      </c>
      <c r="K546" s="12">
        <f>+'29'!K546+'30'!K546+'31'!K546</f>
        <v>0</v>
      </c>
      <c r="L546" s="12">
        <f>+'29'!L546+'30'!L546+'31'!L546</f>
        <v>0</v>
      </c>
      <c r="M546" s="271"/>
      <c r="N546" s="514">
        <f>+'29'!N546+'30'!N546+'31'!N546</f>
        <v>0</v>
      </c>
      <c r="O546" s="12">
        <f>+'29'!O546+'30'!O546+'31'!O546</f>
        <v>0</v>
      </c>
      <c r="P546" s="12">
        <f>+'29'!P546+'30'!P546+'31'!P546</f>
        <v>0</v>
      </c>
      <c r="Q546" s="532"/>
      <c r="R546" s="270">
        <v>0</v>
      </c>
      <c r="S546" s="12">
        <v>0</v>
      </c>
      <c r="T546" s="12">
        <v>0</v>
      </c>
      <c r="U546" s="271"/>
      <c r="V546" s="533">
        <f t="shared" si="65"/>
        <v>0</v>
      </c>
      <c r="W546" s="533">
        <f t="shared" si="66"/>
        <v>0</v>
      </c>
      <c r="X546" s="257"/>
      <c r="Y546" s="261">
        <f t="shared" si="67"/>
        <v>0</v>
      </c>
      <c r="Z546" s="12">
        <f t="shared" si="68"/>
        <v>0</v>
      </c>
      <c r="AB546" s="13">
        <f t="shared" si="64"/>
        <v>0</v>
      </c>
      <c r="AF546" s="13">
        <f t="shared" si="69"/>
        <v>0</v>
      </c>
      <c r="AG546" s="16"/>
      <c r="AM546" s="12">
        <f t="shared" si="70"/>
        <v>0</v>
      </c>
      <c r="AN546" s="13">
        <f t="shared" si="71"/>
        <v>0</v>
      </c>
    </row>
    <row r="547" spans="1:40" x14ac:dyDescent="0.25">
      <c r="A547">
        <v>542</v>
      </c>
      <c r="B547" t="s">
        <v>543</v>
      </c>
      <c r="C547" t="s">
        <v>18</v>
      </c>
      <c r="D547" t="s">
        <v>16</v>
      </c>
      <c r="F547" s="514">
        <f>+'29'!F547+'30'!F547+'31'!F547</f>
        <v>0</v>
      </c>
      <c r="G547" s="12">
        <f>+'29'!G547+'30'!G547+'31'!G547</f>
        <v>0</v>
      </c>
      <c r="H547" s="12">
        <f>+'29'!H547+'30'!H547+'31'!H547</f>
        <v>0</v>
      </c>
      <c r="I547" s="271"/>
      <c r="J547" s="514">
        <f>+'29'!J547+'30'!J547+'31'!J547</f>
        <v>0</v>
      </c>
      <c r="K547" s="12">
        <f>+'29'!K547+'30'!K547+'31'!K547</f>
        <v>0</v>
      </c>
      <c r="L547" s="12">
        <f>+'29'!L547+'30'!L547+'31'!L547</f>
        <v>0</v>
      </c>
      <c r="M547" s="271"/>
      <c r="N547" s="514">
        <f>+'29'!N547+'30'!N547+'31'!N547</f>
        <v>0</v>
      </c>
      <c r="O547" s="12">
        <f>+'29'!O547+'30'!O547+'31'!O547</f>
        <v>0</v>
      </c>
      <c r="P547" s="12">
        <f>+'29'!P547+'30'!P547+'31'!P547</f>
        <v>0</v>
      </c>
      <c r="Q547" s="532"/>
      <c r="R547" s="270">
        <v>0</v>
      </c>
      <c r="S547" s="12">
        <v>0</v>
      </c>
      <c r="T547" s="12">
        <v>0</v>
      </c>
      <c r="U547" s="271"/>
      <c r="V547" s="533">
        <f t="shared" si="65"/>
        <v>0</v>
      </c>
      <c r="W547" s="533">
        <f t="shared" si="66"/>
        <v>0</v>
      </c>
      <c r="X547" s="257"/>
      <c r="Y547" s="261">
        <f t="shared" si="67"/>
        <v>0</v>
      </c>
      <c r="Z547" s="12">
        <f t="shared" si="68"/>
        <v>0</v>
      </c>
      <c r="AB547" s="13">
        <f t="shared" si="64"/>
        <v>0</v>
      </c>
      <c r="AD547" s="16"/>
      <c r="AF547" s="13">
        <f t="shared" si="69"/>
        <v>0</v>
      </c>
      <c r="AG547" s="16"/>
      <c r="AM547" s="12">
        <f t="shared" si="70"/>
        <v>0</v>
      </c>
      <c r="AN547" s="13">
        <f t="shared" si="71"/>
        <v>0</v>
      </c>
    </row>
    <row r="548" spans="1:40" x14ac:dyDescent="0.25">
      <c r="A548">
        <v>543</v>
      </c>
      <c r="B548" t="s">
        <v>544</v>
      </c>
      <c r="C548" t="s">
        <v>18</v>
      </c>
      <c r="D548" t="s">
        <v>16</v>
      </c>
      <c r="F548" s="514">
        <f>+'29'!F548+'30'!F548+'31'!F548</f>
        <v>0</v>
      </c>
      <c r="G548" s="12">
        <f>+'29'!G548+'30'!G548+'31'!G548</f>
        <v>0</v>
      </c>
      <c r="H548" s="12">
        <f>+'29'!H548+'30'!H548+'31'!H548</f>
        <v>0</v>
      </c>
      <c r="I548" s="271"/>
      <c r="J548" s="514">
        <f>+'29'!J548+'30'!J548+'31'!J548</f>
        <v>0</v>
      </c>
      <c r="K548" s="12">
        <f>+'29'!K548+'30'!K548+'31'!K548</f>
        <v>0</v>
      </c>
      <c r="L548" s="12">
        <f>+'29'!L548+'30'!L548+'31'!L548</f>
        <v>0</v>
      </c>
      <c r="M548" s="271"/>
      <c r="N548" s="514">
        <f>+'29'!N548+'30'!N548+'31'!N548</f>
        <v>0</v>
      </c>
      <c r="O548" s="12">
        <f>+'29'!O548+'30'!O548+'31'!O548</f>
        <v>0</v>
      </c>
      <c r="P548" s="12">
        <f>+'29'!P548+'30'!P548+'31'!P548</f>
        <v>0</v>
      </c>
      <c r="Q548" s="532"/>
      <c r="R548" s="270">
        <v>0</v>
      </c>
      <c r="S548" s="12">
        <v>0</v>
      </c>
      <c r="T548" s="12">
        <v>0</v>
      </c>
      <c r="U548" s="271"/>
      <c r="V548" s="533">
        <f t="shared" si="65"/>
        <v>0</v>
      </c>
      <c r="W548" s="533">
        <f t="shared" si="66"/>
        <v>0</v>
      </c>
      <c r="X548" s="257"/>
      <c r="Y548" s="261">
        <f t="shared" si="67"/>
        <v>0</v>
      </c>
      <c r="Z548" s="12">
        <f t="shared" si="68"/>
        <v>0</v>
      </c>
      <c r="AB548" s="13">
        <f t="shared" si="64"/>
        <v>0</v>
      </c>
      <c r="AF548" s="13">
        <f t="shared" si="69"/>
        <v>0</v>
      </c>
      <c r="AG548" s="16"/>
      <c r="AM548" s="12">
        <f t="shared" si="70"/>
        <v>0</v>
      </c>
      <c r="AN548" s="13">
        <f t="shared" si="71"/>
        <v>0</v>
      </c>
    </row>
    <row r="549" spans="1:40" x14ac:dyDescent="0.25">
      <c r="A549">
        <v>544</v>
      </c>
      <c r="B549" t="s">
        <v>545</v>
      </c>
      <c r="C549" t="s">
        <v>18</v>
      </c>
      <c r="D549" t="s">
        <v>16</v>
      </c>
      <c r="F549" s="514">
        <f>+'29'!F549+'30'!F549+'31'!F549</f>
        <v>0</v>
      </c>
      <c r="G549" s="12">
        <f>+'29'!G549+'30'!G549+'31'!G549</f>
        <v>0</v>
      </c>
      <c r="H549" s="12">
        <f>+'29'!H549+'30'!H549+'31'!H549</f>
        <v>0</v>
      </c>
      <c r="I549" s="271"/>
      <c r="J549" s="514">
        <f>+'29'!J549+'30'!J549+'31'!J549</f>
        <v>0</v>
      </c>
      <c r="K549" s="12">
        <f>+'29'!K549+'30'!K549+'31'!K549</f>
        <v>0</v>
      </c>
      <c r="L549" s="12">
        <f>+'29'!L549+'30'!L549+'31'!L549</f>
        <v>0</v>
      </c>
      <c r="M549" s="271"/>
      <c r="N549" s="514">
        <f>+'29'!N549+'30'!N549+'31'!N549</f>
        <v>0</v>
      </c>
      <c r="O549" s="12">
        <f>+'29'!O549+'30'!O549+'31'!O549</f>
        <v>0</v>
      </c>
      <c r="P549" s="12">
        <f>+'29'!P549+'30'!P549+'31'!P549</f>
        <v>0</v>
      </c>
      <c r="Q549" s="532"/>
      <c r="R549" s="270">
        <v>0</v>
      </c>
      <c r="S549" s="12">
        <v>0</v>
      </c>
      <c r="T549" s="12">
        <v>0</v>
      </c>
      <c r="U549" s="271"/>
      <c r="V549" s="533">
        <f t="shared" si="65"/>
        <v>0</v>
      </c>
      <c r="W549" s="533">
        <f t="shared" si="66"/>
        <v>0</v>
      </c>
      <c r="X549" s="257"/>
      <c r="Y549" s="261">
        <f t="shared" si="67"/>
        <v>0</v>
      </c>
      <c r="Z549" s="12">
        <f t="shared" si="68"/>
        <v>0</v>
      </c>
      <c r="AB549" s="13">
        <f t="shared" si="64"/>
        <v>0</v>
      </c>
      <c r="AF549" s="13">
        <f t="shared" si="69"/>
        <v>0</v>
      </c>
      <c r="AG549" s="16"/>
      <c r="AM549" s="12">
        <f t="shared" si="70"/>
        <v>0</v>
      </c>
      <c r="AN549" s="13">
        <f t="shared" si="71"/>
        <v>0</v>
      </c>
    </row>
    <row r="550" spans="1:40" x14ac:dyDescent="0.25">
      <c r="A550">
        <v>545</v>
      </c>
      <c r="B550" t="s">
        <v>546</v>
      </c>
      <c r="C550" t="s">
        <v>18</v>
      </c>
      <c r="D550" t="s">
        <v>16</v>
      </c>
      <c r="F550" s="514">
        <f>+'29'!F550+'30'!F550+'31'!F550</f>
        <v>0</v>
      </c>
      <c r="G550" s="12">
        <f>+'29'!G550+'30'!G550+'31'!G550</f>
        <v>0</v>
      </c>
      <c r="H550" s="12">
        <f>+'29'!H550+'30'!H550+'31'!H550</f>
        <v>0</v>
      </c>
      <c r="I550" s="271"/>
      <c r="J550" s="514">
        <f>+'29'!J550+'30'!J550+'31'!J550</f>
        <v>0</v>
      </c>
      <c r="K550" s="12">
        <f>+'29'!K550+'30'!K550+'31'!K550</f>
        <v>0</v>
      </c>
      <c r="L550" s="12">
        <f>+'29'!L550+'30'!L550+'31'!L550</f>
        <v>0</v>
      </c>
      <c r="M550" s="271"/>
      <c r="N550" s="514">
        <f>+'29'!N550+'30'!N550+'31'!N550</f>
        <v>0</v>
      </c>
      <c r="O550" s="12">
        <f>+'29'!O550+'30'!O550+'31'!O550</f>
        <v>0</v>
      </c>
      <c r="P550" s="12">
        <f>+'29'!P550+'30'!P550+'31'!P550</f>
        <v>0</v>
      </c>
      <c r="Q550" s="532"/>
      <c r="R550" s="270">
        <v>0</v>
      </c>
      <c r="S550" s="12">
        <v>0</v>
      </c>
      <c r="T550" s="12">
        <v>0</v>
      </c>
      <c r="U550" s="271"/>
      <c r="V550" s="533">
        <f t="shared" si="65"/>
        <v>0</v>
      </c>
      <c r="W550" s="533">
        <f t="shared" si="66"/>
        <v>0</v>
      </c>
      <c r="X550" s="257"/>
      <c r="Y550" s="261">
        <f t="shared" si="67"/>
        <v>0</v>
      </c>
      <c r="Z550" s="12">
        <f t="shared" si="68"/>
        <v>0</v>
      </c>
      <c r="AB550" s="13">
        <f t="shared" si="64"/>
        <v>0</v>
      </c>
      <c r="AF550" s="13">
        <f t="shared" si="69"/>
        <v>0</v>
      </c>
      <c r="AG550" s="16"/>
      <c r="AI550" s="33"/>
      <c r="AL550" s="13"/>
      <c r="AM550" s="12">
        <f t="shared" si="70"/>
        <v>0</v>
      </c>
      <c r="AN550" s="13">
        <f t="shared" si="71"/>
        <v>0</v>
      </c>
    </row>
    <row r="551" spans="1:40" x14ac:dyDescent="0.25">
      <c r="A551">
        <v>546</v>
      </c>
      <c r="B551" t="s">
        <v>547</v>
      </c>
      <c r="C551" t="s">
        <v>18</v>
      </c>
      <c r="D551" t="s">
        <v>16</v>
      </c>
      <c r="F551" s="514">
        <f>+'29'!F551+'30'!F551+'31'!F551</f>
        <v>0</v>
      </c>
      <c r="G551" s="12">
        <f>+'29'!G551+'30'!G551+'31'!G551</f>
        <v>0</v>
      </c>
      <c r="H551" s="12">
        <f>+'29'!H551+'30'!H551+'31'!H551</f>
        <v>0</v>
      </c>
      <c r="I551" s="271"/>
      <c r="J551" s="514">
        <f>+'29'!J551+'30'!J551+'31'!J551</f>
        <v>0</v>
      </c>
      <c r="K551" s="12">
        <f>+'29'!K551+'30'!K551+'31'!K551</f>
        <v>0</v>
      </c>
      <c r="L551" s="12">
        <f>+'29'!L551+'30'!L551+'31'!L551</f>
        <v>0</v>
      </c>
      <c r="M551" s="271"/>
      <c r="N551" s="514">
        <f>+'29'!N551+'30'!N551+'31'!N551</f>
        <v>0</v>
      </c>
      <c r="O551" s="12">
        <f>+'29'!O551+'30'!O551+'31'!O551</f>
        <v>0</v>
      </c>
      <c r="P551" s="12">
        <f>+'29'!P551+'30'!P551+'31'!P551</f>
        <v>0</v>
      </c>
      <c r="Q551" s="532"/>
      <c r="R551" s="270">
        <v>0</v>
      </c>
      <c r="S551" s="12">
        <v>0</v>
      </c>
      <c r="T551" s="12">
        <v>0</v>
      </c>
      <c r="U551" s="271"/>
      <c r="V551" s="533">
        <f t="shared" si="65"/>
        <v>0</v>
      </c>
      <c r="W551" s="533">
        <f t="shared" si="66"/>
        <v>0</v>
      </c>
      <c r="X551" s="257"/>
      <c r="Y551" s="261">
        <f t="shared" si="67"/>
        <v>0</v>
      </c>
      <c r="Z551" s="12">
        <f t="shared" si="68"/>
        <v>0</v>
      </c>
      <c r="AB551" s="13">
        <f t="shared" si="64"/>
        <v>0</v>
      </c>
      <c r="AF551" s="13">
        <f t="shared" si="69"/>
        <v>0</v>
      </c>
      <c r="AG551" s="16"/>
      <c r="AM551" s="12">
        <f t="shared" si="70"/>
        <v>0</v>
      </c>
      <c r="AN551" s="13">
        <f t="shared" si="71"/>
        <v>0</v>
      </c>
    </row>
    <row r="552" spans="1:40" x14ac:dyDescent="0.25">
      <c r="A552">
        <v>547</v>
      </c>
      <c r="B552" t="s">
        <v>548</v>
      </c>
      <c r="C552" t="s">
        <v>18</v>
      </c>
      <c r="D552" t="s">
        <v>16</v>
      </c>
      <c r="F552" s="514">
        <f>+'29'!F552+'30'!F552+'31'!F552</f>
        <v>0</v>
      </c>
      <c r="G552" s="12">
        <f>+'29'!G552+'30'!G552+'31'!G552</f>
        <v>0</v>
      </c>
      <c r="H552" s="12">
        <f>+'29'!H552+'30'!H552+'31'!H552</f>
        <v>0</v>
      </c>
      <c r="I552" s="271"/>
      <c r="J552" s="514">
        <f>+'29'!J552+'30'!J552+'31'!J552</f>
        <v>0</v>
      </c>
      <c r="K552" s="12">
        <f>+'29'!K552+'30'!K552+'31'!K552</f>
        <v>0</v>
      </c>
      <c r="L552" s="12">
        <f>+'29'!L552+'30'!L552+'31'!L552</f>
        <v>0</v>
      </c>
      <c r="M552" s="271"/>
      <c r="N552" s="514">
        <f>+'29'!N552+'30'!N552+'31'!N552</f>
        <v>0</v>
      </c>
      <c r="O552" s="12">
        <f>+'29'!O552+'30'!O552+'31'!O552</f>
        <v>0</v>
      </c>
      <c r="P552" s="12">
        <f>+'29'!P552+'30'!P552+'31'!P552</f>
        <v>0</v>
      </c>
      <c r="Q552" s="532"/>
      <c r="R552" s="270">
        <v>0</v>
      </c>
      <c r="S552" s="12">
        <v>0</v>
      </c>
      <c r="T552" s="12">
        <v>0</v>
      </c>
      <c r="U552" s="271"/>
      <c r="V552" s="533">
        <f t="shared" si="65"/>
        <v>0</v>
      </c>
      <c r="W552" s="533">
        <f t="shared" si="66"/>
        <v>0</v>
      </c>
      <c r="X552" s="257"/>
      <c r="Y552" s="261">
        <f t="shared" si="67"/>
        <v>0</v>
      </c>
      <c r="Z552" s="12">
        <f t="shared" si="68"/>
        <v>0</v>
      </c>
      <c r="AB552" s="13">
        <f t="shared" si="64"/>
        <v>0</v>
      </c>
      <c r="AD552" s="16"/>
      <c r="AF552" s="13">
        <f t="shared" si="69"/>
        <v>0</v>
      </c>
      <c r="AG552" s="16"/>
      <c r="AM552" s="12">
        <f t="shared" si="70"/>
        <v>0</v>
      </c>
      <c r="AN552" s="13">
        <f t="shared" si="71"/>
        <v>0</v>
      </c>
    </row>
    <row r="553" spans="1:40" x14ac:dyDescent="0.25">
      <c r="A553">
        <v>548</v>
      </c>
      <c r="B553" t="s">
        <v>549</v>
      </c>
      <c r="C553" t="s">
        <v>18</v>
      </c>
      <c r="D553" t="s">
        <v>16</v>
      </c>
      <c r="F553" s="514">
        <f>+'29'!F553+'30'!F553+'31'!F553</f>
        <v>0</v>
      </c>
      <c r="G553" s="12">
        <f>+'29'!G553+'30'!G553+'31'!G553</f>
        <v>0</v>
      </c>
      <c r="H553" s="12">
        <f>+'29'!H553+'30'!H553+'31'!H553</f>
        <v>0</v>
      </c>
      <c r="I553" s="271"/>
      <c r="J553" s="514">
        <f>+'29'!J553+'30'!J553+'31'!J553</f>
        <v>0</v>
      </c>
      <c r="K553" s="12">
        <f>+'29'!K553+'30'!K553+'31'!K553</f>
        <v>0</v>
      </c>
      <c r="L553" s="12">
        <f>+'29'!L553+'30'!L553+'31'!L553</f>
        <v>0</v>
      </c>
      <c r="M553" s="271"/>
      <c r="N553" s="514">
        <f>+'29'!N553+'30'!N553+'31'!N553</f>
        <v>0</v>
      </c>
      <c r="O553" s="12">
        <f>+'29'!O553+'30'!O553+'31'!O553</f>
        <v>0</v>
      </c>
      <c r="P553" s="12">
        <f>+'29'!P553+'30'!P553+'31'!P553</f>
        <v>0</v>
      </c>
      <c r="Q553" s="532"/>
      <c r="R553" s="270">
        <v>0</v>
      </c>
      <c r="S553" s="12">
        <v>0</v>
      </c>
      <c r="T553" s="12">
        <v>0</v>
      </c>
      <c r="U553" s="271"/>
      <c r="V553" s="533">
        <f t="shared" si="65"/>
        <v>0</v>
      </c>
      <c r="W553" s="533">
        <f t="shared" si="66"/>
        <v>0</v>
      </c>
      <c r="X553" s="257"/>
      <c r="Y553" s="261">
        <f t="shared" si="67"/>
        <v>0</v>
      </c>
      <c r="Z553" s="12">
        <f t="shared" si="68"/>
        <v>0</v>
      </c>
      <c r="AB553" s="13">
        <f t="shared" si="64"/>
        <v>0</v>
      </c>
      <c r="AF553" s="13">
        <f t="shared" si="69"/>
        <v>0</v>
      </c>
      <c r="AG553" s="16"/>
      <c r="AM553" s="12">
        <f t="shared" si="70"/>
        <v>0</v>
      </c>
      <c r="AN553" s="13">
        <f t="shared" si="71"/>
        <v>0</v>
      </c>
    </row>
    <row r="554" spans="1:40" x14ac:dyDescent="0.25">
      <c r="A554">
        <v>549</v>
      </c>
      <c r="B554" t="s">
        <v>550</v>
      </c>
      <c r="C554" t="s">
        <v>18</v>
      </c>
      <c r="D554" t="s">
        <v>16</v>
      </c>
      <c r="F554" s="514">
        <f>+'29'!F554+'30'!F554+'31'!F554</f>
        <v>0</v>
      </c>
      <c r="G554" s="12">
        <f>+'29'!G554+'30'!G554+'31'!G554</f>
        <v>0</v>
      </c>
      <c r="H554" s="12">
        <f>+'29'!H554+'30'!H554+'31'!H554</f>
        <v>0</v>
      </c>
      <c r="I554" s="271"/>
      <c r="J554" s="514">
        <f>+'29'!J554+'30'!J554+'31'!J554</f>
        <v>0</v>
      </c>
      <c r="K554" s="12">
        <f>+'29'!K554+'30'!K554+'31'!K554</f>
        <v>0</v>
      </c>
      <c r="L554" s="12">
        <f>+'29'!L554+'30'!L554+'31'!L554</f>
        <v>0</v>
      </c>
      <c r="M554" s="271"/>
      <c r="N554" s="514">
        <f>+'29'!N554+'30'!N554+'31'!N554</f>
        <v>0</v>
      </c>
      <c r="O554" s="12">
        <f>+'29'!O554+'30'!O554+'31'!O554</f>
        <v>0</v>
      </c>
      <c r="P554" s="12">
        <f>+'29'!P554+'30'!P554+'31'!P554</f>
        <v>0</v>
      </c>
      <c r="Q554" s="532"/>
      <c r="R554" s="270">
        <v>0</v>
      </c>
      <c r="S554" s="12">
        <v>0</v>
      </c>
      <c r="T554" s="12">
        <v>0</v>
      </c>
      <c r="U554" s="271"/>
      <c r="V554" s="533">
        <f t="shared" si="65"/>
        <v>0</v>
      </c>
      <c r="W554" s="533">
        <f t="shared" si="66"/>
        <v>0</v>
      </c>
      <c r="X554" s="257"/>
      <c r="Y554" s="261">
        <f t="shared" si="67"/>
        <v>0</v>
      </c>
      <c r="Z554" s="12">
        <f t="shared" si="68"/>
        <v>0</v>
      </c>
      <c r="AB554" s="13">
        <f t="shared" si="64"/>
        <v>0</v>
      </c>
      <c r="AF554" s="13">
        <f t="shared" si="69"/>
        <v>0</v>
      </c>
      <c r="AG554" s="16"/>
      <c r="AI554" s="33"/>
      <c r="AL554" s="13"/>
      <c r="AM554" s="12">
        <f t="shared" si="70"/>
        <v>0</v>
      </c>
      <c r="AN554" s="13">
        <f t="shared" si="71"/>
        <v>0</v>
      </c>
    </row>
    <row r="555" spans="1:40" x14ac:dyDescent="0.25">
      <c r="A555">
        <v>550</v>
      </c>
      <c r="B555" t="s">
        <v>551</v>
      </c>
      <c r="C555" t="s">
        <v>18</v>
      </c>
      <c r="D555" t="s">
        <v>16</v>
      </c>
      <c r="F555" s="514">
        <f>+'29'!F555+'30'!F555+'31'!F555</f>
        <v>0</v>
      </c>
      <c r="G555" s="12">
        <f>+'29'!G555+'30'!G555+'31'!G555</f>
        <v>0</v>
      </c>
      <c r="H555" s="12">
        <f>+'29'!H555+'30'!H555+'31'!H555</f>
        <v>0</v>
      </c>
      <c r="I555" s="271"/>
      <c r="J555" s="514">
        <f>+'29'!J555+'30'!J555+'31'!J555</f>
        <v>0</v>
      </c>
      <c r="K555" s="12">
        <f>+'29'!K555+'30'!K555+'31'!K555</f>
        <v>0</v>
      </c>
      <c r="L555" s="12">
        <f>+'29'!L555+'30'!L555+'31'!L555</f>
        <v>0</v>
      </c>
      <c r="M555" s="271"/>
      <c r="N555" s="514">
        <f>+'29'!N555+'30'!N555+'31'!N555</f>
        <v>0</v>
      </c>
      <c r="O555" s="12">
        <f>+'29'!O555+'30'!O555+'31'!O555</f>
        <v>0</v>
      </c>
      <c r="P555" s="12">
        <f>+'29'!P555+'30'!P555+'31'!P555</f>
        <v>0</v>
      </c>
      <c r="Q555" s="532"/>
      <c r="R555" s="270">
        <v>0</v>
      </c>
      <c r="S555" s="12">
        <v>0</v>
      </c>
      <c r="T555" s="12">
        <v>0</v>
      </c>
      <c r="U555" s="271"/>
      <c r="V555" s="533">
        <f t="shared" si="65"/>
        <v>0</v>
      </c>
      <c r="W555" s="533">
        <f t="shared" si="66"/>
        <v>0</v>
      </c>
      <c r="X555" s="257"/>
      <c r="Y555" s="261">
        <f t="shared" si="67"/>
        <v>0</v>
      </c>
      <c r="Z555" s="12">
        <f t="shared" si="68"/>
        <v>0</v>
      </c>
      <c r="AB555" s="13">
        <f t="shared" si="64"/>
        <v>0</v>
      </c>
      <c r="AF555" s="13">
        <f t="shared" si="69"/>
        <v>0</v>
      </c>
      <c r="AG555" s="16"/>
      <c r="AL555" s="33"/>
      <c r="AM555" s="12">
        <f t="shared" si="70"/>
        <v>0</v>
      </c>
      <c r="AN555" s="13">
        <f t="shared" si="71"/>
        <v>0</v>
      </c>
    </row>
    <row r="556" spans="1:40" x14ac:dyDescent="0.25">
      <c r="A556">
        <v>551</v>
      </c>
      <c r="B556" t="s">
        <v>552</v>
      </c>
      <c r="C556" t="s">
        <v>18</v>
      </c>
      <c r="D556" t="s">
        <v>16</v>
      </c>
      <c r="F556" s="514">
        <f>+'29'!F556+'30'!F556+'31'!F556</f>
        <v>0</v>
      </c>
      <c r="G556" s="12">
        <f>+'29'!G556+'30'!G556+'31'!G556</f>
        <v>0</v>
      </c>
      <c r="H556" s="12">
        <f>+'29'!H556+'30'!H556+'31'!H556</f>
        <v>0</v>
      </c>
      <c r="I556" s="271"/>
      <c r="J556" s="514">
        <f>+'29'!J556+'30'!J556+'31'!J556</f>
        <v>0</v>
      </c>
      <c r="K556" s="12">
        <f>+'29'!K556+'30'!K556+'31'!K556</f>
        <v>0</v>
      </c>
      <c r="L556" s="12">
        <f>+'29'!L556+'30'!L556+'31'!L556</f>
        <v>0</v>
      </c>
      <c r="M556" s="271"/>
      <c r="N556" s="514">
        <f>+'29'!N556+'30'!N556+'31'!N556</f>
        <v>0</v>
      </c>
      <c r="O556" s="12">
        <f>+'29'!O556+'30'!O556+'31'!O556</f>
        <v>0</v>
      </c>
      <c r="P556" s="12">
        <f>+'29'!P556+'30'!P556+'31'!P556</f>
        <v>0</v>
      </c>
      <c r="Q556" s="532"/>
      <c r="R556" s="270">
        <v>0</v>
      </c>
      <c r="S556" s="12">
        <v>0</v>
      </c>
      <c r="T556" s="12">
        <v>0</v>
      </c>
      <c r="U556" s="271"/>
      <c r="V556" s="533">
        <f t="shared" si="65"/>
        <v>0</v>
      </c>
      <c r="W556" s="533">
        <f t="shared" si="66"/>
        <v>0</v>
      </c>
      <c r="X556" s="257"/>
      <c r="Y556" s="261">
        <f t="shared" si="67"/>
        <v>0</v>
      </c>
      <c r="Z556" s="12">
        <f t="shared" si="68"/>
        <v>0</v>
      </c>
      <c r="AB556" s="13">
        <f t="shared" si="64"/>
        <v>0</v>
      </c>
      <c r="AD556" s="16"/>
      <c r="AF556" s="13">
        <f t="shared" si="69"/>
        <v>0</v>
      </c>
      <c r="AG556" s="16"/>
      <c r="AI556" s="33"/>
      <c r="AL556" s="13"/>
      <c r="AM556" s="12">
        <f t="shared" si="70"/>
        <v>0</v>
      </c>
      <c r="AN556" s="13">
        <f t="shared" si="71"/>
        <v>0</v>
      </c>
    </row>
    <row r="557" spans="1:40" x14ac:dyDescent="0.25">
      <c r="A557">
        <v>552</v>
      </c>
      <c r="B557" t="s">
        <v>553</v>
      </c>
      <c r="C557" t="s">
        <v>18</v>
      </c>
      <c r="D557" t="s">
        <v>16</v>
      </c>
      <c r="F557" s="514">
        <f>+'29'!F557+'30'!F557+'31'!F557</f>
        <v>0</v>
      </c>
      <c r="G557" s="12">
        <f>+'29'!G557+'30'!G557+'31'!G557</f>
        <v>0</v>
      </c>
      <c r="H557" s="12">
        <f>+'29'!H557+'30'!H557+'31'!H557</f>
        <v>0</v>
      </c>
      <c r="I557" s="271"/>
      <c r="J557" s="514">
        <f>+'29'!J557+'30'!J557+'31'!J557</f>
        <v>0</v>
      </c>
      <c r="K557" s="12">
        <f>+'29'!K557+'30'!K557+'31'!K557</f>
        <v>0</v>
      </c>
      <c r="L557" s="12">
        <f>+'29'!L557+'30'!L557+'31'!L557</f>
        <v>0</v>
      </c>
      <c r="M557" s="271"/>
      <c r="N557" s="514">
        <f>+'29'!N557+'30'!N557+'31'!N557</f>
        <v>0</v>
      </c>
      <c r="O557" s="12">
        <f>+'29'!O557+'30'!O557+'31'!O557</f>
        <v>0</v>
      </c>
      <c r="P557" s="12">
        <f>+'29'!P557+'30'!P557+'31'!P557</f>
        <v>0</v>
      </c>
      <c r="Q557" s="532"/>
      <c r="R557" s="270">
        <v>0</v>
      </c>
      <c r="S557" s="12">
        <v>0</v>
      </c>
      <c r="T557" s="12">
        <v>0</v>
      </c>
      <c r="U557" s="271"/>
      <c r="V557" s="533">
        <f t="shared" si="65"/>
        <v>0</v>
      </c>
      <c r="W557" s="533">
        <f t="shared" si="66"/>
        <v>0</v>
      </c>
      <c r="X557" s="257"/>
      <c r="Y557" s="261">
        <f t="shared" si="67"/>
        <v>0</v>
      </c>
      <c r="Z557" s="12">
        <f t="shared" si="68"/>
        <v>0</v>
      </c>
      <c r="AB557" s="13">
        <f t="shared" si="64"/>
        <v>0</v>
      </c>
      <c r="AD557" s="16"/>
      <c r="AF557" s="13">
        <f t="shared" si="69"/>
        <v>0</v>
      </c>
      <c r="AG557" s="16"/>
      <c r="AL557" s="33"/>
      <c r="AM557" s="12">
        <f t="shared" si="70"/>
        <v>0</v>
      </c>
      <c r="AN557" s="13">
        <f t="shared" si="71"/>
        <v>0</v>
      </c>
    </row>
    <row r="558" spans="1:40" x14ac:dyDescent="0.25">
      <c r="A558">
        <v>553</v>
      </c>
      <c r="B558" t="s">
        <v>554</v>
      </c>
      <c r="C558" t="s">
        <v>18</v>
      </c>
      <c r="D558" t="s">
        <v>16</v>
      </c>
      <c r="F558" s="514">
        <f>+'29'!F558+'30'!F558+'31'!F558</f>
        <v>0</v>
      </c>
      <c r="G558" s="12">
        <f>+'29'!G558+'30'!G558+'31'!G558</f>
        <v>0</v>
      </c>
      <c r="H558" s="12">
        <f>+'29'!H558+'30'!H558+'31'!H558</f>
        <v>0</v>
      </c>
      <c r="I558" s="271"/>
      <c r="J558" s="514">
        <f>+'29'!J558+'30'!J558+'31'!J558</f>
        <v>0</v>
      </c>
      <c r="K558" s="12">
        <f>+'29'!K558+'30'!K558+'31'!K558</f>
        <v>0</v>
      </c>
      <c r="L558" s="12">
        <f>+'29'!L558+'30'!L558+'31'!L558</f>
        <v>0</v>
      </c>
      <c r="M558" s="271"/>
      <c r="N558" s="514">
        <f>+'29'!N558+'30'!N558+'31'!N558</f>
        <v>0</v>
      </c>
      <c r="O558" s="12">
        <f>+'29'!O558+'30'!O558+'31'!O558</f>
        <v>0</v>
      </c>
      <c r="P558" s="12">
        <f>+'29'!P558+'30'!P558+'31'!P558</f>
        <v>0</v>
      </c>
      <c r="Q558" s="532"/>
      <c r="R558" s="270">
        <v>0</v>
      </c>
      <c r="S558" s="12">
        <v>0</v>
      </c>
      <c r="T558" s="12">
        <v>0</v>
      </c>
      <c r="U558" s="271"/>
      <c r="V558" s="533">
        <f t="shared" si="65"/>
        <v>0</v>
      </c>
      <c r="W558" s="533">
        <f t="shared" si="66"/>
        <v>0</v>
      </c>
      <c r="X558" s="257"/>
      <c r="Y558" s="261">
        <f t="shared" si="67"/>
        <v>0</v>
      </c>
      <c r="Z558" s="12">
        <f t="shared" si="68"/>
        <v>0</v>
      </c>
      <c r="AB558" s="13">
        <f t="shared" si="64"/>
        <v>0</v>
      </c>
      <c r="AD558" s="16"/>
      <c r="AF558" s="13">
        <f t="shared" si="69"/>
        <v>0</v>
      </c>
      <c r="AG558" s="16"/>
      <c r="AM558" s="12">
        <f t="shared" si="70"/>
        <v>0</v>
      </c>
      <c r="AN558" s="13">
        <f t="shared" si="71"/>
        <v>0</v>
      </c>
    </row>
    <row r="559" spans="1:40" x14ac:dyDescent="0.25">
      <c r="A559">
        <v>554</v>
      </c>
      <c r="B559" t="s">
        <v>555</v>
      </c>
      <c r="C559" t="s">
        <v>18</v>
      </c>
      <c r="D559" t="s">
        <v>16</v>
      </c>
      <c r="F559" s="514">
        <f>+'29'!F559+'30'!F559+'31'!F559</f>
        <v>0</v>
      </c>
      <c r="G559" s="12">
        <f>+'29'!G559+'30'!G559+'31'!G559</f>
        <v>0</v>
      </c>
      <c r="H559" s="12">
        <f>+'29'!H559+'30'!H559+'31'!H559</f>
        <v>0</v>
      </c>
      <c r="I559" s="271"/>
      <c r="J559" s="514">
        <f>+'29'!J559+'30'!J559+'31'!J559</f>
        <v>0</v>
      </c>
      <c r="K559" s="12">
        <f>+'29'!K559+'30'!K559+'31'!K559</f>
        <v>0</v>
      </c>
      <c r="L559" s="12">
        <f>+'29'!L559+'30'!L559+'31'!L559</f>
        <v>0</v>
      </c>
      <c r="M559" s="271"/>
      <c r="N559" s="514">
        <f>+'29'!N559+'30'!N559+'31'!N559</f>
        <v>0</v>
      </c>
      <c r="O559" s="12">
        <f>+'29'!O559+'30'!O559+'31'!O559</f>
        <v>0</v>
      </c>
      <c r="P559" s="12">
        <f>+'29'!P559+'30'!P559+'31'!P559</f>
        <v>0</v>
      </c>
      <c r="Q559" s="532"/>
      <c r="R559" s="270">
        <v>0</v>
      </c>
      <c r="S559" s="12">
        <v>0</v>
      </c>
      <c r="T559" s="12">
        <v>0</v>
      </c>
      <c r="U559" s="271"/>
      <c r="V559" s="533">
        <f t="shared" si="65"/>
        <v>0</v>
      </c>
      <c r="W559" s="533">
        <f t="shared" si="66"/>
        <v>0</v>
      </c>
      <c r="X559" s="257"/>
      <c r="Y559" s="261">
        <f t="shared" si="67"/>
        <v>0</v>
      </c>
      <c r="Z559" s="12">
        <f t="shared" si="68"/>
        <v>0</v>
      </c>
      <c r="AB559" s="13">
        <f t="shared" si="64"/>
        <v>0</v>
      </c>
      <c r="AD559" s="16"/>
      <c r="AF559" s="13">
        <f t="shared" si="69"/>
        <v>0</v>
      </c>
      <c r="AG559" s="16"/>
      <c r="AM559" s="12">
        <f t="shared" si="70"/>
        <v>0</v>
      </c>
      <c r="AN559" s="13">
        <f t="shared" si="71"/>
        <v>0</v>
      </c>
    </row>
    <row r="560" spans="1:40" x14ac:dyDescent="0.25">
      <c r="A560">
        <v>555</v>
      </c>
      <c r="B560" t="s">
        <v>556</v>
      </c>
      <c r="C560" t="s">
        <v>18</v>
      </c>
      <c r="D560" t="s">
        <v>16</v>
      </c>
      <c r="F560" s="514">
        <f>+'29'!F560+'30'!F560+'31'!F560</f>
        <v>0</v>
      </c>
      <c r="G560" s="12">
        <f>+'29'!G560+'30'!G560+'31'!G560</f>
        <v>0</v>
      </c>
      <c r="H560" s="12">
        <f>+'29'!H560+'30'!H560+'31'!H560</f>
        <v>0</v>
      </c>
      <c r="I560" s="271"/>
      <c r="J560" s="514">
        <f>+'29'!J560+'30'!J560+'31'!J560</f>
        <v>0</v>
      </c>
      <c r="K560" s="12">
        <f>+'29'!K560+'30'!K560+'31'!K560</f>
        <v>0</v>
      </c>
      <c r="L560" s="12">
        <f>+'29'!L560+'30'!L560+'31'!L560</f>
        <v>0</v>
      </c>
      <c r="M560" s="271"/>
      <c r="N560" s="514">
        <f>+'29'!N560+'30'!N560+'31'!N560</f>
        <v>0</v>
      </c>
      <c r="O560" s="12">
        <f>+'29'!O560+'30'!O560+'31'!O560</f>
        <v>0</v>
      </c>
      <c r="P560" s="12">
        <f>+'29'!P560+'30'!P560+'31'!P560</f>
        <v>0</v>
      </c>
      <c r="Q560" s="532"/>
      <c r="R560" s="270">
        <v>0</v>
      </c>
      <c r="S560" s="12">
        <v>0</v>
      </c>
      <c r="T560" s="12">
        <v>0</v>
      </c>
      <c r="U560" s="271"/>
      <c r="V560" s="533">
        <f t="shared" si="65"/>
        <v>0</v>
      </c>
      <c r="W560" s="533">
        <f t="shared" si="66"/>
        <v>0</v>
      </c>
      <c r="X560" s="257"/>
      <c r="Y560" s="261">
        <f t="shared" si="67"/>
        <v>0</v>
      </c>
      <c r="Z560" s="12">
        <f t="shared" si="68"/>
        <v>0</v>
      </c>
      <c r="AB560" s="13">
        <f t="shared" si="64"/>
        <v>0</v>
      </c>
      <c r="AD560" s="16"/>
      <c r="AF560" s="13">
        <f t="shared" si="69"/>
        <v>0</v>
      </c>
      <c r="AG560" s="16"/>
      <c r="AM560" s="12">
        <f t="shared" si="70"/>
        <v>0</v>
      </c>
      <c r="AN560" s="13">
        <f t="shared" si="71"/>
        <v>0</v>
      </c>
    </row>
    <row r="561" spans="1:40" x14ac:dyDescent="0.25">
      <c r="A561">
        <v>556</v>
      </c>
      <c r="B561" t="s">
        <v>557</v>
      </c>
      <c r="C561" t="s">
        <v>18</v>
      </c>
      <c r="D561" t="s">
        <v>16</v>
      </c>
      <c r="F561" s="514">
        <f>+'29'!F561+'30'!F561+'31'!F561</f>
        <v>0</v>
      </c>
      <c r="G561" s="12">
        <f>+'29'!G561+'30'!G561+'31'!G561</f>
        <v>0</v>
      </c>
      <c r="H561" s="12">
        <f>+'29'!H561+'30'!H561+'31'!H561</f>
        <v>0</v>
      </c>
      <c r="I561" s="271"/>
      <c r="J561" s="514">
        <f>+'29'!J561+'30'!J561+'31'!J561</f>
        <v>0</v>
      </c>
      <c r="K561" s="12">
        <f>+'29'!K561+'30'!K561+'31'!K561</f>
        <v>0</v>
      </c>
      <c r="L561" s="12">
        <f>+'29'!L561+'30'!L561+'31'!L561</f>
        <v>0</v>
      </c>
      <c r="M561" s="271"/>
      <c r="N561" s="514">
        <f>+'29'!N561+'30'!N561+'31'!N561</f>
        <v>0</v>
      </c>
      <c r="O561" s="12">
        <f>+'29'!O561+'30'!O561+'31'!O561</f>
        <v>0</v>
      </c>
      <c r="P561" s="12">
        <f>+'29'!P561+'30'!P561+'31'!P561</f>
        <v>0</v>
      </c>
      <c r="Q561" s="532"/>
      <c r="R561" s="270">
        <v>0</v>
      </c>
      <c r="S561" s="12">
        <v>0</v>
      </c>
      <c r="T561" s="12">
        <v>0</v>
      </c>
      <c r="U561" s="271"/>
      <c r="V561" s="533">
        <f t="shared" si="65"/>
        <v>0</v>
      </c>
      <c r="W561" s="533">
        <f t="shared" si="66"/>
        <v>0</v>
      </c>
      <c r="X561" s="257"/>
      <c r="Y561" s="261">
        <f t="shared" si="67"/>
        <v>0</v>
      </c>
      <c r="Z561" s="12">
        <f t="shared" si="68"/>
        <v>0</v>
      </c>
      <c r="AB561" s="13">
        <f t="shared" si="64"/>
        <v>0</v>
      </c>
      <c r="AD561" s="16"/>
      <c r="AF561" s="13">
        <f t="shared" si="69"/>
        <v>0</v>
      </c>
      <c r="AG561" s="16"/>
      <c r="AM561" s="12">
        <f t="shared" si="70"/>
        <v>0</v>
      </c>
      <c r="AN561" s="13">
        <f t="shared" si="71"/>
        <v>0</v>
      </c>
    </row>
    <row r="562" spans="1:40" x14ac:dyDescent="0.25">
      <c r="A562">
        <v>557</v>
      </c>
      <c r="B562" t="s">
        <v>558</v>
      </c>
      <c r="C562" t="s">
        <v>18</v>
      </c>
      <c r="D562" t="s">
        <v>16</v>
      </c>
      <c r="F562" s="514">
        <f>+'29'!F562+'30'!F562+'31'!F562</f>
        <v>0</v>
      </c>
      <c r="G562" s="12">
        <f>+'29'!G562+'30'!G562+'31'!G562</f>
        <v>0</v>
      </c>
      <c r="H562" s="12">
        <f>+'29'!H562+'30'!H562+'31'!H562</f>
        <v>0</v>
      </c>
      <c r="I562" s="271"/>
      <c r="J562" s="514">
        <f>+'29'!J562+'30'!J562+'31'!J562</f>
        <v>0</v>
      </c>
      <c r="K562" s="12">
        <f>+'29'!K562+'30'!K562+'31'!K562</f>
        <v>0</v>
      </c>
      <c r="L562" s="12">
        <f>+'29'!L562+'30'!L562+'31'!L562</f>
        <v>0</v>
      </c>
      <c r="M562" s="271"/>
      <c r="N562" s="514">
        <f>+'29'!N562+'30'!N562+'31'!N562</f>
        <v>0</v>
      </c>
      <c r="O562" s="12">
        <f>+'29'!O562+'30'!O562+'31'!O562</f>
        <v>0</v>
      </c>
      <c r="P562" s="12">
        <f>+'29'!P562+'30'!P562+'31'!P562</f>
        <v>0</v>
      </c>
      <c r="Q562" s="532"/>
      <c r="R562" s="270">
        <v>0</v>
      </c>
      <c r="S562" s="12">
        <v>0</v>
      </c>
      <c r="T562" s="12">
        <v>0</v>
      </c>
      <c r="U562" s="271"/>
      <c r="V562" s="533">
        <f t="shared" si="65"/>
        <v>0</v>
      </c>
      <c r="W562" s="533">
        <f t="shared" si="66"/>
        <v>0</v>
      </c>
      <c r="X562" s="257"/>
      <c r="Y562" s="261">
        <f t="shared" si="67"/>
        <v>0</v>
      </c>
      <c r="Z562" s="12">
        <f t="shared" si="68"/>
        <v>0</v>
      </c>
      <c r="AB562" s="13">
        <f t="shared" si="64"/>
        <v>0</v>
      </c>
      <c r="AD562" s="16"/>
      <c r="AF562" s="13">
        <f t="shared" si="69"/>
        <v>0</v>
      </c>
      <c r="AG562" s="16"/>
      <c r="AM562" s="12">
        <f t="shared" si="70"/>
        <v>0</v>
      </c>
      <c r="AN562" s="13">
        <f t="shared" si="71"/>
        <v>0</v>
      </c>
    </row>
    <row r="563" spans="1:40" x14ac:dyDescent="0.25">
      <c r="A563">
        <v>558</v>
      </c>
      <c r="B563" t="s">
        <v>559</v>
      </c>
      <c r="C563" t="s">
        <v>18</v>
      </c>
      <c r="D563" t="s">
        <v>16</v>
      </c>
      <c r="F563" s="514">
        <f>+'29'!F563+'30'!F563+'31'!F563</f>
        <v>0</v>
      </c>
      <c r="G563" s="12">
        <f>+'29'!G563+'30'!G563+'31'!G563</f>
        <v>0</v>
      </c>
      <c r="H563" s="12">
        <f>+'29'!H563+'30'!H563+'31'!H563</f>
        <v>0</v>
      </c>
      <c r="I563" s="271"/>
      <c r="J563" s="514">
        <f>+'29'!J563+'30'!J563+'31'!J563</f>
        <v>0</v>
      </c>
      <c r="K563" s="12">
        <f>+'29'!K563+'30'!K563+'31'!K563</f>
        <v>0</v>
      </c>
      <c r="L563" s="12">
        <f>+'29'!L563+'30'!L563+'31'!L563</f>
        <v>0</v>
      </c>
      <c r="M563" s="271"/>
      <c r="N563" s="514">
        <f>+'29'!N563+'30'!N563+'31'!N563</f>
        <v>0</v>
      </c>
      <c r="O563" s="12">
        <f>+'29'!O563+'30'!O563+'31'!O563</f>
        <v>0</v>
      </c>
      <c r="P563" s="12">
        <f>+'29'!P563+'30'!P563+'31'!P563</f>
        <v>0</v>
      </c>
      <c r="Q563" s="532"/>
      <c r="R563" s="270">
        <v>0</v>
      </c>
      <c r="S563" s="12">
        <v>0</v>
      </c>
      <c r="T563" s="12">
        <v>0</v>
      </c>
      <c r="U563" s="271"/>
      <c r="V563" s="533">
        <f t="shared" si="65"/>
        <v>0</v>
      </c>
      <c r="W563" s="533">
        <f t="shared" si="66"/>
        <v>0</v>
      </c>
      <c r="X563" s="257"/>
      <c r="Y563" s="261">
        <f t="shared" si="67"/>
        <v>0</v>
      </c>
      <c r="Z563" s="12">
        <f t="shared" si="68"/>
        <v>0</v>
      </c>
      <c r="AB563" s="13">
        <f t="shared" si="64"/>
        <v>0</v>
      </c>
      <c r="AF563" s="13">
        <f t="shared" si="69"/>
        <v>0</v>
      </c>
      <c r="AM563" s="12">
        <f t="shared" si="70"/>
        <v>0</v>
      </c>
      <c r="AN563" s="13">
        <f t="shared" si="71"/>
        <v>0</v>
      </c>
    </row>
    <row r="564" spans="1:40" x14ac:dyDescent="0.25">
      <c r="A564">
        <v>559</v>
      </c>
      <c r="B564" t="s">
        <v>560</v>
      </c>
      <c r="C564" t="s">
        <v>18</v>
      </c>
      <c r="D564" t="s">
        <v>16</v>
      </c>
      <c r="F564" s="514">
        <f>+'29'!F564+'30'!F564+'31'!F564</f>
        <v>0</v>
      </c>
      <c r="G564" s="12">
        <f>+'29'!G564+'30'!G564+'31'!G564</f>
        <v>0</v>
      </c>
      <c r="H564" s="12">
        <f>+'29'!H564+'30'!H564+'31'!H564</f>
        <v>0</v>
      </c>
      <c r="I564" s="271"/>
      <c r="J564" s="514">
        <f>+'29'!J564+'30'!J564+'31'!J564</f>
        <v>0</v>
      </c>
      <c r="K564" s="12">
        <f>+'29'!K564+'30'!K564+'31'!K564</f>
        <v>0</v>
      </c>
      <c r="L564" s="12">
        <f>+'29'!L564+'30'!L564+'31'!L564</f>
        <v>0</v>
      </c>
      <c r="M564" s="271"/>
      <c r="N564" s="514">
        <f>+'29'!N564+'30'!N564+'31'!N564</f>
        <v>0</v>
      </c>
      <c r="O564" s="12">
        <f>+'29'!O564+'30'!O564+'31'!O564</f>
        <v>0</v>
      </c>
      <c r="P564" s="12">
        <f>+'29'!P564+'30'!P564+'31'!P564</f>
        <v>0</v>
      </c>
      <c r="Q564" s="532"/>
      <c r="R564" s="270">
        <v>0</v>
      </c>
      <c r="S564" s="12">
        <v>0</v>
      </c>
      <c r="T564" s="12">
        <v>0</v>
      </c>
      <c r="U564" s="271"/>
      <c r="V564" s="533">
        <f t="shared" si="65"/>
        <v>0</v>
      </c>
      <c r="W564" s="533">
        <f t="shared" si="66"/>
        <v>0</v>
      </c>
      <c r="X564" s="257"/>
      <c r="Y564" s="261">
        <f t="shared" si="67"/>
        <v>0</v>
      </c>
      <c r="Z564" s="12">
        <f t="shared" si="68"/>
        <v>0</v>
      </c>
      <c r="AB564" s="13">
        <f t="shared" si="64"/>
        <v>0</v>
      </c>
      <c r="AF564" s="13">
        <f t="shared" si="69"/>
        <v>0</v>
      </c>
      <c r="AM564" s="12">
        <f t="shared" si="70"/>
        <v>0</v>
      </c>
      <c r="AN564" s="13">
        <f t="shared" si="71"/>
        <v>0</v>
      </c>
    </row>
    <row r="565" spans="1:40" x14ac:dyDescent="0.25">
      <c r="A565">
        <v>560</v>
      </c>
      <c r="B565" t="s">
        <v>561</v>
      </c>
      <c r="C565" t="s">
        <v>18</v>
      </c>
      <c r="D565" t="s">
        <v>16</v>
      </c>
      <c r="F565" s="514">
        <f>+'29'!F565+'30'!F565+'31'!F565</f>
        <v>0</v>
      </c>
      <c r="G565" s="12">
        <f>+'29'!G565+'30'!G565+'31'!G565</f>
        <v>0</v>
      </c>
      <c r="H565" s="12">
        <f>+'29'!H565+'30'!H565+'31'!H565</f>
        <v>0</v>
      </c>
      <c r="I565" s="271"/>
      <c r="J565" s="514">
        <f>+'29'!J565+'30'!J565+'31'!J565</f>
        <v>0</v>
      </c>
      <c r="K565" s="12">
        <f>+'29'!K565+'30'!K565+'31'!K565</f>
        <v>0</v>
      </c>
      <c r="L565" s="12">
        <f>+'29'!L565+'30'!L565+'31'!L565</f>
        <v>0</v>
      </c>
      <c r="M565" s="271"/>
      <c r="N565" s="514">
        <f>+'29'!N565+'30'!N565+'31'!N565</f>
        <v>0</v>
      </c>
      <c r="O565" s="12">
        <f>+'29'!O565+'30'!O565+'31'!O565</f>
        <v>0</v>
      </c>
      <c r="P565" s="12">
        <f>+'29'!P565+'30'!P565+'31'!P565</f>
        <v>0</v>
      </c>
      <c r="Q565" s="532"/>
      <c r="R565" s="270">
        <v>0</v>
      </c>
      <c r="S565" s="12">
        <v>0</v>
      </c>
      <c r="T565" s="12">
        <v>0</v>
      </c>
      <c r="U565" s="271"/>
      <c r="V565" s="533">
        <f t="shared" si="65"/>
        <v>0</v>
      </c>
      <c r="W565" s="533">
        <f t="shared" si="66"/>
        <v>0</v>
      </c>
      <c r="X565" s="257"/>
      <c r="Y565" s="261">
        <f t="shared" si="67"/>
        <v>0</v>
      </c>
      <c r="Z565" s="12">
        <f t="shared" si="68"/>
        <v>0</v>
      </c>
      <c r="AB565" s="13">
        <f t="shared" si="64"/>
        <v>0</v>
      </c>
      <c r="AF565" s="13">
        <f t="shared" si="69"/>
        <v>0</v>
      </c>
      <c r="AM565" s="12">
        <f t="shared" si="70"/>
        <v>0</v>
      </c>
      <c r="AN565" s="13">
        <f t="shared" si="71"/>
        <v>0</v>
      </c>
    </row>
    <row r="566" spans="1:40" x14ac:dyDescent="0.25">
      <c r="A566">
        <v>561</v>
      </c>
      <c r="B566" t="s">
        <v>562</v>
      </c>
      <c r="C566" t="s">
        <v>18</v>
      </c>
      <c r="D566" t="s">
        <v>16</v>
      </c>
      <c r="F566" s="514">
        <f>+'29'!F566+'30'!F566+'31'!F566</f>
        <v>0</v>
      </c>
      <c r="G566" s="12">
        <f>+'29'!G566+'30'!G566+'31'!G566</f>
        <v>0</v>
      </c>
      <c r="H566" s="12">
        <f>+'29'!H566+'30'!H566+'31'!H566</f>
        <v>0</v>
      </c>
      <c r="I566" s="271"/>
      <c r="J566" s="514">
        <f>+'29'!J566+'30'!J566+'31'!J566</f>
        <v>0</v>
      </c>
      <c r="K566" s="12">
        <f>+'29'!K566+'30'!K566+'31'!K566</f>
        <v>0</v>
      </c>
      <c r="L566" s="12">
        <f>+'29'!L566+'30'!L566+'31'!L566</f>
        <v>0</v>
      </c>
      <c r="M566" s="271"/>
      <c r="N566" s="514">
        <f>+'29'!N566+'30'!N566+'31'!N566</f>
        <v>0</v>
      </c>
      <c r="O566" s="12">
        <f>+'29'!O566+'30'!O566+'31'!O566</f>
        <v>0</v>
      </c>
      <c r="P566" s="12">
        <f>+'29'!P566+'30'!P566+'31'!P566</f>
        <v>0</v>
      </c>
      <c r="Q566" s="532"/>
      <c r="R566" s="270">
        <v>0</v>
      </c>
      <c r="S566" s="12">
        <v>0</v>
      </c>
      <c r="T566" s="12">
        <v>0</v>
      </c>
      <c r="U566" s="271"/>
      <c r="V566" s="533">
        <f t="shared" si="65"/>
        <v>0</v>
      </c>
      <c r="W566" s="533">
        <f t="shared" si="66"/>
        <v>0</v>
      </c>
      <c r="X566" s="257"/>
      <c r="Y566" s="261">
        <f t="shared" si="67"/>
        <v>0</v>
      </c>
      <c r="Z566" s="12">
        <f t="shared" si="68"/>
        <v>0</v>
      </c>
      <c r="AB566" s="13">
        <f t="shared" si="64"/>
        <v>0</v>
      </c>
      <c r="AD566" s="16"/>
      <c r="AF566" s="13">
        <f t="shared" si="69"/>
        <v>0</v>
      </c>
      <c r="AG566" s="16"/>
      <c r="AM566" s="12">
        <f t="shared" si="70"/>
        <v>0</v>
      </c>
      <c r="AN566" s="13">
        <f t="shared" si="71"/>
        <v>0</v>
      </c>
    </row>
    <row r="567" spans="1:40" x14ac:dyDescent="0.25">
      <c r="A567">
        <v>562</v>
      </c>
      <c r="B567" t="s">
        <v>563</v>
      </c>
      <c r="C567" t="s">
        <v>18</v>
      </c>
      <c r="D567" t="s">
        <v>16</v>
      </c>
      <c r="F567" s="514">
        <f>+'29'!F567+'30'!F567+'31'!F567</f>
        <v>0</v>
      </c>
      <c r="G567" s="12">
        <f>+'29'!G567+'30'!G567+'31'!G567</f>
        <v>0</v>
      </c>
      <c r="H567" s="12">
        <f>+'29'!H567+'30'!H567+'31'!H567</f>
        <v>0</v>
      </c>
      <c r="I567" s="271"/>
      <c r="J567" s="514">
        <f>+'29'!J567+'30'!J567+'31'!J567</f>
        <v>0</v>
      </c>
      <c r="K567" s="12">
        <f>+'29'!K567+'30'!K567+'31'!K567</f>
        <v>0</v>
      </c>
      <c r="L567" s="12">
        <f>+'29'!L567+'30'!L567+'31'!L567</f>
        <v>0</v>
      </c>
      <c r="M567" s="271"/>
      <c r="N567" s="514">
        <f>+'29'!N567+'30'!N567+'31'!N567</f>
        <v>0</v>
      </c>
      <c r="O567" s="12">
        <f>+'29'!O567+'30'!O567+'31'!O567</f>
        <v>0</v>
      </c>
      <c r="P567" s="12">
        <f>+'29'!P567+'30'!P567+'31'!P567</f>
        <v>0</v>
      </c>
      <c r="Q567" s="532"/>
      <c r="R567" s="270">
        <v>0</v>
      </c>
      <c r="S567" s="12">
        <v>0</v>
      </c>
      <c r="T567" s="12">
        <v>0</v>
      </c>
      <c r="U567" s="271"/>
      <c r="V567" s="533">
        <f t="shared" si="65"/>
        <v>0</v>
      </c>
      <c r="W567" s="533">
        <f t="shared" si="66"/>
        <v>0</v>
      </c>
      <c r="X567" s="257"/>
      <c r="Y567" s="261">
        <f t="shared" si="67"/>
        <v>0</v>
      </c>
      <c r="Z567" s="12">
        <f t="shared" si="68"/>
        <v>0</v>
      </c>
      <c r="AB567" s="13">
        <f t="shared" si="64"/>
        <v>0</v>
      </c>
      <c r="AF567" s="13">
        <f t="shared" si="69"/>
        <v>0</v>
      </c>
      <c r="AM567" s="12">
        <f t="shared" si="70"/>
        <v>0</v>
      </c>
      <c r="AN567" s="13">
        <f t="shared" si="71"/>
        <v>0</v>
      </c>
    </row>
    <row r="568" spans="1:40" x14ac:dyDescent="0.25">
      <c r="A568">
        <v>563</v>
      </c>
      <c r="B568" t="s">
        <v>564</v>
      </c>
      <c r="C568" t="s">
        <v>18</v>
      </c>
      <c r="D568" t="s">
        <v>16</v>
      </c>
      <c r="F568" s="514">
        <f>+'29'!F568+'30'!F568+'31'!F568</f>
        <v>0</v>
      </c>
      <c r="G568" s="12">
        <f>+'29'!G568+'30'!G568+'31'!G568</f>
        <v>0</v>
      </c>
      <c r="H568" s="12">
        <f>+'29'!H568+'30'!H568+'31'!H568</f>
        <v>0</v>
      </c>
      <c r="I568" s="271"/>
      <c r="J568" s="514">
        <f>+'29'!J568+'30'!J568+'31'!J568</f>
        <v>0</v>
      </c>
      <c r="K568" s="12">
        <f>+'29'!K568+'30'!K568+'31'!K568</f>
        <v>0</v>
      </c>
      <c r="L568" s="12">
        <f>+'29'!L568+'30'!L568+'31'!L568</f>
        <v>0</v>
      </c>
      <c r="M568" s="271"/>
      <c r="N568" s="514">
        <f>+'29'!N568+'30'!N568+'31'!N568</f>
        <v>0</v>
      </c>
      <c r="O568" s="12">
        <f>+'29'!O568+'30'!O568+'31'!O568</f>
        <v>0</v>
      </c>
      <c r="P568" s="12">
        <f>+'29'!P568+'30'!P568+'31'!P568</f>
        <v>0</v>
      </c>
      <c r="Q568" s="532"/>
      <c r="R568" s="270">
        <v>0</v>
      </c>
      <c r="S568" s="12">
        <v>0</v>
      </c>
      <c r="T568" s="12">
        <v>0</v>
      </c>
      <c r="U568" s="271"/>
      <c r="V568" s="533">
        <f t="shared" si="65"/>
        <v>0</v>
      </c>
      <c r="W568" s="533">
        <f t="shared" si="66"/>
        <v>0</v>
      </c>
      <c r="X568" s="257"/>
      <c r="Y568" s="261">
        <f t="shared" si="67"/>
        <v>0</v>
      </c>
      <c r="Z568" s="12">
        <f t="shared" si="68"/>
        <v>0</v>
      </c>
      <c r="AB568" s="13">
        <f t="shared" si="64"/>
        <v>0</v>
      </c>
      <c r="AF568" s="13">
        <f t="shared" si="69"/>
        <v>0</v>
      </c>
      <c r="AM568" s="12">
        <f t="shared" si="70"/>
        <v>0</v>
      </c>
      <c r="AN568" s="13">
        <f t="shared" si="71"/>
        <v>0</v>
      </c>
    </row>
    <row r="569" spans="1:40" x14ac:dyDescent="0.25">
      <c r="A569">
        <v>564</v>
      </c>
      <c r="B569" t="s">
        <v>565</v>
      </c>
      <c r="C569" t="s">
        <v>18</v>
      </c>
      <c r="D569" t="s">
        <v>16</v>
      </c>
      <c r="F569" s="514">
        <f>+'29'!F569+'30'!F569+'31'!F569</f>
        <v>0</v>
      </c>
      <c r="G569" s="12">
        <f>+'29'!G569+'30'!G569+'31'!G569</f>
        <v>0</v>
      </c>
      <c r="H569" s="12">
        <f>+'29'!H569+'30'!H569+'31'!H569</f>
        <v>0</v>
      </c>
      <c r="I569" s="271"/>
      <c r="J569" s="514">
        <f>+'29'!J569+'30'!J569+'31'!J569</f>
        <v>0</v>
      </c>
      <c r="K569" s="12">
        <f>+'29'!K569+'30'!K569+'31'!K569</f>
        <v>0</v>
      </c>
      <c r="L569" s="12">
        <f>+'29'!L569+'30'!L569+'31'!L569</f>
        <v>0</v>
      </c>
      <c r="M569" s="271"/>
      <c r="N569" s="514">
        <f>+'29'!N569+'30'!N569+'31'!N569</f>
        <v>0</v>
      </c>
      <c r="O569" s="12">
        <f>+'29'!O569+'30'!O569+'31'!O569</f>
        <v>0</v>
      </c>
      <c r="P569" s="12">
        <f>+'29'!P569+'30'!P569+'31'!P569</f>
        <v>0</v>
      </c>
      <c r="Q569" s="532"/>
      <c r="R569" s="270">
        <v>0</v>
      </c>
      <c r="S569" s="12">
        <v>0</v>
      </c>
      <c r="T569" s="12">
        <v>0</v>
      </c>
      <c r="U569" s="271"/>
      <c r="V569" s="533">
        <f t="shared" si="65"/>
        <v>0</v>
      </c>
      <c r="W569" s="533">
        <f t="shared" si="66"/>
        <v>0</v>
      </c>
      <c r="X569" s="257"/>
      <c r="Y569" s="261">
        <f t="shared" si="67"/>
        <v>0</v>
      </c>
      <c r="Z569" s="12">
        <f t="shared" si="68"/>
        <v>0</v>
      </c>
      <c r="AB569" s="13">
        <f t="shared" si="64"/>
        <v>0</v>
      </c>
      <c r="AF569" s="13">
        <f t="shared" si="69"/>
        <v>0</v>
      </c>
      <c r="AM569" s="12">
        <f t="shared" si="70"/>
        <v>0</v>
      </c>
      <c r="AN569" s="13">
        <f t="shared" si="71"/>
        <v>0</v>
      </c>
    </row>
    <row r="570" spans="1:40" x14ac:dyDescent="0.25">
      <c r="A570">
        <v>565</v>
      </c>
      <c r="B570" t="s">
        <v>566</v>
      </c>
      <c r="C570" t="s">
        <v>18</v>
      </c>
      <c r="D570" t="s">
        <v>16</v>
      </c>
      <c r="F570" s="514">
        <f>+'29'!F570+'30'!F570+'31'!F570</f>
        <v>0</v>
      </c>
      <c r="G570" s="12">
        <f>+'29'!G570+'30'!G570+'31'!G570</f>
        <v>0</v>
      </c>
      <c r="H570" s="12">
        <f>+'29'!H570+'30'!H570+'31'!H570</f>
        <v>0</v>
      </c>
      <c r="I570" s="271"/>
      <c r="J570" s="514">
        <f>+'29'!J570+'30'!J570+'31'!J570</f>
        <v>0</v>
      </c>
      <c r="K570" s="12">
        <f>+'29'!K570+'30'!K570+'31'!K570</f>
        <v>0</v>
      </c>
      <c r="L570" s="12">
        <f>+'29'!L570+'30'!L570+'31'!L570</f>
        <v>0</v>
      </c>
      <c r="M570" s="271"/>
      <c r="N570" s="514">
        <f>+'29'!N570+'30'!N570+'31'!N570</f>
        <v>0</v>
      </c>
      <c r="O570" s="12">
        <f>+'29'!O570+'30'!O570+'31'!O570</f>
        <v>0</v>
      </c>
      <c r="P570" s="12">
        <f>+'29'!P570+'30'!P570+'31'!P570</f>
        <v>0</v>
      </c>
      <c r="Q570" s="532"/>
      <c r="R570" s="270">
        <v>0</v>
      </c>
      <c r="S570" s="12">
        <v>0</v>
      </c>
      <c r="T570" s="12">
        <v>0</v>
      </c>
      <c r="U570" s="271"/>
      <c r="V570" s="533">
        <f t="shared" si="65"/>
        <v>0</v>
      </c>
      <c r="W570" s="533">
        <f t="shared" si="66"/>
        <v>0</v>
      </c>
      <c r="X570" s="257"/>
      <c r="Y570" s="261">
        <f t="shared" si="67"/>
        <v>0</v>
      </c>
      <c r="Z570" s="12">
        <f t="shared" si="68"/>
        <v>0</v>
      </c>
      <c r="AB570" s="13">
        <f t="shared" si="64"/>
        <v>0</v>
      </c>
      <c r="AF570" s="13">
        <f t="shared" si="69"/>
        <v>0</v>
      </c>
      <c r="AG570" s="16"/>
      <c r="AJ570" s="13"/>
      <c r="AL570" s="33"/>
      <c r="AM570" s="12">
        <f t="shared" si="70"/>
        <v>0</v>
      </c>
      <c r="AN570" s="13">
        <f t="shared" si="71"/>
        <v>0</v>
      </c>
    </row>
    <row r="571" spans="1:40" x14ac:dyDescent="0.25">
      <c r="A571">
        <v>566</v>
      </c>
      <c r="B571" t="s">
        <v>567</v>
      </c>
      <c r="C571" t="s">
        <v>18</v>
      </c>
      <c r="D571" t="s">
        <v>16</v>
      </c>
      <c r="F571" s="514">
        <f>+'29'!F571+'30'!F571+'31'!F571</f>
        <v>0</v>
      </c>
      <c r="G571" s="12">
        <f>+'29'!G571+'30'!G571+'31'!G571</f>
        <v>0</v>
      </c>
      <c r="H571" s="12">
        <f>+'29'!H571+'30'!H571+'31'!H571</f>
        <v>0</v>
      </c>
      <c r="I571" s="271"/>
      <c r="J571" s="514">
        <f>+'29'!J571+'30'!J571+'31'!J571</f>
        <v>0</v>
      </c>
      <c r="K571" s="12">
        <f>+'29'!K571+'30'!K571+'31'!K571</f>
        <v>0</v>
      </c>
      <c r="L571" s="12">
        <f>+'29'!L571+'30'!L571+'31'!L571</f>
        <v>0</v>
      </c>
      <c r="M571" s="271"/>
      <c r="N571" s="514">
        <f>+'29'!N571+'30'!N571+'31'!N571</f>
        <v>0</v>
      </c>
      <c r="O571" s="12">
        <f>+'29'!O571+'30'!O571+'31'!O571</f>
        <v>0</v>
      </c>
      <c r="P571" s="12">
        <f>+'29'!P571+'30'!P571+'31'!P571</f>
        <v>0</v>
      </c>
      <c r="Q571" s="532"/>
      <c r="R571" s="270">
        <v>0</v>
      </c>
      <c r="S571" s="12">
        <v>0</v>
      </c>
      <c r="T571" s="12">
        <v>0</v>
      </c>
      <c r="U571" s="271"/>
      <c r="V571" s="533">
        <f t="shared" si="65"/>
        <v>0</v>
      </c>
      <c r="W571" s="533">
        <f t="shared" si="66"/>
        <v>0</v>
      </c>
      <c r="X571" s="257"/>
      <c r="Y571" s="261">
        <f t="shared" si="67"/>
        <v>0</v>
      </c>
      <c r="Z571" s="12">
        <f t="shared" si="68"/>
        <v>0</v>
      </c>
      <c r="AB571" s="13">
        <f t="shared" si="64"/>
        <v>0</v>
      </c>
      <c r="AD571" s="16"/>
      <c r="AF571" s="13">
        <f t="shared" si="69"/>
        <v>0</v>
      </c>
      <c r="AG571" s="16"/>
      <c r="AM571" s="12">
        <f t="shared" si="70"/>
        <v>0</v>
      </c>
      <c r="AN571" s="13">
        <f t="shared" si="71"/>
        <v>0</v>
      </c>
    </row>
    <row r="572" spans="1:40" x14ac:dyDescent="0.25">
      <c r="A572">
        <v>567</v>
      </c>
      <c r="B572" t="s">
        <v>568</v>
      </c>
      <c r="C572" t="s">
        <v>18</v>
      </c>
      <c r="D572" t="s">
        <v>16</v>
      </c>
      <c r="F572" s="514">
        <f>+'29'!F572+'30'!F572+'31'!F572</f>
        <v>0</v>
      </c>
      <c r="G572" s="12">
        <f>+'29'!G572+'30'!G572+'31'!G572</f>
        <v>0</v>
      </c>
      <c r="H572" s="12">
        <f>+'29'!H572+'30'!H572+'31'!H572</f>
        <v>0</v>
      </c>
      <c r="I572" s="271"/>
      <c r="J572" s="514">
        <f>+'29'!J572+'30'!J572+'31'!J572</f>
        <v>0</v>
      </c>
      <c r="K572" s="12">
        <f>+'29'!K572+'30'!K572+'31'!K572</f>
        <v>0</v>
      </c>
      <c r="L572" s="12">
        <f>+'29'!L572+'30'!L572+'31'!L572</f>
        <v>0</v>
      </c>
      <c r="M572" s="271"/>
      <c r="N572" s="514">
        <f>+'29'!N572+'30'!N572+'31'!N572</f>
        <v>0</v>
      </c>
      <c r="O572" s="12">
        <f>+'29'!O572+'30'!O572+'31'!O572</f>
        <v>0</v>
      </c>
      <c r="P572" s="12">
        <f>+'29'!P572+'30'!P572+'31'!P572</f>
        <v>0</v>
      </c>
      <c r="Q572" s="532"/>
      <c r="R572" s="270">
        <v>0</v>
      </c>
      <c r="S572" s="12">
        <v>0</v>
      </c>
      <c r="T572" s="12">
        <v>0</v>
      </c>
      <c r="U572" s="271"/>
      <c r="V572" s="533">
        <f t="shared" si="65"/>
        <v>0</v>
      </c>
      <c r="W572" s="533">
        <f t="shared" si="66"/>
        <v>0</v>
      </c>
      <c r="X572" s="257"/>
      <c r="Y572" s="261">
        <f t="shared" si="67"/>
        <v>0</v>
      </c>
      <c r="Z572" s="12">
        <f t="shared" si="68"/>
        <v>0</v>
      </c>
      <c r="AB572" s="13">
        <f t="shared" si="64"/>
        <v>0</v>
      </c>
      <c r="AF572" s="13">
        <f t="shared" si="69"/>
        <v>0</v>
      </c>
      <c r="AG572" s="16"/>
      <c r="AM572" s="12">
        <f t="shared" si="70"/>
        <v>0</v>
      </c>
      <c r="AN572" s="13">
        <f t="shared" si="71"/>
        <v>0</v>
      </c>
    </row>
    <row r="573" spans="1:40" x14ac:dyDescent="0.25">
      <c r="A573">
        <v>568</v>
      </c>
      <c r="B573" t="s">
        <v>569</v>
      </c>
      <c r="C573" t="s">
        <v>18</v>
      </c>
      <c r="D573" t="s">
        <v>16</v>
      </c>
      <c r="F573" s="514">
        <f>+'29'!F573+'30'!F573+'31'!F573</f>
        <v>0</v>
      </c>
      <c r="G573" s="12">
        <f>+'29'!G573+'30'!G573+'31'!G573</f>
        <v>0</v>
      </c>
      <c r="H573" s="12">
        <f>+'29'!H573+'30'!H573+'31'!H573</f>
        <v>0</v>
      </c>
      <c r="I573" s="271"/>
      <c r="J573" s="514">
        <f>+'29'!J573+'30'!J573+'31'!J573</f>
        <v>0</v>
      </c>
      <c r="K573" s="12">
        <f>+'29'!K573+'30'!K573+'31'!K573</f>
        <v>0</v>
      </c>
      <c r="L573" s="12">
        <f>+'29'!L573+'30'!L573+'31'!L573</f>
        <v>0</v>
      </c>
      <c r="M573" s="271"/>
      <c r="N573" s="514">
        <f>+'29'!N573+'30'!N573+'31'!N573</f>
        <v>0</v>
      </c>
      <c r="O573" s="12">
        <f>+'29'!O573+'30'!O573+'31'!O573</f>
        <v>0</v>
      </c>
      <c r="P573" s="12">
        <f>+'29'!P573+'30'!P573+'31'!P573</f>
        <v>0</v>
      </c>
      <c r="Q573" s="532"/>
      <c r="R573" s="270">
        <v>0</v>
      </c>
      <c r="S573" s="12">
        <v>0</v>
      </c>
      <c r="T573" s="12">
        <v>0</v>
      </c>
      <c r="U573" s="271"/>
      <c r="V573" s="533">
        <f t="shared" si="65"/>
        <v>0</v>
      </c>
      <c r="W573" s="533">
        <f t="shared" si="66"/>
        <v>0</v>
      </c>
      <c r="X573" s="257"/>
      <c r="Y573" s="261">
        <f t="shared" si="67"/>
        <v>0</v>
      </c>
      <c r="Z573" s="12">
        <f t="shared" si="68"/>
        <v>0</v>
      </c>
      <c r="AB573" s="13">
        <f t="shared" si="64"/>
        <v>0</v>
      </c>
      <c r="AD573" s="357"/>
      <c r="AF573" s="13">
        <f t="shared" si="69"/>
        <v>0</v>
      </c>
      <c r="AG573" s="16"/>
      <c r="AM573" s="12">
        <f t="shared" si="70"/>
        <v>0</v>
      </c>
      <c r="AN573" s="13">
        <f t="shared" si="71"/>
        <v>0</v>
      </c>
    </row>
    <row r="574" spans="1:40" x14ac:dyDescent="0.25">
      <c r="A574">
        <v>569</v>
      </c>
      <c r="B574" t="s">
        <v>570</v>
      </c>
      <c r="C574" t="s">
        <v>18</v>
      </c>
      <c r="D574" t="s">
        <v>16</v>
      </c>
      <c r="F574" s="514">
        <f>+'29'!F574+'30'!F574+'31'!F574</f>
        <v>0</v>
      </c>
      <c r="G574" s="12">
        <f>+'29'!G574+'30'!G574+'31'!G574</f>
        <v>0</v>
      </c>
      <c r="H574" s="12">
        <f>+'29'!H574+'30'!H574+'31'!H574</f>
        <v>0</v>
      </c>
      <c r="I574" s="271"/>
      <c r="J574" s="514">
        <f>+'29'!J574+'30'!J574+'31'!J574</f>
        <v>0</v>
      </c>
      <c r="K574" s="12">
        <f>+'29'!K574+'30'!K574+'31'!K574</f>
        <v>0</v>
      </c>
      <c r="L574" s="12">
        <f>+'29'!L574+'30'!L574+'31'!L574</f>
        <v>0</v>
      </c>
      <c r="M574" s="271"/>
      <c r="N574" s="514">
        <f>+'29'!N574+'30'!N574+'31'!N574</f>
        <v>0</v>
      </c>
      <c r="O574" s="12">
        <f>+'29'!O574+'30'!O574+'31'!O574</f>
        <v>0</v>
      </c>
      <c r="P574" s="12">
        <f>+'29'!P574+'30'!P574+'31'!P574</f>
        <v>0</v>
      </c>
      <c r="Q574" s="532"/>
      <c r="R574" s="270">
        <v>0</v>
      </c>
      <c r="S574" s="12">
        <v>0</v>
      </c>
      <c r="T574" s="12">
        <v>0</v>
      </c>
      <c r="U574" s="271"/>
      <c r="V574" s="533">
        <f t="shared" si="65"/>
        <v>0</v>
      </c>
      <c r="W574" s="533">
        <f t="shared" si="66"/>
        <v>0</v>
      </c>
      <c r="X574" s="257"/>
      <c r="Y574" s="261">
        <f t="shared" si="67"/>
        <v>0</v>
      </c>
      <c r="Z574" s="12">
        <f t="shared" si="68"/>
        <v>0</v>
      </c>
      <c r="AB574" s="13">
        <f t="shared" si="64"/>
        <v>0</v>
      </c>
      <c r="AF574" s="13">
        <f t="shared" si="69"/>
        <v>0</v>
      </c>
      <c r="AM574" s="12">
        <f t="shared" si="70"/>
        <v>0</v>
      </c>
      <c r="AN574" s="13">
        <f t="shared" si="71"/>
        <v>0</v>
      </c>
    </row>
    <row r="575" spans="1:40" x14ac:dyDescent="0.25">
      <c r="A575">
        <v>570</v>
      </c>
      <c r="B575" t="s">
        <v>571</v>
      </c>
      <c r="C575" t="s">
        <v>18</v>
      </c>
      <c r="D575" t="s">
        <v>16</v>
      </c>
      <c r="F575" s="514">
        <f>+'29'!F575+'30'!F575+'31'!F575</f>
        <v>0</v>
      </c>
      <c r="G575" s="12">
        <f>+'29'!G575+'30'!G575+'31'!G575</f>
        <v>0</v>
      </c>
      <c r="H575" s="12">
        <f>+'29'!H575+'30'!H575+'31'!H575</f>
        <v>0</v>
      </c>
      <c r="I575" s="271"/>
      <c r="J575" s="514">
        <f>+'29'!J575+'30'!J575+'31'!J575</f>
        <v>0</v>
      </c>
      <c r="K575" s="12">
        <f>+'29'!K575+'30'!K575+'31'!K575</f>
        <v>0</v>
      </c>
      <c r="L575" s="12">
        <f>+'29'!L575+'30'!L575+'31'!L575</f>
        <v>0</v>
      </c>
      <c r="M575" s="271"/>
      <c r="N575" s="514">
        <f>+'29'!N575+'30'!N575+'31'!N575</f>
        <v>0</v>
      </c>
      <c r="O575" s="12">
        <f>+'29'!O575+'30'!O575+'31'!O575</f>
        <v>0</v>
      </c>
      <c r="P575" s="12">
        <f>+'29'!P575+'30'!P575+'31'!P575</f>
        <v>0</v>
      </c>
      <c r="Q575" s="532"/>
      <c r="R575" s="270">
        <v>0</v>
      </c>
      <c r="S575" s="12">
        <v>0</v>
      </c>
      <c r="T575" s="12">
        <v>0</v>
      </c>
      <c r="U575" s="271"/>
      <c r="V575" s="533">
        <f t="shared" si="65"/>
        <v>0</v>
      </c>
      <c r="W575" s="533">
        <f t="shared" si="66"/>
        <v>0</v>
      </c>
      <c r="X575" s="257"/>
      <c r="Y575" s="261">
        <f t="shared" si="67"/>
        <v>0</v>
      </c>
      <c r="Z575" s="12">
        <f t="shared" si="68"/>
        <v>0</v>
      </c>
      <c r="AB575" s="13">
        <f t="shared" si="64"/>
        <v>0</v>
      </c>
      <c r="AF575" s="13">
        <f t="shared" si="69"/>
        <v>0</v>
      </c>
      <c r="AG575" s="16"/>
      <c r="AM575" s="12">
        <f t="shared" si="70"/>
        <v>0</v>
      </c>
      <c r="AN575" s="13">
        <f t="shared" si="71"/>
        <v>0</v>
      </c>
    </row>
    <row r="576" spans="1:40" x14ac:dyDescent="0.25">
      <c r="A576">
        <v>571</v>
      </c>
      <c r="B576" t="s">
        <v>572</v>
      </c>
      <c r="C576" t="s">
        <v>18</v>
      </c>
      <c r="D576" t="s">
        <v>16</v>
      </c>
      <c r="F576" s="514">
        <f>+'29'!F576+'30'!F576+'31'!F576</f>
        <v>0</v>
      </c>
      <c r="G576" s="12">
        <f>+'29'!G576+'30'!G576+'31'!G576</f>
        <v>0</v>
      </c>
      <c r="H576" s="12">
        <f>+'29'!H576+'30'!H576+'31'!H576</f>
        <v>0</v>
      </c>
      <c r="I576" s="271"/>
      <c r="J576" s="514">
        <f>+'29'!J576+'30'!J576+'31'!J576</f>
        <v>0</v>
      </c>
      <c r="K576" s="12">
        <f>+'29'!K576+'30'!K576+'31'!K576</f>
        <v>0</v>
      </c>
      <c r="L576" s="12">
        <f>+'29'!L576+'30'!L576+'31'!L576</f>
        <v>0</v>
      </c>
      <c r="M576" s="271"/>
      <c r="N576" s="514">
        <f>+'29'!N576+'30'!N576+'31'!N576</f>
        <v>0</v>
      </c>
      <c r="O576" s="12">
        <f>+'29'!O576+'30'!O576+'31'!O576</f>
        <v>0</v>
      </c>
      <c r="P576" s="12">
        <f>+'29'!P576+'30'!P576+'31'!P576</f>
        <v>0</v>
      </c>
      <c r="Q576" s="532"/>
      <c r="R576" s="270">
        <v>0</v>
      </c>
      <c r="S576" s="12">
        <v>0</v>
      </c>
      <c r="T576" s="12">
        <v>0</v>
      </c>
      <c r="U576" s="271"/>
      <c r="V576" s="533">
        <f t="shared" si="65"/>
        <v>0</v>
      </c>
      <c r="W576" s="533">
        <f t="shared" si="66"/>
        <v>0</v>
      </c>
      <c r="X576" s="257"/>
      <c r="Y576" s="261">
        <f t="shared" si="67"/>
        <v>0</v>
      </c>
      <c r="Z576" s="12">
        <f t="shared" si="68"/>
        <v>0</v>
      </c>
      <c r="AB576" s="13">
        <f t="shared" si="64"/>
        <v>0</v>
      </c>
      <c r="AF576" s="13">
        <f t="shared" si="69"/>
        <v>0</v>
      </c>
      <c r="AG576" s="16"/>
      <c r="AM576" s="12">
        <f t="shared" si="70"/>
        <v>0</v>
      </c>
      <c r="AN576" s="13">
        <f t="shared" si="71"/>
        <v>0</v>
      </c>
    </row>
    <row r="577" spans="1:40" x14ac:dyDescent="0.25">
      <c r="A577">
        <v>572</v>
      </c>
      <c r="B577" t="s">
        <v>573</v>
      </c>
      <c r="C577" t="s">
        <v>24</v>
      </c>
      <c r="D577" t="s">
        <v>16</v>
      </c>
      <c r="F577" s="514">
        <f>+'29'!F577+'30'!F577+'31'!F577</f>
        <v>143</v>
      </c>
      <c r="G577" s="12">
        <f>+'29'!G577+'30'!G577+'31'!G577</f>
        <v>723574.34</v>
      </c>
      <c r="H577" s="12">
        <f>+'29'!H577+'30'!H577+'31'!H577</f>
        <v>2245</v>
      </c>
      <c r="I577" s="271"/>
      <c r="J577" s="514">
        <f>+'29'!J577+'30'!J577+'31'!J577</f>
        <v>0</v>
      </c>
      <c r="K577" s="12">
        <f>+'29'!K577+'30'!K577+'31'!K577</f>
        <v>0</v>
      </c>
      <c r="L577" s="12">
        <f>+'29'!L577+'30'!L577+'31'!L577</f>
        <v>0</v>
      </c>
      <c r="M577" s="271"/>
      <c r="N577" s="514">
        <f>+'29'!N577+'30'!N577+'31'!N577</f>
        <v>143</v>
      </c>
      <c r="O577" s="12">
        <f>+'29'!O577+'30'!O577+'31'!O577</f>
        <v>723574.34</v>
      </c>
      <c r="P577" s="12">
        <f>+'29'!P577+'30'!P577+'31'!P577</f>
        <v>2245</v>
      </c>
      <c r="Q577" s="532"/>
      <c r="R577" s="270">
        <v>143</v>
      </c>
      <c r="S577" s="12">
        <v>723574.34</v>
      </c>
      <c r="T577" s="12">
        <v>0</v>
      </c>
      <c r="U577" s="271"/>
      <c r="V577" s="533">
        <f t="shared" si="65"/>
        <v>0</v>
      </c>
      <c r="W577" s="533">
        <f t="shared" si="66"/>
        <v>0</v>
      </c>
      <c r="X577" s="257"/>
      <c r="Y577" s="261">
        <f t="shared" si="67"/>
        <v>0</v>
      </c>
      <c r="Z577" s="12">
        <f t="shared" si="68"/>
        <v>0</v>
      </c>
      <c r="AB577" s="13">
        <f t="shared" si="64"/>
        <v>723574.34</v>
      </c>
      <c r="AD577" s="16"/>
      <c r="AF577" s="13">
        <f t="shared" si="69"/>
        <v>723574.34</v>
      </c>
      <c r="AG577" s="16"/>
      <c r="AM577" s="12">
        <f t="shared" si="70"/>
        <v>0</v>
      </c>
      <c r="AN577" s="13">
        <f t="shared" si="71"/>
        <v>723574.34</v>
      </c>
    </row>
    <row r="578" spans="1:40" x14ac:dyDescent="0.25">
      <c r="A578">
        <v>573</v>
      </c>
      <c r="B578" t="s">
        <v>574</v>
      </c>
      <c r="C578" t="s">
        <v>18</v>
      </c>
      <c r="D578" t="s">
        <v>16</v>
      </c>
      <c r="F578" s="514">
        <f>+'29'!F578+'30'!F578+'31'!F578</f>
        <v>10</v>
      </c>
      <c r="G578" s="12">
        <f>+'29'!G578+'30'!G578+'31'!G578</f>
        <v>29452</v>
      </c>
      <c r="H578" s="12">
        <f>+'29'!H578+'30'!H578+'31'!H578</f>
        <v>500</v>
      </c>
      <c r="I578" s="271"/>
      <c r="J578" s="514">
        <f>+'29'!J578+'30'!J578+'31'!J578</f>
        <v>0</v>
      </c>
      <c r="K578" s="12">
        <f>+'29'!K578+'30'!K578+'31'!K578</f>
        <v>0</v>
      </c>
      <c r="L578" s="12">
        <f>+'29'!L578+'30'!L578+'31'!L578</f>
        <v>0</v>
      </c>
      <c r="M578" s="271"/>
      <c r="N578" s="514">
        <f>+'29'!N578+'30'!N578+'31'!N578</f>
        <v>10</v>
      </c>
      <c r="O578" s="12">
        <f>+'29'!O578+'30'!O578+'31'!O578</f>
        <v>29452</v>
      </c>
      <c r="P578" s="12">
        <f>+'29'!P578+'30'!P578+'31'!P578</f>
        <v>500</v>
      </c>
      <c r="Q578" s="532"/>
      <c r="R578" s="270">
        <v>10</v>
      </c>
      <c r="S578" s="12">
        <v>29452</v>
      </c>
      <c r="T578" s="12">
        <v>0</v>
      </c>
      <c r="U578" s="271"/>
      <c r="V578" s="533">
        <f t="shared" si="65"/>
        <v>0</v>
      </c>
      <c r="W578" s="533">
        <f t="shared" si="66"/>
        <v>0</v>
      </c>
      <c r="X578" s="257"/>
      <c r="Y578" s="261">
        <f t="shared" si="67"/>
        <v>0</v>
      </c>
      <c r="Z578" s="12">
        <f t="shared" si="68"/>
        <v>0</v>
      </c>
      <c r="AB578" s="13">
        <f t="shared" si="64"/>
        <v>29452</v>
      </c>
      <c r="AD578" s="16"/>
      <c r="AF578" s="13">
        <f t="shared" si="69"/>
        <v>29452</v>
      </c>
      <c r="AG578" s="16"/>
      <c r="AM578" s="12">
        <f t="shared" si="70"/>
        <v>0</v>
      </c>
      <c r="AN578" s="13">
        <f t="shared" si="71"/>
        <v>29452</v>
      </c>
    </row>
    <row r="579" spans="1:40" x14ac:dyDescent="0.25">
      <c r="A579">
        <v>574</v>
      </c>
      <c r="B579" t="s">
        <v>575</v>
      </c>
      <c r="C579" t="s">
        <v>18</v>
      </c>
      <c r="D579" t="s">
        <v>20</v>
      </c>
      <c r="F579" s="514">
        <f>+'29'!F579+'30'!F579+'31'!F579</f>
        <v>9</v>
      </c>
      <c r="G579" s="12">
        <f>+'29'!G579+'30'!G579+'31'!G579</f>
        <v>114284</v>
      </c>
      <c r="H579" s="12">
        <f>+'29'!H579+'30'!H579+'31'!H579</f>
        <v>290</v>
      </c>
      <c r="I579" s="271"/>
      <c r="J579" s="514">
        <f>+'29'!J579+'30'!J579+'31'!J579</f>
        <v>0</v>
      </c>
      <c r="K579" s="12">
        <f>+'29'!K579+'30'!K579+'31'!K579</f>
        <v>0</v>
      </c>
      <c r="L579" s="12">
        <f>+'29'!L579+'30'!L579+'31'!L579</f>
        <v>0</v>
      </c>
      <c r="M579" s="271"/>
      <c r="N579" s="514">
        <f>+'29'!N579+'30'!N579+'31'!N579</f>
        <v>9</v>
      </c>
      <c r="O579" s="12">
        <f>+'29'!O579+'30'!O579+'31'!O579</f>
        <v>114284</v>
      </c>
      <c r="P579" s="12">
        <f>+'29'!P579+'30'!P579+'31'!P579</f>
        <v>290</v>
      </c>
      <c r="Q579" s="532"/>
      <c r="R579" s="270">
        <v>9</v>
      </c>
      <c r="S579" s="12">
        <v>114284</v>
      </c>
      <c r="T579" s="12">
        <v>0</v>
      </c>
      <c r="U579" s="271"/>
      <c r="V579" s="533">
        <f t="shared" si="65"/>
        <v>0</v>
      </c>
      <c r="W579" s="533">
        <f t="shared" si="66"/>
        <v>0</v>
      </c>
      <c r="X579" s="257"/>
      <c r="Y579" s="261">
        <f t="shared" si="67"/>
        <v>0</v>
      </c>
      <c r="Z579" s="12">
        <f t="shared" si="68"/>
        <v>0</v>
      </c>
      <c r="AB579" s="13">
        <f t="shared" si="64"/>
        <v>114284</v>
      </c>
      <c r="AD579" s="16"/>
      <c r="AF579" s="13">
        <f t="shared" si="69"/>
        <v>114284</v>
      </c>
      <c r="AG579" s="16"/>
      <c r="AM579" s="12">
        <f t="shared" si="70"/>
        <v>0</v>
      </c>
      <c r="AN579" s="13">
        <f t="shared" si="71"/>
        <v>114284</v>
      </c>
    </row>
    <row r="580" spans="1:40" x14ac:dyDescent="0.25">
      <c r="A580">
        <v>575</v>
      </c>
      <c r="B580" t="s">
        <v>3305</v>
      </c>
      <c r="C580" t="s">
        <v>355</v>
      </c>
      <c r="D580" t="s">
        <v>16</v>
      </c>
      <c r="F580" s="514">
        <f>+'29'!F580+'30'!F580+'31'!F580</f>
        <v>0</v>
      </c>
      <c r="G580" s="12">
        <f>+'29'!G580+'30'!G580+'31'!G580</f>
        <v>0</v>
      </c>
      <c r="H580" s="12">
        <f>+'29'!H580+'30'!H580+'31'!H580</f>
        <v>0</v>
      </c>
      <c r="I580" s="271"/>
      <c r="J580" s="514">
        <f>+'29'!J580+'30'!J580+'31'!J580</f>
        <v>0</v>
      </c>
      <c r="K580" s="12">
        <f>+'29'!K580+'30'!K580+'31'!K580</f>
        <v>0</v>
      </c>
      <c r="L580" s="12">
        <f>+'29'!L580+'30'!L580+'31'!L580</f>
        <v>0</v>
      </c>
      <c r="M580" s="271"/>
      <c r="N580" s="514">
        <f>+'29'!N580+'30'!N580+'31'!N580</f>
        <v>0</v>
      </c>
      <c r="O580" s="12">
        <f>+'29'!O580+'30'!O580+'31'!O580</f>
        <v>0</v>
      </c>
      <c r="P580" s="12">
        <f>+'29'!P580+'30'!P580+'31'!P580</f>
        <v>0</v>
      </c>
      <c r="Q580" s="532"/>
      <c r="R580" s="270">
        <v>0</v>
      </c>
      <c r="S580" s="12">
        <v>0</v>
      </c>
      <c r="T580" s="12">
        <v>0</v>
      </c>
      <c r="U580" s="271"/>
      <c r="V580" s="533">
        <f t="shared" si="65"/>
        <v>0</v>
      </c>
      <c r="W580" s="533">
        <f t="shared" si="66"/>
        <v>0</v>
      </c>
      <c r="X580" s="257"/>
      <c r="Y580" s="261">
        <f t="shared" si="67"/>
        <v>0</v>
      </c>
      <c r="Z580" s="12">
        <f t="shared" si="68"/>
        <v>0</v>
      </c>
      <c r="AB580" s="13">
        <f t="shared" si="64"/>
        <v>0</v>
      </c>
      <c r="AD580" s="16"/>
      <c r="AF580" s="13">
        <f t="shared" si="69"/>
        <v>0</v>
      </c>
      <c r="AG580" s="16"/>
      <c r="AM580" s="12">
        <f t="shared" si="70"/>
        <v>0</v>
      </c>
      <c r="AN580" s="13">
        <f t="shared" si="71"/>
        <v>0</v>
      </c>
    </row>
    <row r="581" spans="1:40" x14ac:dyDescent="0.25">
      <c r="A581">
        <v>576</v>
      </c>
      <c r="B581" t="s">
        <v>576</v>
      </c>
      <c r="C581" t="s">
        <v>90</v>
      </c>
      <c r="D581" t="s">
        <v>20</v>
      </c>
      <c r="F581" s="514">
        <f>+'29'!F581+'30'!F581+'31'!F581</f>
        <v>0</v>
      </c>
      <c r="G581" s="12">
        <f>+'29'!G581+'30'!G581+'31'!G581</f>
        <v>0</v>
      </c>
      <c r="H581" s="12">
        <f>+'29'!H581+'30'!H581+'31'!H581</f>
        <v>0</v>
      </c>
      <c r="I581" s="271"/>
      <c r="J581" s="514">
        <f>+'29'!J581+'30'!J581+'31'!J581</f>
        <v>0</v>
      </c>
      <c r="K581" s="12">
        <f>+'29'!K581+'30'!K581+'31'!K581</f>
        <v>0</v>
      </c>
      <c r="L581" s="12">
        <f>+'29'!L581+'30'!L581+'31'!L581</f>
        <v>0</v>
      </c>
      <c r="M581" s="271"/>
      <c r="N581" s="514">
        <f>+'29'!N581+'30'!N581+'31'!N581</f>
        <v>0</v>
      </c>
      <c r="O581" s="12">
        <f>+'29'!O581+'30'!O581+'31'!O581</f>
        <v>0</v>
      </c>
      <c r="P581" s="12">
        <f>+'29'!P581+'30'!P581+'31'!P581</f>
        <v>0</v>
      </c>
      <c r="Q581" s="532"/>
      <c r="R581" s="270">
        <v>0</v>
      </c>
      <c r="S581" s="12">
        <v>0</v>
      </c>
      <c r="T581" s="12">
        <v>0</v>
      </c>
      <c r="U581" s="271"/>
      <c r="V581" s="533">
        <f t="shared" si="65"/>
        <v>0</v>
      </c>
      <c r="W581" s="533">
        <f t="shared" si="66"/>
        <v>0</v>
      </c>
      <c r="X581" s="257"/>
      <c r="Y581" s="261">
        <f t="shared" si="67"/>
        <v>0</v>
      </c>
      <c r="Z581" s="12">
        <f t="shared" si="68"/>
        <v>0</v>
      </c>
      <c r="AB581" s="13">
        <f t="shared" si="64"/>
        <v>0</v>
      </c>
      <c r="AD581" s="16"/>
      <c r="AF581" s="13">
        <f t="shared" si="69"/>
        <v>0</v>
      </c>
      <c r="AG581" s="16">
        <v>68.599999999999994</v>
      </c>
      <c r="AM581" s="12">
        <f t="shared" si="70"/>
        <v>68.599999999999994</v>
      </c>
      <c r="AN581" s="13">
        <f t="shared" si="71"/>
        <v>-68.599999999999994</v>
      </c>
    </row>
    <row r="582" spans="1:40" x14ac:dyDescent="0.25">
      <c r="A582">
        <v>577</v>
      </c>
      <c r="B582" t="s">
        <v>577</v>
      </c>
      <c r="C582" t="s">
        <v>25</v>
      </c>
      <c r="D582" t="s">
        <v>16</v>
      </c>
      <c r="F582" s="514">
        <f>+'29'!F582+'30'!F582+'31'!F582</f>
        <v>79</v>
      </c>
      <c r="G582" s="12">
        <f>+'29'!G582+'30'!G582+'31'!G582</f>
        <v>105531.66</v>
      </c>
      <c r="H582" s="12">
        <f>+'29'!H582+'30'!H582+'31'!H582</f>
        <v>632</v>
      </c>
      <c r="I582" s="271"/>
      <c r="J582" s="514">
        <f>+'29'!J582+'30'!J582+'31'!J582</f>
        <v>0</v>
      </c>
      <c r="K582" s="12">
        <f>+'29'!K582+'30'!K582+'31'!K582</f>
        <v>0</v>
      </c>
      <c r="L582" s="12">
        <f>+'29'!L582+'30'!L582+'31'!L582</f>
        <v>0</v>
      </c>
      <c r="M582" s="271"/>
      <c r="N582" s="514">
        <f>+'29'!N582+'30'!N582+'31'!N582</f>
        <v>79</v>
      </c>
      <c r="O582" s="12">
        <f>+'29'!O582+'30'!O582+'31'!O582</f>
        <v>105531.66</v>
      </c>
      <c r="P582" s="12">
        <f>+'29'!P582+'30'!P582+'31'!P582</f>
        <v>632</v>
      </c>
      <c r="Q582" s="532"/>
      <c r="R582" s="270">
        <v>79</v>
      </c>
      <c r="S582" s="12">
        <v>105531.66</v>
      </c>
      <c r="T582" s="12">
        <v>0</v>
      </c>
      <c r="U582" s="271"/>
      <c r="V582" s="533">
        <f t="shared" si="65"/>
        <v>0</v>
      </c>
      <c r="W582" s="533">
        <f t="shared" si="66"/>
        <v>0</v>
      </c>
      <c r="X582" s="257"/>
      <c r="Y582" s="261">
        <f t="shared" si="67"/>
        <v>0</v>
      </c>
      <c r="Z582" s="12">
        <f t="shared" si="68"/>
        <v>0</v>
      </c>
      <c r="AB582" s="13">
        <f t="shared" ref="AB582:AB645" si="72">O582</f>
        <v>105531.66</v>
      </c>
      <c r="AD582" s="16"/>
      <c r="AF582" s="13">
        <f t="shared" si="69"/>
        <v>105531.66</v>
      </c>
      <c r="AG582" s="16"/>
      <c r="AM582" s="12">
        <f t="shared" si="70"/>
        <v>0</v>
      </c>
      <c r="AN582" s="13">
        <f t="shared" si="71"/>
        <v>105531.66</v>
      </c>
    </row>
    <row r="583" spans="1:40" x14ac:dyDescent="0.25">
      <c r="A583">
        <v>578</v>
      </c>
      <c r="B583" t="s">
        <v>578</v>
      </c>
      <c r="C583" t="s">
        <v>18</v>
      </c>
      <c r="D583" t="s">
        <v>16</v>
      </c>
      <c r="F583" s="514">
        <f>+'29'!F583+'30'!F583+'31'!F583</f>
        <v>8</v>
      </c>
      <c r="G583" s="12">
        <f>+'29'!G583+'30'!G583+'31'!G583</f>
        <v>52758</v>
      </c>
      <c r="H583" s="12">
        <f>+'29'!H583+'30'!H583+'31'!H583</f>
        <v>400</v>
      </c>
      <c r="I583" s="271"/>
      <c r="J583" s="514">
        <f>+'29'!J583+'30'!J583+'31'!J583</f>
        <v>0</v>
      </c>
      <c r="K583" s="12">
        <f>+'29'!K583+'30'!K583+'31'!K583</f>
        <v>0</v>
      </c>
      <c r="L583" s="12">
        <f>+'29'!L583+'30'!L583+'31'!L583</f>
        <v>0</v>
      </c>
      <c r="M583" s="271"/>
      <c r="N583" s="514">
        <f>+'29'!N583+'30'!N583+'31'!N583</f>
        <v>8</v>
      </c>
      <c r="O583" s="12">
        <f>+'29'!O583+'30'!O583+'31'!O583</f>
        <v>52758</v>
      </c>
      <c r="P583" s="12">
        <f>+'29'!P583+'30'!P583+'31'!P583</f>
        <v>400</v>
      </c>
      <c r="Q583" s="532"/>
      <c r="R583" s="270">
        <v>8</v>
      </c>
      <c r="S583" s="12">
        <v>52758</v>
      </c>
      <c r="T583" s="12">
        <v>0</v>
      </c>
      <c r="U583" s="271"/>
      <c r="V583" s="533">
        <f t="shared" ref="V583:V646" si="73">N583-R583</f>
        <v>0</v>
      </c>
      <c r="W583" s="533">
        <f t="shared" ref="W583:W646" si="74">O583-S583</f>
        <v>0</v>
      </c>
      <c r="X583" s="257"/>
      <c r="Y583" s="261">
        <f t="shared" ref="Y583:Y646" si="75">V583</f>
        <v>0</v>
      </c>
      <c r="Z583" s="12">
        <f t="shared" ref="Z583:Z646" si="76">W583</f>
        <v>0</v>
      </c>
      <c r="AB583" s="13">
        <f t="shared" si="72"/>
        <v>52758</v>
      </c>
      <c r="AD583" s="16"/>
      <c r="AF583" s="13">
        <f t="shared" ref="AF583:AF646" si="77">AB583-AD583</f>
        <v>52758</v>
      </c>
      <c r="AG583" s="16"/>
      <c r="AM583" s="12">
        <f t="shared" ref="AM583:AM646" si="78">SUM(AG583:AL583)</f>
        <v>0</v>
      </c>
      <c r="AN583" s="13">
        <f t="shared" ref="AN583:AN646" si="79">AF583-AM583</f>
        <v>52758</v>
      </c>
    </row>
    <row r="584" spans="1:40" x14ac:dyDescent="0.25">
      <c r="A584">
        <v>579</v>
      </c>
      <c r="B584" t="s">
        <v>579</v>
      </c>
      <c r="C584" t="s">
        <v>18</v>
      </c>
      <c r="D584" t="s">
        <v>16</v>
      </c>
      <c r="F584" s="514">
        <f>+'29'!F584+'30'!F584+'31'!F584</f>
        <v>0</v>
      </c>
      <c r="G584" s="12">
        <f>+'29'!G584+'30'!G584+'31'!G584</f>
        <v>0</v>
      </c>
      <c r="H584" s="12">
        <f>+'29'!H584+'30'!H584+'31'!H584</f>
        <v>0</v>
      </c>
      <c r="I584" s="271"/>
      <c r="J584" s="514">
        <f>+'29'!J584+'30'!J584+'31'!J584</f>
        <v>0</v>
      </c>
      <c r="K584" s="12">
        <f>+'29'!K584+'30'!K584+'31'!K584</f>
        <v>0</v>
      </c>
      <c r="L584" s="12">
        <f>+'29'!L584+'30'!L584+'31'!L584</f>
        <v>0</v>
      </c>
      <c r="M584" s="271"/>
      <c r="N584" s="514">
        <f>+'29'!N584+'30'!N584+'31'!N584</f>
        <v>0</v>
      </c>
      <c r="O584" s="12">
        <f>+'29'!O584+'30'!O584+'31'!O584</f>
        <v>0</v>
      </c>
      <c r="P584" s="12">
        <f>+'29'!P584+'30'!P584+'31'!P584</f>
        <v>0</v>
      </c>
      <c r="Q584" s="532"/>
      <c r="R584" s="270">
        <v>0</v>
      </c>
      <c r="S584" s="12">
        <v>0</v>
      </c>
      <c r="T584" s="12">
        <v>0</v>
      </c>
      <c r="U584" s="271"/>
      <c r="V584" s="533">
        <f t="shared" si="73"/>
        <v>0</v>
      </c>
      <c r="W584" s="533">
        <f t="shared" si="74"/>
        <v>0</v>
      </c>
      <c r="X584" s="257"/>
      <c r="Y584" s="261">
        <f t="shared" si="75"/>
        <v>0</v>
      </c>
      <c r="Z584" s="12">
        <f t="shared" si="76"/>
        <v>0</v>
      </c>
      <c r="AB584" s="13">
        <f t="shared" si="72"/>
        <v>0</v>
      </c>
      <c r="AD584" s="16"/>
      <c r="AF584" s="13">
        <f t="shared" si="77"/>
        <v>0</v>
      </c>
      <c r="AG584" s="16"/>
      <c r="AI584" s="33"/>
      <c r="AM584" s="12">
        <f t="shared" si="78"/>
        <v>0</v>
      </c>
      <c r="AN584" s="13">
        <f t="shared" si="79"/>
        <v>0</v>
      </c>
    </row>
    <row r="585" spans="1:40" x14ac:dyDescent="0.25">
      <c r="A585">
        <v>580</v>
      </c>
      <c r="B585" t="s">
        <v>580</v>
      </c>
      <c r="C585" t="s">
        <v>18</v>
      </c>
      <c r="D585" t="s">
        <v>16</v>
      </c>
      <c r="F585" s="514">
        <f>+'29'!F585+'30'!F585+'31'!F585</f>
        <v>0</v>
      </c>
      <c r="G585" s="12">
        <f>+'29'!G585+'30'!G585+'31'!G585</f>
        <v>0</v>
      </c>
      <c r="H585" s="12">
        <f>+'29'!H585+'30'!H585+'31'!H585</f>
        <v>0</v>
      </c>
      <c r="I585" s="271"/>
      <c r="J585" s="514">
        <f>+'29'!J585+'30'!J585+'31'!J585</f>
        <v>0</v>
      </c>
      <c r="K585" s="12">
        <f>+'29'!K585+'30'!K585+'31'!K585</f>
        <v>0</v>
      </c>
      <c r="L585" s="12">
        <f>+'29'!L585+'30'!L585+'31'!L585</f>
        <v>0</v>
      </c>
      <c r="M585" s="271"/>
      <c r="N585" s="514">
        <f>+'29'!N585+'30'!N585+'31'!N585</f>
        <v>0</v>
      </c>
      <c r="O585" s="12">
        <f>+'29'!O585+'30'!O585+'31'!O585</f>
        <v>0</v>
      </c>
      <c r="P585" s="12">
        <f>+'29'!P585+'30'!P585+'31'!P585</f>
        <v>0</v>
      </c>
      <c r="Q585" s="532"/>
      <c r="R585" s="270">
        <v>0</v>
      </c>
      <c r="S585" s="12">
        <v>0</v>
      </c>
      <c r="T585" s="12">
        <v>0</v>
      </c>
      <c r="U585" s="271"/>
      <c r="V585" s="533">
        <f t="shared" si="73"/>
        <v>0</v>
      </c>
      <c r="W585" s="533">
        <f t="shared" si="74"/>
        <v>0</v>
      </c>
      <c r="X585" s="257"/>
      <c r="Y585" s="261">
        <f t="shared" si="75"/>
        <v>0</v>
      </c>
      <c r="Z585" s="12">
        <f t="shared" si="76"/>
        <v>0</v>
      </c>
      <c r="AB585" s="13">
        <f t="shared" si="72"/>
        <v>0</v>
      </c>
      <c r="AF585" s="13">
        <f t="shared" si="77"/>
        <v>0</v>
      </c>
      <c r="AM585" s="12">
        <f t="shared" si="78"/>
        <v>0</v>
      </c>
      <c r="AN585" s="13">
        <f t="shared" si="79"/>
        <v>0</v>
      </c>
    </row>
    <row r="586" spans="1:40" x14ac:dyDescent="0.25">
      <c r="A586">
        <v>581</v>
      </c>
      <c r="B586" t="s">
        <v>581</v>
      </c>
      <c r="C586" t="s">
        <v>18</v>
      </c>
      <c r="D586" t="s">
        <v>16</v>
      </c>
      <c r="F586" s="514">
        <f>+'29'!F586+'30'!F586+'31'!F586</f>
        <v>0</v>
      </c>
      <c r="G586" s="12">
        <f>+'29'!G586+'30'!G586+'31'!G586</f>
        <v>0</v>
      </c>
      <c r="H586" s="12">
        <f>+'29'!H586+'30'!H586+'31'!H586</f>
        <v>0</v>
      </c>
      <c r="I586" s="271"/>
      <c r="J586" s="514">
        <f>+'29'!J586+'30'!J586+'31'!J586</f>
        <v>0</v>
      </c>
      <c r="K586" s="12">
        <f>+'29'!K586+'30'!K586+'31'!K586</f>
        <v>0</v>
      </c>
      <c r="L586" s="12">
        <f>+'29'!L586+'30'!L586+'31'!L586</f>
        <v>0</v>
      </c>
      <c r="M586" s="271"/>
      <c r="N586" s="514">
        <f>+'29'!N586+'30'!N586+'31'!N586</f>
        <v>0</v>
      </c>
      <c r="O586" s="12">
        <f>+'29'!O586+'30'!O586+'31'!O586</f>
        <v>0</v>
      </c>
      <c r="P586" s="12">
        <f>+'29'!P586+'30'!P586+'31'!P586</f>
        <v>0</v>
      </c>
      <c r="Q586" s="532"/>
      <c r="R586" s="270">
        <v>0</v>
      </c>
      <c r="S586" s="12">
        <v>0</v>
      </c>
      <c r="T586" s="12">
        <v>0</v>
      </c>
      <c r="U586" s="271"/>
      <c r="V586" s="533">
        <f t="shared" si="73"/>
        <v>0</v>
      </c>
      <c r="W586" s="533">
        <f t="shared" si="74"/>
        <v>0</v>
      </c>
      <c r="X586" s="257"/>
      <c r="Y586" s="261">
        <f t="shared" si="75"/>
        <v>0</v>
      </c>
      <c r="Z586" s="12">
        <f t="shared" si="76"/>
        <v>0</v>
      </c>
      <c r="AB586" s="13">
        <f t="shared" si="72"/>
        <v>0</v>
      </c>
      <c r="AF586" s="13">
        <f t="shared" si="77"/>
        <v>0</v>
      </c>
      <c r="AM586" s="12">
        <f t="shared" si="78"/>
        <v>0</v>
      </c>
      <c r="AN586" s="13">
        <f t="shared" si="79"/>
        <v>0</v>
      </c>
    </row>
    <row r="587" spans="1:40" x14ac:dyDescent="0.25">
      <c r="A587">
        <v>582</v>
      </c>
      <c r="B587" t="s">
        <v>582</v>
      </c>
      <c r="C587" t="s">
        <v>18</v>
      </c>
      <c r="D587" t="s">
        <v>16</v>
      </c>
      <c r="F587" s="514">
        <f>+'29'!F587+'30'!F587+'31'!F587</f>
        <v>42</v>
      </c>
      <c r="G587" s="12">
        <f>+'29'!G587+'30'!G587+'31'!G587</f>
        <v>1880002.9</v>
      </c>
      <c r="H587" s="12">
        <f>+'29'!H587+'30'!H587+'31'!H587</f>
        <v>2900</v>
      </c>
      <c r="I587" s="271"/>
      <c r="J587" s="514">
        <f>+'29'!J587+'30'!J587+'31'!J587</f>
        <v>0</v>
      </c>
      <c r="K587" s="12">
        <f>+'29'!K587+'30'!K587+'31'!K587</f>
        <v>0</v>
      </c>
      <c r="L587" s="12">
        <f>+'29'!L587+'30'!L587+'31'!L587</f>
        <v>0</v>
      </c>
      <c r="M587" s="271"/>
      <c r="N587" s="514">
        <f>+'29'!N587+'30'!N587+'31'!N587</f>
        <v>42</v>
      </c>
      <c r="O587" s="12">
        <f>+'29'!O587+'30'!O587+'31'!O587</f>
        <v>1880002.9</v>
      </c>
      <c r="P587" s="12">
        <f>+'29'!P587+'30'!P587+'31'!P587</f>
        <v>2900</v>
      </c>
      <c r="Q587" s="532"/>
      <c r="R587" s="270">
        <v>42</v>
      </c>
      <c r="S587" s="12">
        <v>1880002.9</v>
      </c>
      <c r="T587" s="12">
        <v>0</v>
      </c>
      <c r="U587" s="271"/>
      <c r="V587" s="533">
        <f t="shared" si="73"/>
        <v>0</v>
      </c>
      <c r="W587" s="533">
        <f t="shared" si="74"/>
        <v>0</v>
      </c>
      <c r="X587" s="257"/>
      <c r="Y587" s="261">
        <f t="shared" si="75"/>
        <v>0</v>
      </c>
      <c r="Z587" s="12">
        <f t="shared" si="76"/>
        <v>0</v>
      </c>
      <c r="AB587" s="13">
        <f t="shared" si="72"/>
        <v>1880002.9</v>
      </c>
      <c r="AF587" s="13">
        <f t="shared" si="77"/>
        <v>1880002.9</v>
      </c>
      <c r="AM587" s="12">
        <f t="shared" si="78"/>
        <v>0</v>
      </c>
      <c r="AN587" s="13">
        <f t="shared" si="79"/>
        <v>1880002.9</v>
      </c>
    </row>
    <row r="588" spans="1:40" x14ac:dyDescent="0.25">
      <c r="A588">
        <v>583</v>
      </c>
      <c r="B588" t="s">
        <v>583</v>
      </c>
      <c r="C588" t="s">
        <v>18</v>
      </c>
      <c r="D588" t="s">
        <v>16</v>
      </c>
      <c r="F588" s="514">
        <f>+'29'!F588+'30'!F588+'31'!F588</f>
        <v>12</v>
      </c>
      <c r="G588" s="12">
        <f>+'29'!G588+'30'!G588+'31'!G588</f>
        <v>1647466</v>
      </c>
      <c r="H588" s="12">
        <f>+'29'!H588+'30'!H588+'31'!H588</f>
        <v>1800</v>
      </c>
      <c r="I588" s="271"/>
      <c r="J588" s="514">
        <f>+'29'!J588+'30'!J588+'31'!J588</f>
        <v>0</v>
      </c>
      <c r="K588" s="12">
        <f>+'29'!K588+'30'!K588+'31'!K588</f>
        <v>0</v>
      </c>
      <c r="L588" s="12">
        <f>+'29'!L588+'30'!L588+'31'!L588</f>
        <v>0</v>
      </c>
      <c r="M588" s="271"/>
      <c r="N588" s="514">
        <f>+'29'!N588+'30'!N588+'31'!N588</f>
        <v>12</v>
      </c>
      <c r="O588" s="12">
        <f>+'29'!O588+'30'!O588+'31'!O588</f>
        <v>1647466</v>
      </c>
      <c r="P588" s="12">
        <f>+'29'!P588+'30'!P588+'31'!P588</f>
        <v>1800</v>
      </c>
      <c r="Q588" s="532"/>
      <c r="R588" s="270">
        <v>12</v>
      </c>
      <c r="S588" s="12">
        <v>1647466</v>
      </c>
      <c r="T588" s="12">
        <v>0</v>
      </c>
      <c r="U588" s="271"/>
      <c r="V588" s="533">
        <f t="shared" si="73"/>
        <v>0</v>
      </c>
      <c r="W588" s="533">
        <f t="shared" si="74"/>
        <v>0</v>
      </c>
      <c r="X588" s="257"/>
      <c r="Y588" s="261">
        <f t="shared" si="75"/>
        <v>0</v>
      </c>
      <c r="Z588" s="12">
        <f t="shared" si="76"/>
        <v>0</v>
      </c>
      <c r="AB588" s="13">
        <f t="shared" si="72"/>
        <v>1647466</v>
      </c>
      <c r="AF588" s="13">
        <f t="shared" si="77"/>
        <v>1647466</v>
      </c>
      <c r="AM588" s="12">
        <f t="shared" si="78"/>
        <v>0</v>
      </c>
      <c r="AN588" s="13">
        <f t="shared" si="79"/>
        <v>1647466</v>
      </c>
    </row>
    <row r="589" spans="1:40" x14ac:dyDescent="0.25">
      <c r="A589">
        <v>584</v>
      </c>
      <c r="B589" t="s">
        <v>584</v>
      </c>
      <c r="C589" t="s">
        <v>15</v>
      </c>
      <c r="D589" t="s">
        <v>16</v>
      </c>
      <c r="F589" s="514">
        <f>+'29'!F589+'30'!F589+'31'!F589</f>
        <v>68</v>
      </c>
      <c r="G589" s="12">
        <f>+'29'!G589+'30'!G589+'31'!G589</f>
        <v>107544.86000000002</v>
      </c>
      <c r="H589" s="12">
        <f>+'29'!H589+'30'!H589+'31'!H589</f>
        <v>730</v>
      </c>
      <c r="I589" s="271"/>
      <c r="J589" s="514">
        <f>+'29'!J589+'30'!J589+'31'!J589</f>
        <v>0</v>
      </c>
      <c r="K589" s="12">
        <f>+'29'!K589+'30'!K589+'31'!K589</f>
        <v>0</v>
      </c>
      <c r="L589" s="12">
        <f>+'29'!L589+'30'!L589+'31'!L589</f>
        <v>0</v>
      </c>
      <c r="M589" s="271"/>
      <c r="N589" s="514">
        <f>+'29'!N589+'30'!N589+'31'!N589</f>
        <v>68</v>
      </c>
      <c r="O589" s="12">
        <f>+'29'!O589+'30'!O589+'31'!O589</f>
        <v>107544.86000000002</v>
      </c>
      <c r="P589" s="12">
        <f>+'29'!P589+'30'!P589+'31'!P589</f>
        <v>730</v>
      </c>
      <c r="Q589" s="532"/>
      <c r="R589" s="270">
        <v>68</v>
      </c>
      <c r="S589" s="12">
        <v>107544.86</v>
      </c>
      <c r="T589" s="12">
        <v>0</v>
      </c>
      <c r="U589" s="271"/>
      <c r="V589" s="533">
        <f t="shared" si="73"/>
        <v>0</v>
      </c>
      <c r="W589" s="533">
        <f t="shared" si="74"/>
        <v>0</v>
      </c>
      <c r="X589" s="257"/>
      <c r="Y589" s="261">
        <f t="shared" si="75"/>
        <v>0</v>
      </c>
      <c r="Z589" s="12">
        <f t="shared" si="76"/>
        <v>0</v>
      </c>
      <c r="AB589" s="13">
        <f t="shared" si="72"/>
        <v>107544.86000000002</v>
      </c>
      <c r="AF589" s="13">
        <f t="shared" si="77"/>
        <v>107544.86000000002</v>
      </c>
      <c r="AM589" s="12">
        <f t="shared" si="78"/>
        <v>0</v>
      </c>
      <c r="AN589" s="13">
        <f t="shared" si="79"/>
        <v>107544.86000000002</v>
      </c>
    </row>
    <row r="590" spans="1:40" x14ac:dyDescent="0.25">
      <c r="A590">
        <v>585</v>
      </c>
      <c r="B590" t="s">
        <v>585</v>
      </c>
      <c r="C590" t="s">
        <v>18</v>
      </c>
      <c r="D590" t="s">
        <v>20</v>
      </c>
      <c r="F590" s="514">
        <f>+'29'!F590+'30'!F590+'31'!F590</f>
        <v>19</v>
      </c>
      <c r="G590" s="12">
        <f>+'29'!G590+'30'!G590+'31'!G590</f>
        <v>681889</v>
      </c>
      <c r="H590" s="12">
        <f>+'29'!H590+'30'!H590+'31'!H590</f>
        <v>665</v>
      </c>
      <c r="I590" s="271"/>
      <c r="J590" s="514">
        <f>+'29'!J590+'30'!J590+'31'!J590</f>
        <v>0</v>
      </c>
      <c r="K590" s="12">
        <f>+'29'!K590+'30'!K590+'31'!K590</f>
        <v>0</v>
      </c>
      <c r="L590" s="12">
        <f>+'29'!L590+'30'!L590+'31'!L590</f>
        <v>0</v>
      </c>
      <c r="M590" s="271"/>
      <c r="N590" s="514">
        <f>+'29'!N590+'30'!N590+'31'!N590</f>
        <v>19</v>
      </c>
      <c r="O590" s="12">
        <f>+'29'!O590+'30'!O590+'31'!O590</f>
        <v>681889</v>
      </c>
      <c r="P590" s="12">
        <f>+'29'!P590+'30'!P590+'31'!P590</f>
        <v>665</v>
      </c>
      <c r="Q590" s="532"/>
      <c r="R590" s="270">
        <v>19</v>
      </c>
      <c r="S590" s="12">
        <v>681224</v>
      </c>
      <c r="T590" s="12">
        <v>665</v>
      </c>
      <c r="U590" s="271"/>
      <c r="V590" s="533">
        <f t="shared" si="73"/>
        <v>0</v>
      </c>
      <c r="W590" s="533">
        <f t="shared" si="74"/>
        <v>665</v>
      </c>
      <c r="X590" s="257"/>
      <c r="Y590" s="261">
        <f t="shared" si="75"/>
        <v>0</v>
      </c>
      <c r="Z590" s="12">
        <f t="shared" si="76"/>
        <v>665</v>
      </c>
      <c r="AB590" s="13">
        <f t="shared" si="72"/>
        <v>681889</v>
      </c>
      <c r="AF590" s="13">
        <f t="shared" si="77"/>
        <v>681889</v>
      </c>
      <c r="AM590" s="12">
        <f t="shared" si="78"/>
        <v>0</v>
      </c>
      <c r="AN590" s="13">
        <f t="shared" si="79"/>
        <v>681889</v>
      </c>
    </row>
    <row r="591" spans="1:40" x14ac:dyDescent="0.25">
      <c r="A591">
        <v>586</v>
      </c>
      <c r="B591" t="s">
        <v>586</v>
      </c>
      <c r="C591" t="s">
        <v>51</v>
      </c>
      <c r="D591" t="s">
        <v>16</v>
      </c>
      <c r="F591" s="514">
        <f>+'29'!F591+'30'!F591+'31'!F591</f>
        <v>669</v>
      </c>
      <c r="G591" s="12">
        <f>+'29'!G591+'30'!G591+'31'!G591</f>
        <v>893687.03000000026</v>
      </c>
      <c r="H591" s="12">
        <f>+'29'!H591+'30'!H591+'31'!H591</f>
        <v>6690</v>
      </c>
      <c r="I591" s="271"/>
      <c r="J591" s="514">
        <f>+'29'!J591+'30'!J591+'31'!J591</f>
        <v>0</v>
      </c>
      <c r="K591" s="12">
        <f>+'29'!K591+'30'!K591+'31'!K591</f>
        <v>0</v>
      </c>
      <c r="L591" s="12">
        <f>+'29'!L591+'30'!L591+'31'!L591</f>
        <v>0</v>
      </c>
      <c r="M591" s="271"/>
      <c r="N591" s="514">
        <f>+'29'!N591+'30'!N591+'31'!N591</f>
        <v>669</v>
      </c>
      <c r="O591" s="12">
        <f>+'29'!O591+'30'!O591+'31'!O591</f>
        <v>893687.03000000026</v>
      </c>
      <c r="P591" s="12">
        <f>+'29'!P591+'30'!P591+'31'!P591</f>
        <v>6690</v>
      </c>
      <c r="Q591" s="532"/>
      <c r="R591" s="270">
        <v>669</v>
      </c>
      <c r="S591" s="12">
        <v>893687.03</v>
      </c>
      <c r="T591" s="12">
        <v>0</v>
      </c>
      <c r="U591" s="271"/>
      <c r="V591" s="533">
        <f t="shared" si="73"/>
        <v>0</v>
      </c>
      <c r="W591" s="533">
        <f t="shared" si="74"/>
        <v>0</v>
      </c>
      <c r="X591" s="257"/>
      <c r="Y591" s="261">
        <f t="shared" si="75"/>
        <v>0</v>
      </c>
      <c r="Z591" s="12">
        <f t="shared" si="76"/>
        <v>0</v>
      </c>
      <c r="AB591" s="13">
        <f t="shared" si="72"/>
        <v>893687.03000000026</v>
      </c>
      <c r="AD591" s="16"/>
      <c r="AF591" s="13">
        <f t="shared" si="77"/>
        <v>893687.03000000026</v>
      </c>
      <c r="AG591" s="16"/>
      <c r="AJ591" s="13"/>
      <c r="AM591" s="12">
        <f t="shared" si="78"/>
        <v>0</v>
      </c>
      <c r="AN591" s="13">
        <f t="shared" si="79"/>
        <v>893687.03000000026</v>
      </c>
    </row>
    <row r="592" spans="1:40" x14ac:dyDescent="0.25">
      <c r="A592">
        <v>587</v>
      </c>
      <c r="B592" t="s">
        <v>587</v>
      </c>
      <c r="C592" t="s">
        <v>39</v>
      </c>
      <c r="D592" t="s">
        <v>16</v>
      </c>
      <c r="F592" s="514">
        <f>+'29'!F592+'30'!F592+'31'!F592</f>
        <v>314</v>
      </c>
      <c r="G592" s="12">
        <f>+'29'!G592+'30'!G592+'31'!G592</f>
        <v>366485.35999999993</v>
      </c>
      <c r="H592" s="12">
        <f>+'29'!H592+'30'!H592+'31'!H592</f>
        <v>1570</v>
      </c>
      <c r="I592" s="271"/>
      <c r="J592" s="514">
        <f>+'29'!J592+'30'!J592+'31'!J592</f>
        <v>0</v>
      </c>
      <c r="K592" s="12">
        <f>+'29'!K592+'30'!K592+'31'!K592</f>
        <v>0</v>
      </c>
      <c r="L592" s="12">
        <f>+'29'!L592+'30'!L592+'31'!L592</f>
        <v>0</v>
      </c>
      <c r="M592" s="271"/>
      <c r="N592" s="514">
        <f>+'29'!N592+'30'!N592+'31'!N592</f>
        <v>314</v>
      </c>
      <c r="O592" s="12">
        <f>+'29'!O592+'30'!O592+'31'!O592</f>
        <v>366485.35999999993</v>
      </c>
      <c r="P592" s="12">
        <f>+'29'!P592+'30'!P592+'31'!P592</f>
        <v>1570</v>
      </c>
      <c r="Q592" s="532"/>
      <c r="R592" s="270">
        <v>314</v>
      </c>
      <c r="S592" s="12">
        <v>366485.36</v>
      </c>
      <c r="T592" s="12">
        <v>0</v>
      </c>
      <c r="U592" s="271"/>
      <c r="V592" s="533">
        <f t="shared" si="73"/>
        <v>0</v>
      </c>
      <c r="W592" s="533">
        <f t="shared" si="74"/>
        <v>0</v>
      </c>
      <c r="X592" s="257"/>
      <c r="Y592" s="261">
        <f t="shared" si="75"/>
        <v>0</v>
      </c>
      <c r="Z592" s="12">
        <f t="shared" si="76"/>
        <v>0</v>
      </c>
      <c r="AB592" s="13">
        <f t="shared" si="72"/>
        <v>366485.35999999993</v>
      </c>
      <c r="AF592" s="13">
        <f t="shared" si="77"/>
        <v>366485.35999999993</v>
      </c>
      <c r="AM592" s="12">
        <f t="shared" si="78"/>
        <v>0</v>
      </c>
      <c r="AN592" s="13">
        <f t="shared" si="79"/>
        <v>366485.35999999993</v>
      </c>
    </row>
    <row r="593" spans="1:40" x14ac:dyDescent="0.25">
      <c r="A593">
        <v>588</v>
      </c>
      <c r="B593" t="s">
        <v>588</v>
      </c>
      <c r="C593" t="s">
        <v>355</v>
      </c>
      <c r="D593" t="s">
        <v>16</v>
      </c>
      <c r="F593" s="514">
        <f>+'29'!F593+'30'!F593+'31'!F593</f>
        <v>4</v>
      </c>
      <c r="G593" s="12">
        <f>+'29'!G593+'30'!G593+'31'!G593</f>
        <v>2378.66</v>
      </c>
      <c r="H593" s="12">
        <f>+'29'!H593+'30'!H593+'31'!H593</f>
        <v>40</v>
      </c>
      <c r="I593" s="271"/>
      <c r="J593" s="514">
        <f>+'29'!J593+'30'!J593+'31'!J593</f>
        <v>0</v>
      </c>
      <c r="K593" s="12">
        <f>+'29'!K593+'30'!K593+'31'!K593</f>
        <v>0</v>
      </c>
      <c r="L593" s="12">
        <f>+'29'!L593+'30'!L593+'31'!L593</f>
        <v>0</v>
      </c>
      <c r="M593" s="271"/>
      <c r="N593" s="514">
        <f>+'29'!N593+'30'!N593+'31'!N593</f>
        <v>4</v>
      </c>
      <c r="O593" s="12">
        <f>+'29'!O593+'30'!O593+'31'!O593</f>
        <v>2378.66</v>
      </c>
      <c r="P593" s="12">
        <f>+'29'!P593+'30'!P593+'31'!P593</f>
        <v>40</v>
      </c>
      <c r="Q593" s="532"/>
      <c r="R593" s="270">
        <v>4</v>
      </c>
      <c r="S593" s="12">
        <v>2378.66</v>
      </c>
      <c r="T593" s="12">
        <v>0</v>
      </c>
      <c r="U593" s="271"/>
      <c r="V593" s="533">
        <f t="shared" si="73"/>
        <v>0</v>
      </c>
      <c r="W593" s="533">
        <f t="shared" si="74"/>
        <v>0</v>
      </c>
      <c r="X593" s="257"/>
      <c r="Y593" s="261">
        <f t="shared" si="75"/>
        <v>0</v>
      </c>
      <c r="Z593" s="12">
        <f t="shared" si="76"/>
        <v>0</v>
      </c>
      <c r="AB593" s="13">
        <f t="shared" si="72"/>
        <v>2378.66</v>
      </c>
      <c r="AF593" s="13">
        <f t="shared" si="77"/>
        <v>2378.66</v>
      </c>
      <c r="AM593" s="12">
        <f t="shared" si="78"/>
        <v>0</v>
      </c>
      <c r="AN593" s="13">
        <f t="shared" si="79"/>
        <v>2378.66</v>
      </c>
    </row>
    <row r="594" spans="1:40" x14ac:dyDescent="0.25">
      <c r="A594">
        <v>589</v>
      </c>
      <c r="B594" t="s">
        <v>589</v>
      </c>
      <c r="C594" t="s">
        <v>136</v>
      </c>
      <c r="D594" t="s">
        <v>16</v>
      </c>
      <c r="F594" s="514">
        <f>+'29'!F594+'30'!F594+'31'!F594</f>
        <v>0</v>
      </c>
      <c r="G594" s="12">
        <f>+'29'!G594+'30'!G594+'31'!G594</f>
        <v>0</v>
      </c>
      <c r="H594" s="12">
        <f>+'29'!H594+'30'!H594+'31'!H594</f>
        <v>0</v>
      </c>
      <c r="I594" s="271"/>
      <c r="J594" s="514">
        <f>+'29'!J594+'30'!J594+'31'!J594</f>
        <v>0</v>
      </c>
      <c r="K594" s="12">
        <f>+'29'!K594+'30'!K594+'31'!K594</f>
        <v>0</v>
      </c>
      <c r="L594" s="12">
        <f>+'29'!L594+'30'!L594+'31'!L594</f>
        <v>0</v>
      </c>
      <c r="M594" s="271"/>
      <c r="N594" s="514">
        <f>+'29'!N594+'30'!N594+'31'!N594</f>
        <v>0</v>
      </c>
      <c r="O594" s="12">
        <f>+'29'!O594+'30'!O594+'31'!O594</f>
        <v>0</v>
      </c>
      <c r="P594" s="12">
        <f>+'29'!P594+'30'!P594+'31'!P594</f>
        <v>0</v>
      </c>
      <c r="Q594" s="532"/>
      <c r="R594" s="270">
        <v>0</v>
      </c>
      <c r="S594" s="12">
        <v>0</v>
      </c>
      <c r="T594" s="12">
        <v>0</v>
      </c>
      <c r="U594" s="271"/>
      <c r="V594" s="533">
        <f t="shared" si="73"/>
        <v>0</v>
      </c>
      <c r="W594" s="533">
        <f t="shared" si="74"/>
        <v>0</v>
      </c>
      <c r="X594" s="257"/>
      <c r="Y594" s="261">
        <f t="shared" si="75"/>
        <v>0</v>
      </c>
      <c r="Z594" s="12">
        <f t="shared" si="76"/>
        <v>0</v>
      </c>
      <c r="AB594" s="13">
        <f t="shared" si="72"/>
        <v>0</v>
      </c>
      <c r="AF594" s="13">
        <f t="shared" si="77"/>
        <v>0</v>
      </c>
      <c r="AJ594" s="13"/>
      <c r="AL594" s="33"/>
      <c r="AM594" s="12">
        <f t="shared" si="78"/>
        <v>0</v>
      </c>
      <c r="AN594" s="13">
        <f t="shared" si="79"/>
        <v>0</v>
      </c>
    </row>
    <row r="595" spans="1:40" x14ac:dyDescent="0.25">
      <c r="A595">
        <v>590</v>
      </c>
      <c r="B595" t="s">
        <v>3306</v>
      </c>
      <c r="C595" t="s">
        <v>39</v>
      </c>
      <c r="D595" t="s">
        <v>16</v>
      </c>
      <c r="F595" s="514">
        <f>+'29'!F595+'30'!F595+'31'!F595</f>
        <v>0</v>
      </c>
      <c r="G595" s="12">
        <f>+'29'!G595+'30'!G595+'31'!G595</f>
        <v>0</v>
      </c>
      <c r="H595" s="12">
        <f>+'29'!H595+'30'!H595+'31'!H595</f>
        <v>0</v>
      </c>
      <c r="I595" s="271"/>
      <c r="J595" s="514">
        <f>+'29'!J595+'30'!J595+'31'!J595</f>
        <v>0</v>
      </c>
      <c r="K595" s="12">
        <f>+'29'!K595+'30'!K595+'31'!K595</f>
        <v>0</v>
      </c>
      <c r="L595" s="12">
        <f>+'29'!L595+'30'!L595+'31'!L595</f>
        <v>0</v>
      </c>
      <c r="M595" s="271"/>
      <c r="N595" s="514">
        <f>+'29'!N595+'30'!N595+'31'!N595</f>
        <v>0</v>
      </c>
      <c r="O595" s="12">
        <f>+'29'!O595+'30'!O595+'31'!O595</f>
        <v>0</v>
      </c>
      <c r="P595" s="12">
        <f>+'29'!P595+'30'!P595+'31'!P595</f>
        <v>0</v>
      </c>
      <c r="Q595" s="532"/>
      <c r="R595" s="270">
        <v>0</v>
      </c>
      <c r="S595" s="12">
        <v>0</v>
      </c>
      <c r="T595" s="12">
        <v>0</v>
      </c>
      <c r="U595" s="271"/>
      <c r="V595" s="533">
        <f t="shared" si="73"/>
        <v>0</v>
      </c>
      <c r="W595" s="533">
        <f t="shared" si="74"/>
        <v>0</v>
      </c>
      <c r="X595" s="257"/>
      <c r="Y595" s="261">
        <f t="shared" si="75"/>
        <v>0</v>
      </c>
      <c r="Z595" s="12">
        <f t="shared" si="76"/>
        <v>0</v>
      </c>
      <c r="AB595" s="13">
        <f t="shared" si="72"/>
        <v>0</v>
      </c>
      <c r="AD595" s="16"/>
      <c r="AF595" s="13">
        <f t="shared" si="77"/>
        <v>0</v>
      </c>
      <c r="AG595" s="16"/>
      <c r="AH595" s="33"/>
      <c r="AI595" s="33"/>
      <c r="AJ595" s="13"/>
      <c r="AL595" s="33"/>
      <c r="AM595" s="12">
        <f t="shared" si="78"/>
        <v>0</v>
      </c>
      <c r="AN595" s="13">
        <f t="shared" si="79"/>
        <v>0</v>
      </c>
    </row>
    <row r="596" spans="1:40" x14ac:dyDescent="0.25">
      <c r="A596">
        <v>591</v>
      </c>
      <c r="B596" t="s">
        <v>604</v>
      </c>
      <c r="C596" t="s">
        <v>39</v>
      </c>
      <c r="D596" t="s">
        <v>16</v>
      </c>
      <c r="F596" s="514">
        <f>+'29'!F596+'30'!F596+'31'!F596</f>
        <v>0</v>
      </c>
      <c r="G596" s="12">
        <f>+'29'!G596+'30'!G596+'31'!G596</f>
        <v>0</v>
      </c>
      <c r="H596" s="12">
        <f>+'29'!H596+'30'!H596+'31'!H596</f>
        <v>0</v>
      </c>
      <c r="I596" s="271"/>
      <c r="J596" s="514">
        <f>+'29'!J596+'30'!J596+'31'!J596</f>
        <v>0</v>
      </c>
      <c r="K596" s="12">
        <f>+'29'!K596+'30'!K596+'31'!K596</f>
        <v>0</v>
      </c>
      <c r="L596" s="12">
        <f>+'29'!L596+'30'!L596+'31'!L596</f>
        <v>0</v>
      </c>
      <c r="M596" s="271"/>
      <c r="N596" s="514">
        <f>+'29'!N596+'30'!N596+'31'!N596</f>
        <v>0</v>
      </c>
      <c r="O596" s="12">
        <f>+'29'!O596+'30'!O596+'31'!O596</f>
        <v>0</v>
      </c>
      <c r="P596" s="12">
        <f>+'29'!P596+'30'!P596+'31'!P596</f>
        <v>0</v>
      </c>
      <c r="Q596" s="532"/>
      <c r="R596" s="270">
        <v>0</v>
      </c>
      <c r="S596" s="12">
        <v>0</v>
      </c>
      <c r="T596" s="12">
        <v>0</v>
      </c>
      <c r="U596" s="271"/>
      <c r="V596" s="533">
        <f t="shared" si="73"/>
        <v>0</v>
      </c>
      <c r="W596" s="533">
        <f t="shared" si="74"/>
        <v>0</v>
      </c>
      <c r="X596" s="257"/>
      <c r="Y596" s="261">
        <f t="shared" si="75"/>
        <v>0</v>
      </c>
      <c r="Z596" s="12">
        <f t="shared" si="76"/>
        <v>0</v>
      </c>
      <c r="AB596" s="13">
        <f t="shared" si="72"/>
        <v>0</v>
      </c>
      <c r="AD596" s="16"/>
      <c r="AF596" s="13">
        <f t="shared" si="77"/>
        <v>0</v>
      </c>
      <c r="AH596" s="33"/>
      <c r="AI596" s="33"/>
      <c r="AJ596" s="13"/>
      <c r="AM596" s="12">
        <f t="shared" si="78"/>
        <v>0</v>
      </c>
      <c r="AN596" s="13">
        <f t="shared" si="79"/>
        <v>0</v>
      </c>
    </row>
    <row r="597" spans="1:40" x14ac:dyDescent="0.25">
      <c r="A597">
        <v>592</v>
      </c>
      <c r="B597" t="s">
        <v>590</v>
      </c>
      <c r="C597" t="s">
        <v>39</v>
      </c>
      <c r="D597" t="s">
        <v>16</v>
      </c>
      <c r="F597" s="514">
        <f>+'29'!F597+'30'!F597+'31'!F597</f>
        <v>2</v>
      </c>
      <c r="G597" s="12">
        <f>+'29'!G597+'30'!G597+'31'!G597</f>
        <v>666.47</v>
      </c>
      <c r="H597" s="12">
        <f>+'29'!H597+'30'!H597+'31'!H597</f>
        <v>20</v>
      </c>
      <c r="I597" s="271"/>
      <c r="J597" s="514">
        <f>+'29'!J597+'30'!J597+'31'!J597</f>
        <v>0</v>
      </c>
      <c r="K597" s="12">
        <f>+'29'!K597+'30'!K597+'31'!K597</f>
        <v>0</v>
      </c>
      <c r="L597" s="12">
        <f>+'29'!L597+'30'!L597+'31'!L597</f>
        <v>0</v>
      </c>
      <c r="M597" s="271"/>
      <c r="N597" s="514">
        <f>+'29'!N597+'30'!N597+'31'!N597</f>
        <v>2</v>
      </c>
      <c r="O597" s="12">
        <f>+'29'!O597+'30'!O597+'31'!O597</f>
        <v>666.47</v>
      </c>
      <c r="P597" s="12">
        <f>+'29'!P597+'30'!P597+'31'!P597</f>
        <v>20</v>
      </c>
      <c r="Q597" s="532"/>
      <c r="R597" s="270">
        <v>2</v>
      </c>
      <c r="S597" s="12">
        <v>666.47</v>
      </c>
      <c r="T597" s="12">
        <v>0</v>
      </c>
      <c r="U597" s="271"/>
      <c r="V597" s="533">
        <f t="shared" si="73"/>
        <v>0</v>
      </c>
      <c r="W597" s="533">
        <f t="shared" si="74"/>
        <v>0</v>
      </c>
      <c r="X597" s="257"/>
      <c r="Y597" s="261">
        <f t="shared" si="75"/>
        <v>0</v>
      </c>
      <c r="Z597" s="12">
        <f t="shared" si="76"/>
        <v>0</v>
      </c>
      <c r="AB597" s="13">
        <f t="shared" si="72"/>
        <v>666.47</v>
      </c>
      <c r="AD597" s="16"/>
      <c r="AF597" s="13">
        <f t="shared" si="77"/>
        <v>666.47</v>
      </c>
      <c r="AM597" s="12">
        <f t="shared" si="78"/>
        <v>0</v>
      </c>
      <c r="AN597" s="13">
        <f t="shared" si="79"/>
        <v>666.47</v>
      </c>
    </row>
    <row r="598" spans="1:40" x14ac:dyDescent="0.25">
      <c r="A598">
        <v>593</v>
      </c>
      <c r="B598" t="s">
        <v>591</v>
      </c>
      <c r="C598" t="s">
        <v>51</v>
      </c>
      <c r="D598" t="s">
        <v>16</v>
      </c>
      <c r="F598" s="514">
        <f>+'29'!F598+'30'!F598+'31'!F598</f>
        <v>0</v>
      </c>
      <c r="G598" s="12">
        <f>+'29'!G598+'30'!G598+'31'!G598</f>
        <v>0</v>
      </c>
      <c r="H598" s="12">
        <f>+'29'!H598+'30'!H598+'31'!H598</f>
        <v>0</v>
      </c>
      <c r="I598" s="271"/>
      <c r="J598" s="514">
        <f>+'29'!J598+'30'!J598+'31'!J598</f>
        <v>0</v>
      </c>
      <c r="K598" s="12">
        <f>+'29'!K598+'30'!K598+'31'!K598</f>
        <v>0</v>
      </c>
      <c r="L598" s="12">
        <f>+'29'!L598+'30'!L598+'31'!L598</f>
        <v>0</v>
      </c>
      <c r="M598" s="271"/>
      <c r="N598" s="514">
        <f>+'29'!N598+'30'!N598+'31'!N598</f>
        <v>0</v>
      </c>
      <c r="O598" s="12">
        <f>+'29'!O598+'30'!O598+'31'!O598</f>
        <v>0</v>
      </c>
      <c r="P598" s="12">
        <f>+'29'!P598+'30'!P598+'31'!P598</f>
        <v>0</v>
      </c>
      <c r="Q598" s="532"/>
      <c r="R598" s="270">
        <v>0</v>
      </c>
      <c r="S598" s="12">
        <v>0</v>
      </c>
      <c r="T598" s="12">
        <v>0</v>
      </c>
      <c r="U598" s="271"/>
      <c r="V598" s="533">
        <f t="shared" si="73"/>
        <v>0</v>
      </c>
      <c r="W598" s="533">
        <f t="shared" si="74"/>
        <v>0</v>
      </c>
      <c r="X598" s="257"/>
      <c r="Y598" s="261">
        <f t="shared" si="75"/>
        <v>0</v>
      </c>
      <c r="Z598" s="12">
        <f t="shared" si="76"/>
        <v>0</v>
      </c>
      <c r="AB598" s="13">
        <f t="shared" si="72"/>
        <v>0</v>
      </c>
      <c r="AD598" s="16"/>
      <c r="AF598" s="13">
        <f t="shared" si="77"/>
        <v>0</v>
      </c>
      <c r="AG598" s="16"/>
      <c r="AI598" s="33"/>
      <c r="AM598" s="12">
        <f t="shared" si="78"/>
        <v>0</v>
      </c>
      <c r="AN598" s="13">
        <f t="shared" si="79"/>
        <v>0</v>
      </c>
    </row>
    <row r="599" spans="1:40" x14ac:dyDescent="0.25">
      <c r="A599">
        <v>594</v>
      </c>
      <c r="B599" t="s">
        <v>592</v>
      </c>
      <c r="C599" t="s">
        <v>349</v>
      </c>
      <c r="D599" t="s">
        <v>16</v>
      </c>
      <c r="F599" s="514">
        <f>+'29'!F599+'30'!F599+'31'!F599</f>
        <v>16</v>
      </c>
      <c r="G599" s="12">
        <f>+'29'!G599+'30'!G599+'31'!G599</f>
        <v>272494</v>
      </c>
      <c r="H599" s="12">
        <f>+'29'!H599+'30'!H599+'31'!H599</f>
        <v>480</v>
      </c>
      <c r="I599" s="271"/>
      <c r="J599" s="514">
        <f>+'29'!J599+'30'!J599+'31'!J599</f>
        <v>0</v>
      </c>
      <c r="K599" s="12">
        <f>+'29'!K599+'30'!K599+'31'!K599</f>
        <v>0</v>
      </c>
      <c r="L599" s="12">
        <f>+'29'!L599+'30'!L599+'31'!L599</f>
        <v>0</v>
      </c>
      <c r="M599" s="271"/>
      <c r="N599" s="514">
        <f>+'29'!N599+'30'!N599+'31'!N599</f>
        <v>16</v>
      </c>
      <c r="O599" s="12">
        <f>+'29'!O599+'30'!O599+'31'!O599</f>
        <v>272494</v>
      </c>
      <c r="P599" s="12">
        <f>+'29'!P599+'30'!P599+'31'!P599</f>
        <v>480</v>
      </c>
      <c r="Q599" s="532"/>
      <c r="R599" s="270">
        <v>16</v>
      </c>
      <c r="S599" s="12">
        <v>272494</v>
      </c>
      <c r="T599" s="12">
        <v>0</v>
      </c>
      <c r="U599" s="271"/>
      <c r="V599" s="533">
        <f t="shared" si="73"/>
        <v>0</v>
      </c>
      <c r="W599" s="533">
        <f t="shared" si="74"/>
        <v>0</v>
      </c>
      <c r="X599" s="257"/>
      <c r="Y599" s="261">
        <f t="shared" si="75"/>
        <v>0</v>
      </c>
      <c r="Z599" s="12">
        <f t="shared" si="76"/>
        <v>0</v>
      </c>
      <c r="AB599" s="13">
        <f t="shared" si="72"/>
        <v>272494</v>
      </c>
      <c r="AF599" s="13">
        <f t="shared" si="77"/>
        <v>272494</v>
      </c>
      <c r="AM599" s="12">
        <f t="shared" si="78"/>
        <v>0</v>
      </c>
      <c r="AN599" s="13">
        <f t="shared" si="79"/>
        <v>272494</v>
      </c>
    </row>
    <row r="600" spans="1:40" x14ac:dyDescent="0.25">
      <c r="A600">
        <v>595</v>
      </c>
      <c r="B600" t="s">
        <v>593</v>
      </c>
      <c r="C600" t="s">
        <v>41</v>
      </c>
      <c r="D600" t="s">
        <v>16</v>
      </c>
      <c r="F600" s="514">
        <f>+'29'!F600+'30'!F600+'31'!F600</f>
        <v>0</v>
      </c>
      <c r="G600" s="12">
        <f>+'29'!G600+'30'!G600+'31'!G600</f>
        <v>0</v>
      </c>
      <c r="H600" s="12">
        <f>+'29'!H600+'30'!H600+'31'!H600</f>
        <v>0</v>
      </c>
      <c r="I600" s="271"/>
      <c r="J600" s="514">
        <f>+'29'!J600+'30'!J600+'31'!J600</f>
        <v>0</v>
      </c>
      <c r="K600" s="12">
        <f>+'29'!K600+'30'!K600+'31'!K600</f>
        <v>0</v>
      </c>
      <c r="L600" s="12">
        <f>+'29'!L600+'30'!L600+'31'!L600</f>
        <v>0</v>
      </c>
      <c r="M600" s="271"/>
      <c r="N600" s="514">
        <f>+'29'!N600+'30'!N600+'31'!N600</f>
        <v>0</v>
      </c>
      <c r="O600" s="12">
        <f>+'29'!O600+'30'!O600+'31'!O600</f>
        <v>0</v>
      </c>
      <c r="P600" s="12">
        <f>+'29'!P600+'30'!P600+'31'!P600</f>
        <v>0</v>
      </c>
      <c r="Q600" s="532"/>
      <c r="R600" s="270">
        <v>0</v>
      </c>
      <c r="S600" s="12">
        <v>0</v>
      </c>
      <c r="T600" s="12">
        <v>0</v>
      </c>
      <c r="U600" s="271"/>
      <c r="V600" s="533">
        <f t="shared" si="73"/>
        <v>0</v>
      </c>
      <c r="W600" s="533">
        <f t="shared" si="74"/>
        <v>0</v>
      </c>
      <c r="X600" s="257"/>
      <c r="Y600" s="261">
        <f t="shared" si="75"/>
        <v>0</v>
      </c>
      <c r="Z600" s="12">
        <f t="shared" si="76"/>
        <v>0</v>
      </c>
      <c r="AB600" s="13">
        <f t="shared" si="72"/>
        <v>0</v>
      </c>
      <c r="AF600" s="13">
        <f t="shared" si="77"/>
        <v>0</v>
      </c>
      <c r="AM600" s="12">
        <f t="shared" si="78"/>
        <v>0</v>
      </c>
      <c r="AN600" s="13">
        <f t="shared" si="79"/>
        <v>0</v>
      </c>
    </row>
    <row r="601" spans="1:40" x14ac:dyDescent="0.25">
      <c r="A601">
        <v>596</v>
      </c>
      <c r="B601" t="s">
        <v>594</v>
      </c>
      <c r="C601" t="s">
        <v>18</v>
      </c>
      <c r="D601" t="s">
        <v>20</v>
      </c>
      <c r="F601" s="514">
        <f>+'29'!F601+'30'!F601+'31'!F601</f>
        <v>12</v>
      </c>
      <c r="G601" s="12">
        <f>+'29'!G601+'30'!G601+'31'!G601</f>
        <v>374939.98</v>
      </c>
      <c r="H601" s="12">
        <f>+'29'!H601+'30'!H601+'31'!H601</f>
        <v>420</v>
      </c>
      <c r="I601" s="271"/>
      <c r="J601" s="514">
        <f>+'29'!J601+'30'!J601+'31'!J601</f>
        <v>0</v>
      </c>
      <c r="K601" s="12">
        <f>+'29'!K601+'30'!K601+'31'!K601</f>
        <v>0</v>
      </c>
      <c r="L601" s="12">
        <f>+'29'!L601+'30'!L601+'31'!L601</f>
        <v>0</v>
      </c>
      <c r="M601" s="271"/>
      <c r="N601" s="514">
        <f>+'29'!N601+'30'!N601+'31'!N601</f>
        <v>12</v>
      </c>
      <c r="O601" s="12">
        <f>+'29'!O601+'30'!O601+'31'!O601</f>
        <v>374939.98</v>
      </c>
      <c r="P601" s="12">
        <f>+'29'!P601+'30'!P601+'31'!P601</f>
        <v>420</v>
      </c>
      <c r="Q601" s="532"/>
      <c r="R601" s="270">
        <v>12</v>
      </c>
      <c r="S601" s="12">
        <v>374519.98</v>
      </c>
      <c r="T601" s="12">
        <v>420</v>
      </c>
      <c r="U601" s="271"/>
      <c r="V601" s="533">
        <f t="shared" si="73"/>
        <v>0</v>
      </c>
      <c r="W601" s="533">
        <f t="shared" si="74"/>
        <v>420</v>
      </c>
      <c r="X601" s="257"/>
      <c r="Y601" s="261">
        <f t="shared" si="75"/>
        <v>0</v>
      </c>
      <c r="Z601" s="12">
        <f t="shared" si="76"/>
        <v>420</v>
      </c>
      <c r="AB601" s="13">
        <f t="shared" si="72"/>
        <v>374939.98</v>
      </c>
      <c r="AF601" s="13">
        <f t="shared" si="77"/>
        <v>374939.98</v>
      </c>
      <c r="AM601" s="12">
        <f t="shared" si="78"/>
        <v>0</v>
      </c>
      <c r="AN601" s="13">
        <f t="shared" si="79"/>
        <v>374939.98</v>
      </c>
    </row>
    <row r="602" spans="1:40" x14ac:dyDescent="0.25">
      <c r="A602">
        <v>597</v>
      </c>
      <c r="B602" t="s">
        <v>595</v>
      </c>
      <c r="C602" t="s">
        <v>366</v>
      </c>
      <c r="D602" t="s">
        <v>16</v>
      </c>
      <c r="F602" s="514">
        <f>+'29'!F602+'30'!F602+'31'!F602</f>
        <v>13</v>
      </c>
      <c r="G602" s="12">
        <f>+'29'!G602+'30'!G602+'31'!G602</f>
        <v>55644</v>
      </c>
      <c r="H602" s="12">
        <f>+'29'!H602+'30'!H602+'31'!H602</f>
        <v>325</v>
      </c>
      <c r="I602" s="271"/>
      <c r="J602" s="514">
        <f>+'29'!J602+'30'!J602+'31'!J602</f>
        <v>0</v>
      </c>
      <c r="K602" s="12">
        <f>+'29'!K602+'30'!K602+'31'!K602</f>
        <v>0</v>
      </c>
      <c r="L602" s="12">
        <f>+'29'!L602+'30'!L602+'31'!L602</f>
        <v>0</v>
      </c>
      <c r="M602" s="271"/>
      <c r="N602" s="514">
        <f>+'29'!N602+'30'!N602+'31'!N602</f>
        <v>13</v>
      </c>
      <c r="O602" s="12">
        <f>+'29'!O602+'30'!O602+'31'!O602</f>
        <v>55644</v>
      </c>
      <c r="P602" s="12">
        <f>+'29'!P602+'30'!P602+'31'!P602</f>
        <v>325</v>
      </c>
      <c r="Q602" s="532"/>
      <c r="R602" s="270">
        <v>13</v>
      </c>
      <c r="S602" s="12">
        <v>55644</v>
      </c>
      <c r="T602" s="12">
        <v>0</v>
      </c>
      <c r="U602" s="271"/>
      <c r="V602" s="533">
        <f t="shared" si="73"/>
        <v>0</v>
      </c>
      <c r="W602" s="533">
        <f t="shared" si="74"/>
        <v>0</v>
      </c>
      <c r="X602" s="257"/>
      <c r="Y602" s="261">
        <f t="shared" si="75"/>
        <v>0</v>
      </c>
      <c r="Z602" s="12">
        <f t="shared" si="76"/>
        <v>0</v>
      </c>
      <c r="AB602" s="13">
        <f t="shared" si="72"/>
        <v>55644</v>
      </c>
      <c r="AF602" s="13">
        <f t="shared" si="77"/>
        <v>55644</v>
      </c>
      <c r="AM602" s="12">
        <f t="shared" si="78"/>
        <v>0</v>
      </c>
      <c r="AN602" s="13">
        <f t="shared" si="79"/>
        <v>55644</v>
      </c>
    </row>
    <row r="603" spans="1:40" x14ac:dyDescent="0.25">
      <c r="A603">
        <v>598</v>
      </c>
      <c r="B603" t="s">
        <v>596</v>
      </c>
      <c r="C603" t="s">
        <v>18</v>
      </c>
      <c r="D603" t="s">
        <v>16</v>
      </c>
      <c r="F603" s="514">
        <f>+'29'!F603+'30'!F603+'31'!F603</f>
        <v>11</v>
      </c>
      <c r="G603" s="12">
        <f>+'29'!G603+'30'!G603+'31'!G603</f>
        <v>725360</v>
      </c>
      <c r="H603" s="12">
        <f>+'29'!H603+'30'!H603+'31'!H603</f>
        <v>330</v>
      </c>
      <c r="I603" s="271"/>
      <c r="J603" s="514">
        <f>+'29'!J603+'30'!J603+'31'!J603</f>
        <v>0</v>
      </c>
      <c r="K603" s="12">
        <f>+'29'!K603+'30'!K603+'31'!K603</f>
        <v>0</v>
      </c>
      <c r="L603" s="12">
        <f>+'29'!L603+'30'!L603+'31'!L603</f>
        <v>0</v>
      </c>
      <c r="M603" s="271"/>
      <c r="N603" s="514">
        <f>+'29'!N603+'30'!N603+'31'!N603</f>
        <v>11</v>
      </c>
      <c r="O603" s="12">
        <f>+'29'!O603+'30'!O603+'31'!O603</f>
        <v>725360</v>
      </c>
      <c r="P603" s="12">
        <f>+'29'!P603+'30'!P603+'31'!P603</f>
        <v>330</v>
      </c>
      <c r="Q603" s="532"/>
      <c r="R603" s="270">
        <v>11</v>
      </c>
      <c r="S603" s="12">
        <v>725360</v>
      </c>
      <c r="T603" s="12">
        <v>0</v>
      </c>
      <c r="U603" s="271"/>
      <c r="V603" s="533">
        <f t="shared" si="73"/>
        <v>0</v>
      </c>
      <c r="W603" s="533">
        <f t="shared" si="74"/>
        <v>0</v>
      </c>
      <c r="X603" s="257"/>
      <c r="Y603" s="261">
        <f t="shared" si="75"/>
        <v>0</v>
      </c>
      <c r="Z603" s="12">
        <f t="shared" si="76"/>
        <v>0</v>
      </c>
      <c r="AB603" s="13">
        <f t="shared" si="72"/>
        <v>725360</v>
      </c>
      <c r="AF603" s="13">
        <f t="shared" si="77"/>
        <v>725360</v>
      </c>
      <c r="AM603" s="12">
        <f t="shared" si="78"/>
        <v>0</v>
      </c>
      <c r="AN603" s="13">
        <f t="shared" si="79"/>
        <v>725360</v>
      </c>
    </row>
    <row r="604" spans="1:40" x14ac:dyDescent="0.25">
      <c r="A604">
        <v>599</v>
      </c>
      <c r="B604" t="s">
        <v>597</v>
      </c>
      <c r="C604" t="s">
        <v>15</v>
      </c>
      <c r="D604" t="s">
        <v>16</v>
      </c>
      <c r="F604" s="514">
        <f>+'29'!F604+'30'!F604+'31'!F604</f>
        <v>11</v>
      </c>
      <c r="G604" s="12">
        <f>+'29'!G604+'30'!G604+'31'!G604</f>
        <v>439858</v>
      </c>
      <c r="H604" s="12">
        <f>+'29'!H604+'30'!H604+'31'!H604</f>
        <v>330</v>
      </c>
      <c r="I604" s="271"/>
      <c r="J604" s="514">
        <f>+'29'!J604+'30'!J604+'31'!J604</f>
        <v>0</v>
      </c>
      <c r="K604" s="12">
        <f>+'29'!K604+'30'!K604+'31'!K604</f>
        <v>0</v>
      </c>
      <c r="L604" s="12">
        <f>+'29'!L604+'30'!L604+'31'!L604</f>
        <v>0</v>
      </c>
      <c r="M604" s="271"/>
      <c r="N604" s="514">
        <f>+'29'!N604+'30'!N604+'31'!N604</f>
        <v>11</v>
      </c>
      <c r="O604" s="12">
        <f>+'29'!O604+'30'!O604+'31'!O604</f>
        <v>439858</v>
      </c>
      <c r="P604" s="12">
        <f>+'29'!P604+'30'!P604+'31'!P604</f>
        <v>330</v>
      </c>
      <c r="Q604" s="532"/>
      <c r="R604" s="270">
        <v>11</v>
      </c>
      <c r="S604" s="12">
        <v>439858</v>
      </c>
      <c r="T604" s="12">
        <v>0</v>
      </c>
      <c r="U604" s="271"/>
      <c r="V604" s="533">
        <f t="shared" si="73"/>
        <v>0</v>
      </c>
      <c r="W604" s="533">
        <f t="shared" si="74"/>
        <v>0</v>
      </c>
      <c r="X604" s="257"/>
      <c r="Y604" s="261">
        <f t="shared" si="75"/>
        <v>0</v>
      </c>
      <c r="Z604" s="12">
        <f t="shared" si="76"/>
        <v>0</v>
      </c>
      <c r="AB604" s="13">
        <f t="shared" si="72"/>
        <v>439858</v>
      </c>
      <c r="AF604" s="13">
        <f t="shared" si="77"/>
        <v>439858</v>
      </c>
      <c r="AM604" s="12">
        <f t="shared" si="78"/>
        <v>0</v>
      </c>
      <c r="AN604" s="13">
        <f t="shared" si="79"/>
        <v>439858</v>
      </c>
    </row>
    <row r="605" spans="1:40" x14ac:dyDescent="0.25">
      <c r="A605">
        <v>600</v>
      </c>
      <c r="B605" t="s">
        <v>598</v>
      </c>
      <c r="C605" t="s">
        <v>18</v>
      </c>
      <c r="D605" t="s">
        <v>16</v>
      </c>
      <c r="F605" s="514">
        <f>+'29'!F605+'30'!F605+'31'!F605</f>
        <v>23</v>
      </c>
      <c r="G605" s="12">
        <f>+'29'!G605+'30'!G605+'31'!G605</f>
        <v>915567</v>
      </c>
      <c r="H605" s="12">
        <f>+'29'!H605+'30'!H605+'31'!H605</f>
        <v>690</v>
      </c>
      <c r="I605" s="271"/>
      <c r="J605" s="514">
        <f>+'29'!J605+'30'!J605+'31'!J605</f>
        <v>0</v>
      </c>
      <c r="K605" s="12">
        <f>+'29'!K605+'30'!K605+'31'!K605</f>
        <v>0</v>
      </c>
      <c r="L605" s="12">
        <f>+'29'!L605+'30'!L605+'31'!L605</f>
        <v>0</v>
      </c>
      <c r="M605" s="271"/>
      <c r="N605" s="514">
        <f>+'29'!N605+'30'!N605+'31'!N605</f>
        <v>23</v>
      </c>
      <c r="O605" s="12">
        <f>+'29'!O605+'30'!O605+'31'!O605</f>
        <v>915567</v>
      </c>
      <c r="P605" s="12">
        <f>+'29'!P605+'30'!P605+'31'!P605</f>
        <v>690</v>
      </c>
      <c r="Q605" s="532"/>
      <c r="R605" s="270">
        <v>23</v>
      </c>
      <c r="S605" s="12">
        <v>915567</v>
      </c>
      <c r="T605" s="12">
        <v>0</v>
      </c>
      <c r="U605" s="271"/>
      <c r="V605" s="533">
        <f t="shared" si="73"/>
        <v>0</v>
      </c>
      <c r="W605" s="533">
        <f t="shared" si="74"/>
        <v>0</v>
      </c>
      <c r="X605" s="257"/>
      <c r="Y605" s="261">
        <f t="shared" si="75"/>
        <v>0</v>
      </c>
      <c r="Z605" s="12">
        <f t="shared" si="76"/>
        <v>0</v>
      </c>
      <c r="AB605" s="13">
        <f t="shared" si="72"/>
        <v>915567</v>
      </c>
      <c r="AF605" s="13">
        <f t="shared" si="77"/>
        <v>915567</v>
      </c>
      <c r="AM605" s="12">
        <f t="shared" si="78"/>
        <v>0</v>
      </c>
      <c r="AN605" s="13">
        <f t="shared" si="79"/>
        <v>915567</v>
      </c>
    </row>
    <row r="606" spans="1:40" x14ac:dyDescent="0.25">
      <c r="A606">
        <v>601</v>
      </c>
      <c r="B606" t="s">
        <v>599</v>
      </c>
      <c r="C606" t="s">
        <v>15</v>
      </c>
      <c r="D606" t="s">
        <v>16</v>
      </c>
      <c r="F606" s="514">
        <f>+'29'!F606+'30'!F606+'31'!F606</f>
        <v>0</v>
      </c>
      <c r="G606" s="12">
        <f>+'29'!G606+'30'!G606+'31'!G606</f>
        <v>0</v>
      </c>
      <c r="H606" s="12">
        <f>+'29'!H606+'30'!H606+'31'!H606</f>
        <v>0</v>
      </c>
      <c r="I606" s="271"/>
      <c r="J606" s="514">
        <f>+'29'!J606+'30'!J606+'31'!J606</f>
        <v>0</v>
      </c>
      <c r="K606" s="12">
        <f>+'29'!K606+'30'!K606+'31'!K606</f>
        <v>0</v>
      </c>
      <c r="L606" s="12">
        <f>+'29'!L606+'30'!L606+'31'!L606</f>
        <v>0</v>
      </c>
      <c r="M606" s="271"/>
      <c r="N606" s="514">
        <f>+'29'!N606+'30'!N606+'31'!N606</f>
        <v>0</v>
      </c>
      <c r="O606" s="12">
        <f>+'29'!O606+'30'!O606+'31'!O606</f>
        <v>0</v>
      </c>
      <c r="P606" s="12">
        <f>+'29'!P606+'30'!P606+'31'!P606</f>
        <v>0</v>
      </c>
      <c r="Q606" s="532"/>
      <c r="R606" s="270">
        <v>0</v>
      </c>
      <c r="S606" s="12">
        <v>0</v>
      </c>
      <c r="T606" s="12">
        <v>0</v>
      </c>
      <c r="U606" s="271"/>
      <c r="V606" s="533">
        <f t="shared" si="73"/>
        <v>0</v>
      </c>
      <c r="W606" s="533">
        <f t="shared" si="74"/>
        <v>0</v>
      </c>
      <c r="X606" s="257"/>
      <c r="Y606" s="261">
        <f t="shared" si="75"/>
        <v>0</v>
      </c>
      <c r="Z606" s="12">
        <f t="shared" si="76"/>
        <v>0</v>
      </c>
      <c r="AB606" s="13">
        <f t="shared" si="72"/>
        <v>0</v>
      </c>
      <c r="AF606" s="13">
        <f t="shared" si="77"/>
        <v>0</v>
      </c>
      <c r="AM606" s="12">
        <f t="shared" si="78"/>
        <v>0</v>
      </c>
      <c r="AN606" s="13">
        <f t="shared" si="79"/>
        <v>0</v>
      </c>
    </row>
    <row r="607" spans="1:40" x14ac:dyDescent="0.25">
      <c r="A607">
        <v>602</v>
      </c>
      <c r="B607" t="s">
        <v>600</v>
      </c>
      <c r="C607" t="s">
        <v>18</v>
      </c>
      <c r="D607" t="s">
        <v>16</v>
      </c>
      <c r="F607" s="514">
        <f>+'29'!F607+'30'!F607+'31'!F607</f>
        <v>15</v>
      </c>
      <c r="G607" s="12">
        <f>+'29'!G607+'30'!G607+'31'!G607</f>
        <v>405193.43</v>
      </c>
      <c r="H607" s="12">
        <f>+'29'!H607+'30'!H607+'31'!H607</f>
        <v>450</v>
      </c>
      <c r="I607" s="271"/>
      <c r="J607" s="514">
        <f>+'29'!J607+'30'!J607+'31'!J607</f>
        <v>0</v>
      </c>
      <c r="K607" s="12">
        <f>+'29'!K607+'30'!K607+'31'!K607</f>
        <v>0</v>
      </c>
      <c r="L607" s="12">
        <f>+'29'!L607+'30'!L607+'31'!L607</f>
        <v>0</v>
      </c>
      <c r="M607" s="271"/>
      <c r="N607" s="514">
        <f>+'29'!N607+'30'!N607+'31'!N607</f>
        <v>15</v>
      </c>
      <c r="O607" s="12">
        <f>+'29'!O607+'30'!O607+'31'!O607</f>
        <v>405193.43</v>
      </c>
      <c r="P607" s="12">
        <f>+'29'!P607+'30'!P607+'31'!P607</f>
        <v>450</v>
      </c>
      <c r="Q607" s="532"/>
      <c r="R607" s="270">
        <v>15</v>
      </c>
      <c r="S607" s="12">
        <v>405193.43</v>
      </c>
      <c r="T607" s="12">
        <v>0</v>
      </c>
      <c r="U607" s="271"/>
      <c r="V607" s="533">
        <f t="shared" si="73"/>
        <v>0</v>
      </c>
      <c r="W607" s="533">
        <f t="shared" si="74"/>
        <v>0</v>
      </c>
      <c r="X607" s="257"/>
      <c r="Y607" s="261">
        <f t="shared" si="75"/>
        <v>0</v>
      </c>
      <c r="Z607" s="12">
        <f t="shared" si="76"/>
        <v>0</v>
      </c>
      <c r="AB607" s="13">
        <f t="shared" si="72"/>
        <v>405193.43</v>
      </c>
      <c r="AF607" s="13">
        <f t="shared" si="77"/>
        <v>405193.43</v>
      </c>
      <c r="AM607" s="12">
        <f t="shared" si="78"/>
        <v>0</v>
      </c>
      <c r="AN607" s="13">
        <f t="shared" si="79"/>
        <v>405193.43</v>
      </c>
    </row>
    <row r="608" spans="1:40" x14ac:dyDescent="0.25">
      <c r="A608">
        <v>603</v>
      </c>
      <c r="B608" t="s">
        <v>601</v>
      </c>
      <c r="C608" t="s">
        <v>15</v>
      </c>
      <c r="D608" t="s">
        <v>16</v>
      </c>
      <c r="F608" s="514">
        <f>+'29'!F608+'30'!F608+'31'!F608</f>
        <v>47</v>
      </c>
      <c r="G608" s="12">
        <f>+'29'!G608+'30'!G608+'31'!G608</f>
        <v>2863206</v>
      </c>
      <c r="H608" s="12">
        <f>+'29'!H608+'30'!H608+'31'!H608</f>
        <v>1410</v>
      </c>
      <c r="I608" s="271"/>
      <c r="J608" s="514">
        <f>+'29'!J608+'30'!J608+'31'!J608</f>
        <v>0</v>
      </c>
      <c r="K608" s="12">
        <f>+'29'!K608+'30'!K608+'31'!K608</f>
        <v>0</v>
      </c>
      <c r="L608" s="12">
        <f>+'29'!L608+'30'!L608+'31'!L608</f>
        <v>0</v>
      </c>
      <c r="M608" s="271"/>
      <c r="N608" s="514">
        <f>+'29'!N608+'30'!N608+'31'!N608</f>
        <v>47</v>
      </c>
      <c r="O608" s="12">
        <f>+'29'!O608+'30'!O608+'31'!O608</f>
        <v>2863206</v>
      </c>
      <c r="P608" s="12">
        <f>+'29'!P608+'30'!P608+'31'!P608</f>
        <v>1410</v>
      </c>
      <c r="Q608" s="532"/>
      <c r="R608" s="270">
        <v>47</v>
      </c>
      <c r="S608" s="12">
        <v>2863206</v>
      </c>
      <c r="T608" s="12">
        <v>0</v>
      </c>
      <c r="U608" s="271"/>
      <c r="V608" s="533">
        <f t="shared" si="73"/>
        <v>0</v>
      </c>
      <c r="W608" s="533">
        <f t="shared" si="74"/>
        <v>0</v>
      </c>
      <c r="X608" s="257"/>
      <c r="Y608" s="261">
        <f t="shared" si="75"/>
        <v>0</v>
      </c>
      <c r="Z608" s="12">
        <f t="shared" si="76"/>
        <v>0</v>
      </c>
      <c r="AB608" s="13">
        <f t="shared" si="72"/>
        <v>2863206</v>
      </c>
      <c r="AF608" s="13">
        <f t="shared" si="77"/>
        <v>2863206</v>
      </c>
      <c r="AM608" s="12">
        <f t="shared" si="78"/>
        <v>0</v>
      </c>
      <c r="AN608" s="13">
        <f t="shared" si="79"/>
        <v>2863206</v>
      </c>
    </row>
    <row r="609" spans="1:40" x14ac:dyDescent="0.25">
      <c r="A609">
        <v>604</v>
      </c>
      <c r="B609" t="s">
        <v>602</v>
      </c>
      <c r="C609" t="s">
        <v>18</v>
      </c>
      <c r="D609" t="s">
        <v>20</v>
      </c>
      <c r="F609" s="514">
        <f>+'29'!F609+'30'!F609+'31'!F609</f>
        <v>9</v>
      </c>
      <c r="G609" s="12">
        <f>+'29'!G609+'30'!G609+'31'!G609</f>
        <v>141609.60000000001</v>
      </c>
      <c r="H609" s="12">
        <f>+'29'!H609+'30'!H609+'31'!H609</f>
        <v>450</v>
      </c>
      <c r="I609" s="271"/>
      <c r="J609" s="514">
        <f>+'29'!J609+'30'!J609+'31'!J609</f>
        <v>0</v>
      </c>
      <c r="K609" s="12">
        <f>+'29'!K609+'30'!K609+'31'!K609</f>
        <v>0</v>
      </c>
      <c r="L609" s="12">
        <f>+'29'!L609+'30'!L609+'31'!L609</f>
        <v>0</v>
      </c>
      <c r="M609" s="271"/>
      <c r="N609" s="514">
        <f>+'29'!N609+'30'!N609+'31'!N609</f>
        <v>9</v>
      </c>
      <c r="O609" s="12">
        <f>+'29'!O609+'30'!O609+'31'!O609</f>
        <v>141609.60000000001</v>
      </c>
      <c r="P609" s="12">
        <f>+'29'!P609+'30'!P609+'31'!P609</f>
        <v>450</v>
      </c>
      <c r="Q609" s="532"/>
      <c r="R609" s="270">
        <v>9</v>
      </c>
      <c r="S609" s="12">
        <v>141609.60000000001</v>
      </c>
      <c r="T609" s="12">
        <v>0</v>
      </c>
      <c r="U609" s="271"/>
      <c r="V609" s="533">
        <f t="shared" si="73"/>
        <v>0</v>
      </c>
      <c r="W609" s="533">
        <f t="shared" si="74"/>
        <v>0</v>
      </c>
      <c r="X609" s="257"/>
      <c r="Y609" s="261">
        <f t="shared" si="75"/>
        <v>0</v>
      </c>
      <c r="Z609" s="12">
        <f t="shared" si="76"/>
        <v>0</v>
      </c>
      <c r="AB609" s="13">
        <f t="shared" si="72"/>
        <v>141609.60000000001</v>
      </c>
      <c r="AD609" s="16"/>
      <c r="AF609" s="13">
        <f t="shared" si="77"/>
        <v>141609.60000000001</v>
      </c>
      <c r="AG609" s="16"/>
      <c r="AM609" s="12">
        <f t="shared" si="78"/>
        <v>0</v>
      </c>
      <c r="AN609" s="13">
        <f t="shared" si="79"/>
        <v>141609.60000000001</v>
      </c>
    </row>
    <row r="610" spans="1:40" x14ac:dyDescent="0.25">
      <c r="A610">
        <v>605</v>
      </c>
      <c r="B610" t="s">
        <v>603</v>
      </c>
      <c r="C610" t="s">
        <v>18</v>
      </c>
      <c r="D610" t="s">
        <v>20</v>
      </c>
      <c r="F610" s="514">
        <f>+'29'!F610+'30'!F610+'31'!F610</f>
        <v>50</v>
      </c>
      <c r="G610" s="12">
        <f>+'29'!G610+'30'!G610+'31'!G610</f>
        <v>776105.38</v>
      </c>
      <c r="H610" s="12">
        <f>+'29'!H610+'30'!H610+'31'!H610</f>
        <v>2500</v>
      </c>
      <c r="I610" s="271"/>
      <c r="J610" s="514">
        <f>+'29'!J610+'30'!J610+'31'!J610</f>
        <v>0</v>
      </c>
      <c r="K610" s="12">
        <f>+'29'!K610+'30'!K610+'31'!K610</f>
        <v>0</v>
      </c>
      <c r="L610" s="12">
        <f>+'29'!L610+'30'!L610+'31'!L610</f>
        <v>0</v>
      </c>
      <c r="M610" s="271"/>
      <c r="N610" s="514">
        <f>+'29'!N610+'30'!N610+'31'!N610</f>
        <v>50</v>
      </c>
      <c r="O610" s="12">
        <f>+'29'!O610+'30'!O610+'31'!O610</f>
        <v>776105.38</v>
      </c>
      <c r="P610" s="12">
        <f>+'29'!P610+'30'!P610+'31'!P610</f>
        <v>2500</v>
      </c>
      <c r="Q610" s="532"/>
      <c r="R610" s="270">
        <v>50</v>
      </c>
      <c r="S610" s="12">
        <v>776105.38</v>
      </c>
      <c r="T610" s="12">
        <v>0</v>
      </c>
      <c r="U610" s="271"/>
      <c r="V610" s="533">
        <f t="shared" si="73"/>
        <v>0</v>
      </c>
      <c r="W610" s="533">
        <f t="shared" si="74"/>
        <v>0</v>
      </c>
      <c r="X610" s="257"/>
      <c r="Y610" s="261">
        <f t="shared" si="75"/>
        <v>0</v>
      </c>
      <c r="Z610" s="12">
        <f t="shared" si="76"/>
        <v>0</v>
      </c>
      <c r="AB610" s="13">
        <f t="shared" si="72"/>
        <v>776105.38</v>
      </c>
      <c r="AF610" s="13">
        <f t="shared" si="77"/>
        <v>776105.38</v>
      </c>
      <c r="AM610" s="12">
        <f t="shared" si="78"/>
        <v>0</v>
      </c>
      <c r="AN610" s="13">
        <f t="shared" si="79"/>
        <v>776105.38</v>
      </c>
    </row>
    <row r="611" spans="1:40" x14ac:dyDescent="0.25">
      <c r="A611">
        <v>606</v>
      </c>
      <c r="B611" t="s">
        <v>3307</v>
      </c>
      <c r="C611" t="s">
        <v>355</v>
      </c>
      <c r="D611" t="s">
        <v>3231</v>
      </c>
      <c r="F611" s="514">
        <f>+'29'!F611+'30'!F611+'31'!F611</f>
        <v>0</v>
      </c>
      <c r="G611" s="12">
        <f>+'29'!G611+'30'!G611+'31'!G611</f>
        <v>0</v>
      </c>
      <c r="H611" s="12">
        <f>+'29'!H611+'30'!H611+'31'!H611</f>
        <v>0</v>
      </c>
      <c r="I611" s="271"/>
      <c r="J611" s="514">
        <f>+'29'!J611+'30'!J611+'31'!J611</f>
        <v>0</v>
      </c>
      <c r="K611" s="12">
        <f>+'29'!K611+'30'!K611+'31'!K611</f>
        <v>0</v>
      </c>
      <c r="L611" s="12">
        <f>+'29'!L611+'30'!L611+'31'!L611</f>
        <v>0</v>
      </c>
      <c r="M611" s="271"/>
      <c r="N611" s="514">
        <f>+'29'!N611+'30'!N611+'31'!N611</f>
        <v>0</v>
      </c>
      <c r="O611" s="12">
        <f>+'29'!O611+'30'!O611+'31'!O611</f>
        <v>0</v>
      </c>
      <c r="P611" s="12">
        <f>+'29'!P611+'30'!P611+'31'!P611</f>
        <v>0</v>
      </c>
      <c r="Q611" s="532"/>
      <c r="R611" s="270">
        <v>0</v>
      </c>
      <c r="S611" s="12">
        <v>0</v>
      </c>
      <c r="T611" s="12">
        <v>0</v>
      </c>
      <c r="U611" s="271"/>
      <c r="V611" s="533">
        <f t="shared" si="73"/>
        <v>0</v>
      </c>
      <c r="W611" s="533">
        <f t="shared" si="74"/>
        <v>0</v>
      </c>
      <c r="X611" s="257"/>
      <c r="Y611" s="261">
        <f t="shared" si="75"/>
        <v>0</v>
      </c>
      <c r="Z611" s="12">
        <f t="shared" si="76"/>
        <v>0</v>
      </c>
      <c r="AB611" s="13">
        <f t="shared" si="72"/>
        <v>0</v>
      </c>
      <c r="AF611" s="13">
        <f t="shared" si="77"/>
        <v>0</v>
      </c>
      <c r="AM611" s="12">
        <f t="shared" si="78"/>
        <v>0</v>
      </c>
      <c r="AN611" s="13">
        <f t="shared" si="79"/>
        <v>0</v>
      </c>
    </row>
    <row r="612" spans="1:40" x14ac:dyDescent="0.25">
      <c r="A612">
        <v>607</v>
      </c>
      <c r="B612" t="s">
        <v>605</v>
      </c>
      <c r="C612" t="s">
        <v>92</v>
      </c>
      <c r="D612" t="s">
        <v>606</v>
      </c>
      <c r="F612" s="514">
        <f>+'29'!F612+'30'!F612+'31'!F612</f>
        <v>0</v>
      </c>
      <c r="G612" s="12">
        <f>+'29'!G612+'30'!G612+'31'!G612</f>
        <v>0</v>
      </c>
      <c r="H612" s="12">
        <f>+'29'!H612+'30'!H612+'31'!H612</f>
        <v>0</v>
      </c>
      <c r="I612" s="271"/>
      <c r="J612" s="514">
        <f>+'29'!J612+'30'!J612+'31'!J612</f>
        <v>0</v>
      </c>
      <c r="K612" s="12">
        <f>+'29'!K612+'30'!K612+'31'!K612</f>
        <v>0</v>
      </c>
      <c r="L612" s="12">
        <f>+'29'!L612+'30'!L612+'31'!L612</f>
        <v>0</v>
      </c>
      <c r="M612" s="271"/>
      <c r="N612" s="514">
        <f>+'29'!N612+'30'!N612+'31'!N612</f>
        <v>0</v>
      </c>
      <c r="O612" s="12">
        <f>+'29'!O612+'30'!O612+'31'!O612</f>
        <v>0</v>
      </c>
      <c r="P612" s="12">
        <f>+'29'!P612+'30'!P612+'31'!P612</f>
        <v>0</v>
      </c>
      <c r="Q612" s="532"/>
      <c r="R612" s="270">
        <v>0</v>
      </c>
      <c r="S612" s="12">
        <v>0</v>
      </c>
      <c r="T612" s="12">
        <v>0</v>
      </c>
      <c r="U612" s="271"/>
      <c r="V612" s="533">
        <f t="shared" si="73"/>
        <v>0</v>
      </c>
      <c r="W612" s="533">
        <f t="shared" si="74"/>
        <v>0</v>
      </c>
      <c r="X612" s="257"/>
      <c r="Y612" s="261">
        <f t="shared" si="75"/>
        <v>0</v>
      </c>
      <c r="Z612" s="12">
        <f t="shared" si="76"/>
        <v>0</v>
      </c>
      <c r="AB612" s="13">
        <f t="shared" si="72"/>
        <v>0</v>
      </c>
      <c r="AF612" s="13">
        <f t="shared" si="77"/>
        <v>0</v>
      </c>
      <c r="AM612" s="12">
        <f t="shared" si="78"/>
        <v>0</v>
      </c>
      <c r="AN612" s="13">
        <f t="shared" si="79"/>
        <v>0</v>
      </c>
    </row>
    <row r="613" spans="1:40" x14ac:dyDescent="0.25">
      <c r="A613">
        <v>608</v>
      </c>
      <c r="B613" t="s">
        <v>3308</v>
      </c>
      <c r="C613" t="s">
        <v>18</v>
      </c>
      <c r="D613" t="s">
        <v>16</v>
      </c>
      <c r="F613" s="514">
        <f>+'29'!F613+'30'!F613+'31'!F613</f>
        <v>1</v>
      </c>
      <c r="G613" s="12">
        <f>+'29'!G613+'30'!G613+'31'!G613</f>
        <v>22152</v>
      </c>
      <c r="H613" s="12">
        <f>+'29'!H613+'30'!H613+'31'!H613</f>
        <v>50</v>
      </c>
      <c r="I613" s="271"/>
      <c r="J613" s="514">
        <f>+'29'!J613+'30'!J613+'31'!J613</f>
        <v>0</v>
      </c>
      <c r="K613" s="12">
        <f>+'29'!K613+'30'!K613+'31'!K613</f>
        <v>0</v>
      </c>
      <c r="L613" s="12">
        <f>+'29'!L613+'30'!L613+'31'!L613</f>
        <v>0</v>
      </c>
      <c r="M613" s="271"/>
      <c r="N613" s="514">
        <f>+'29'!N613+'30'!N613+'31'!N613</f>
        <v>1</v>
      </c>
      <c r="O613" s="12">
        <f>+'29'!O613+'30'!O613+'31'!O613</f>
        <v>22152</v>
      </c>
      <c r="P613" s="12">
        <f>+'29'!P613+'30'!P613+'31'!P613</f>
        <v>50</v>
      </c>
      <c r="Q613" s="532"/>
      <c r="R613" s="270">
        <v>1</v>
      </c>
      <c r="S613" s="12">
        <v>22152</v>
      </c>
      <c r="T613" s="12">
        <v>0</v>
      </c>
      <c r="U613" s="271"/>
      <c r="V613" s="533">
        <f t="shared" si="73"/>
        <v>0</v>
      </c>
      <c r="W613" s="533">
        <f t="shared" si="74"/>
        <v>0</v>
      </c>
      <c r="X613" s="257"/>
      <c r="Y613" s="261">
        <f t="shared" si="75"/>
        <v>0</v>
      </c>
      <c r="Z613" s="12">
        <f t="shared" si="76"/>
        <v>0</v>
      </c>
      <c r="AB613" s="13">
        <f t="shared" si="72"/>
        <v>22152</v>
      </c>
      <c r="AF613" s="13">
        <f t="shared" si="77"/>
        <v>22152</v>
      </c>
      <c r="AM613" s="12">
        <f t="shared" si="78"/>
        <v>0</v>
      </c>
      <c r="AN613" s="13">
        <f t="shared" si="79"/>
        <v>22152</v>
      </c>
    </row>
    <row r="614" spans="1:40" x14ac:dyDescent="0.25">
      <c r="A614">
        <v>609</v>
      </c>
      <c r="B614" t="s">
        <v>607</v>
      </c>
      <c r="D614" t="s">
        <v>16</v>
      </c>
      <c r="F614" s="514">
        <f>+'29'!F614+'30'!F614+'31'!F614</f>
        <v>0</v>
      </c>
      <c r="G614" s="12">
        <f>+'29'!G614+'30'!G614+'31'!G614</f>
        <v>0</v>
      </c>
      <c r="H614" s="12">
        <f>+'29'!H614+'30'!H614+'31'!H614</f>
        <v>0</v>
      </c>
      <c r="I614" s="271"/>
      <c r="J614" s="514">
        <f>+'29'!J614+'30'!J614+'31'!J614</f>
        <v>0</v>
      </c>
      <c r="K614" s="12">
        <f>+'29'!K614+'30'!K614+'31'!K614</f>
        <v>0</v>
      </c>
      <c r="L614" s="12">
        <f>+'29'!L614+'30'!L614+'31'!L614</f>
        <v>0</v>
      </c>
      <c r="M614" s="271"/>
      <c r="N614" s="514">
        <f>+'29'!N614+'30'!N614+'31'!N614</f>
        <v>0</v>
      </c>
      <c r="O614" s="12">
        <f>+'29'!O614+'30'!O614+'31'!O614</f>
        <v>0</v>
      </c>
      <c r="P614" s="12">
        <f>+'29'!P614+'30'!P614+'31'!P614</f>
        <v>0</v>
      </c>
      <c r="Q614" s="532"/>
      <c r="R614" s="270">
        <v>0</v>
      </c>
      <c r="S614" s="12">
        <v>0</v>
      </c>
      <c r="T614" s="12">
        <v>0</v>
      </c>
      <c r="U614" s="271"/>
      <c r="V614" s="533">
        <f t="shared" si="73"/>
        <v>0</v>
      </c>
      <c r="W614" s="533">
        <f t="shared" si="74"/>
        <v>0</v>
      </c>
      <c r="X614" s="257"/>
      <c r="Y614" s="261">
        <f t="shared" si="75"/>
        <v>0</v>
      </c>
      <c r="Z614" s="12">
        <f t="shared" si="76"/>
        <v>0</v>
      </c>
      <c r="AB614" s="13">
        <f t="shared" si="72"/>
        <v>0</v>
      </c>
      <c r="AF614" s="13">
        <f t="shared" si="77"/>
        <v>0</v>
      </c>
      <c r="AM614" s="12">
        <f t="shared" si="78"/>
        <v>0</v>
      </c>
      <c r="AN614" s="13">
        <f t="shared" si="79"/>
        <v>0</v>
      </c>
    </row>
    <row r="615" spans="1:40" x14ac:dyDescent="0.25">
      <c r="A615">
        <v>610</v>
      </c>
      <c r="B615" t="s">
        <v>608</v>
      </c>
      <c r="C615" t="s">
        <v>18</v>
      </c>
      <c r="D615" t="s">
        <v>16</v>
      </c>
      <c r="F615" s="514">
        <f>+'29'!F615+'30'!F615+'31'!F615</f>
        <v>5</v>
      </c>
      <c r="G615" s="12">
        <f>+'29'!G615+'30'!G615+'31'!G615</f>
        <v>33710</v>
      </c>
      <c r="H615" s="12">
        <f>+'29'!H615+'30'!H615+'31'!H615</f>
        <v>35</v>
      </c>
      <c r="I615" s="271"/>
      <c r="J615" s="514">
        <f>+'29'!J615+'30'!J615+'31'!J615</f>
        <v>0</v>
      </c>
      <c r="K615" s="12">
        <f>+'29'!K615+'30'!K615+'31'!K615</f>
        <v>0</v>
      </c>
      <c r="L615" s="12">
        <f>+'29'!L615+'30'!L615+'31'!L615</f>
        <v>0</v>
      </c>
      <c r="M615" s="271"/>
      <c r="N615" s="514">
        <f>+'29'!N615+'30'!N615+'31'!N615</f>
        <v>5</v>
      </c>
      <c r="O615" s="12">
        <f>+'29'!O615+'30'!O615+'31'!O615</f>
        <v>33710</v>
      </c>
      <c r="P615" s="12">
        <f>+'29'!P615+'30'!P615+'31'!P615</f>
        <v>35</v>
      </c>
      <c r="Q615" s="532"/>
      <c r="R615" s="270">
        <v>5</v>
      </c>
      <c r="S615" s="12">
        <v>33710</v>
      </c>
      <c r="T615" s="12">
        <v>0</v>
      </c>
      <c r="U615" s="271"/>
      <c r="V615" s="533">
        <f t="shared" si="73"/>
        <v>0</v>
      </c>
      <c r="W615" s="533">
        <f t="shared" si="74"/>
        <v>0</v>
      </c>
      <c r="X615" s="257"/>
      <c r="Y615" s="261">
        <f t="shared" si="75"/>
        <v>0</v>
      </c>
      <c r="Z615" s="12">
        <f t="shared" si="76"/>
        <v>0</v>
      </c>
      <c r="AB615" s="13">
        <f t="shared" si="72"/>
        <v>33710</v>
      </c>
      <c r="AF615" s="13">
        <f t="shared" si="77"/>
        <v>33710</v>
      </c>
      <c r="AK615" s="33"/>
      <c r="AL615" s="33">
        <v>1500</v>
      </c>
      <c r="AM615" s="12">
        <f t="shared" si="78"/>
        <v>1500</v>
      </c>
      <c r="AN615" s="13">
        <f t="shared" si="79"/>
        <v>32210</v>
      </c>
    </row>
    <row r="616" spans="1:40" x14ac:dyDescent="0.25">
      <c r="A616">
        <v>611</v>
      </c>
      <c r="B616" t="s">
        <v>609</v>
      </c>
      <c r="C616" t="s">
        <v>18</v>
      </c>
      <c r="D616" t="s">
        <v>16</v>
      </c>
      <c r="F616" s="514">
        <f>+'29'!F616+'30'!F616+'31'!F616</f>
        <v>0</v>
      </c>
      <c r="G616" s="12">
        <f>+'29'!G616+'30'!G616+'31'!G616</f>
        <v>0</v>
      </c>
      <c r="H616" s="12">
        <f>+'29'!H616+'30'!H616+'31'!H616</f>
        <v>0</v>
      </c>
      <c r="I616" s="271"/>
      <c r="J616" s="514">
        <f>+'29'!J616+'30'!J616+'31'!J616</f>
        <v>0</v>
      </c>
      <c r="K616" s="12">
        <f>+'29'!K616+'30'!K616+'31'!K616</f>
        <v>0</v>
      </c>
      <c r="L616" s="12">
        <f>+'29'!L616+'30'!L616+'31'!L616</f>
        <v>0</v>
      </c>
      <c r="M616" s="271"/>
      <c r="N616" s="514">
        <f>+'29'!N616+'30'!N616+'31'!N616</f>
        <v>0</v>
      </c>
      <c r="O616" s="12">
        <f>+'29'!O616+'30'!O616+'31'!O616</f>
        <v>0</v>
      </c>
      <c r="P616" s="12">
        <f>+'29'!P616+'30'!P616+'31'!P616</f>
        <v>0</v>
      </c>
      <c r="Q616" s="532"/>
      <c r="R616" s="270">
        <v>0</v>
      </c>
      <c r="S616" s="12">
        <v>0</v>
      </c>
      <c r="T616" s="12">
        <v>0</v>
      </c>
      <c r="U616" s="271"/>
      <c r="V616" s="533">
        <f t="shared" si="73"/>
        <v>0</v>
      </c>
      <c r="W616" s="533">
        <f t="shared" si="74"/>
        <v>0</v>
      </c>
      <c r="X616" s="257"/>
      <c r="Y616" s="261">
        <f t="shared" si="75"/>
        <v>0</v>
      </c>
      <c r="Z616" s="12">
        <f t="shared" si="76"/>
        <v>0</v>
      </c>
      <c r="AB616" s="13">
        <f t="shared" si="72"/>
        <v>0</v>
      </c>
      <c r="AF616" s="13">
        <f t="shared" si="77"/>
        <v>0</v>
      </c>
      <c r="AJ616" s="13"/>
      <c r="AM616" s="12">
        <f t="shared" si="78"/>
        <v>0</v>
      </c>
      <c r="AN616" s="13">
        <f t="shared" si="79"/>
        <v>0</v>
      </c>
    </row>
    <row r="617" spans="1:40" x14ac:dyDescent="0.25">
      <c r="A617">
        <v>612</v>
      </c>
      <c r="B617" t="s">
        <v>610</v>
      </c>
      <c r="C617" t="s">
        <v>18</v>
      </c>
      <c r="D617" t="s">
        <v>16</v>
      </c>
      <c r="F617" s="514">
        <f>+'29'!F617+'30'!F617+'31'!F617</f>
        <v>0</v>
      </c>
      <c r="G617" s="12">
        <f>+'29'!G617+'30'!G617+'31'!G617</f>
        <v>0</v>
      </c>
      <c r="H617" s="12">
        <f>+'29'!H617+'30'!H617+'31'!H617</f>
        <v>0</v>
      </c>
      <c r="I617" s="271"/>
      <c r="J617" s="514">
        <f>+'29'!J617+'30'!J617+'31'!J617</f>
        <v>0</v>
      </c>
      <c r="K617" s="12">
        <f>+'29'!K617+'30'!K617+'31'!K617</f>
        <v>0</v>
      </c>
      <c r="L617" s="12">
        <f>+'29'!L617+'30'!L617+'31'!L617</f>
        <v>0</v>
      </c>
      <c r="M617" s="271"/>
      <c r="N617" s="514">
        <f>+'29'!N617+'30'!N617+'31'!N617</f>
        <v>0</v>
      </c>
      <c r="O617" s="12">
        <f>+'29'!O617+'30'!O617+'31'!O617</f>
        <v>0</v>
      </c>
      <c r="P617" s="12">
        <f>+'29'!P617+'30'!P617+'31'!P617</f>
        <v>0</v>
      </c>
      <c r="Q617" s="532"/>
      <c r="R617" s="270">
        <v>0</v>
      </c>
      <c r="S617" s="12">
        <v>0</v>
      </c>
      <c r="T617" s="12">
        <v>0</v>
      </c>
      <c r="U617" s="271"/>
      <c r="V617" s="533">
        <f t="shared" si="73"/>
        <v>0</v>
      </c>
      <c r="W617" s="533">
        <f t="shared" si="74"/>
        <v>0</v>
      </c>
      <c r="X617" s="257"/>
      <c r="Y617" s="261">
        <f t="shared" si="75"/>
        <v>0</v>
      </c>
      <c r="Z617" s="12">
        <f t="shared" si="76"/>
        <v>0</v>
      </c>
      <c r="AB617" s="13">
        <f t="shared" si="72"/>
        <v>0</v>
      </c>
      <c r="AF617" s="13">
        <f t="shared" si="77"/>
        <v>0</v>
      </c>
      <c r="AM617" s="12">
        <f t="shared" si="78"/>
        <v>0</v>
      </c>
      <c r="AN617" s="13">
        <f t="shared" si="79"/>
        <v>0</v>
      </c>
    </row>
    <row r="618" spans="1:40" x14ac:dyDescent="0.25">
      <c r="A618">
        <v>613</v>
      </c>
      <c r="B618" t="s">
        <v>611</v>
      </c>
      <c r="C618" t="s">
        <v>18</v>
      </c>
      <c r="D618" t="s">
        <v>16</v>
      </c>
      <c r="F618" s="514">
        <f>+'29'!F618+'30'!F618+'31'!F618</f>
        <v>0</v>
      </c>
      <c r="G618" s="12">
        <f>+'29'!G618+'30'!G618+'31'!G618</f>
        <v>0</v>
      </c>
      <c r="H618" s="12">
        <f>+'29'!H618+'30'!H618+'31'!H618</f>
        <v>0</v>
      </c>
      <c r="I618" s="271"/>
      <c r="J618" s="514">
        <f>+'29'!J618+'30'!J618+'31'!J618</f>
        <v>0</v>
      </c>
      <c r="K618" s="12">
        <f>+'29'!K618+'30'!K618+'31'!K618</f>
        <v>0</v>
      </c>
      <c r="L618" s="12">
        <f>+'29'!L618+'30'!L618+'31'!L618</f>
        <v>0</v>
      </c>
      <c r="M618" s="271"/>
      <c r="N618" s="514">
        <f>+'29'!N618+'30'!N618+'31'!N618</f>
        <v>0</v>
      </c>
      <c r="O618" s="12">
        <f>+'29'!O618+'30'!O618+'31'!O618</f>
        <v>0</v>
      </c>
      <c r="P618" s="12">
        <f>+'29'!P618+'30'!P618+'31'!P618</f>
        <v>0</v>
      </c>
      <c r="Q618" s="532"/>
      <c r="R618" s="270">
        <v>0</v>
      </c>
      <c r="S618" s="12">
        <v>0</v>
      </c>
      <c r="T618" s="12">
        <v>0</v>
      </c>
      <c r="U618" s="271"/>
      <c r="V618" s="533">
        <f t="shared" si="73"/>
        <v>0</v>
      </c>
      <c r="W618" s="533">
        <f t="shared" si="74"/>
        <v>0</v>
      </c>
      <c r="X618" s="257"/>
      <c r="Y618" s="261">
        <f t="shared" si="75"/>
        <v>0</v>
      </c>
      <c r="Z618" s="12">
        <f t="shared" si="76"/>
        <v>0</v>
      </c>
      <c r="AB618" s="13">
        <f t="shared" si="72"/>
        <v>0</v>
      </c>
      <c r="AF618" s="13">
        <f t="shared" si="77"/>
        <v>0</v>
      </c>
      <c r="AJ618" s="13"/>
      <c r="AK618" s="33"/>
      <c r="AL618" s="33">
        <v>1500</v>
      </c>
      <c r="AM618" s="12">
        <f t="shared" si="78"/>
        <v>1500</v>
      </c>
      <c r="AN618" s="13">
        <f t="shared" si="79"/>
        <v>-1500</v>
      </c>
    </row>
    <row r="619" spans="1:40" x14ac:dyDescent="0.25">
      <c r="A619">
        <v>614</v>
      </c>
      <c r="B619" t="s">
        <v>612</v>
      </c>
      <c r="D619" t="s">
        <v>16</v>
      </c>
      <c r="F619" s="514">
        <f>+'29'!F619+'30'!F619+'31'!F619</f>
        <v>0</v>
      </c>
      <c r="G619" s="12">
        <f>+'29'!G619+'30'!G619+'31'!G619</f>
        <v>0</v>
      </c>
      <c r="H619" s="12">
        <f>+'29'!H619+'30'!H619+'31'!H619</f>
        <v>0</v>
      </c>
      <c r="I619" s="271"/>
      <c r="J619" s="514">
        <f>+'29'!J619+'30'!J619+'31'!J619</f>
        <v>0</v>
      </c>
      <c r="K619" s="12">
        <f>+'29'!K619+'30'!K619+'31'!K619</f>
        <v>0</v>
      </c>
      <c r="L619" s="12">
        <f>+'29'!L619+'30'!L619+'31'!L619</f>
        <v>0</v>
      </c>
      <c r="M619" s="271"/>
      <c r="N619" s="514">
        <f>+'29'!N619+'30'!N619+'31'!N619</f>
        <v>0</v>
      </c>
      <c r="O619" s="12">
        <f>+'29'!O619+'30'!O619+'31'!O619</f>
        <v>0</v>
      </c>
      <c r="P619" s="12">
        <f>+'29'!P619+'30'!P619+'31'!P619</f>
        <v>0</v>
      </c>
      <c r="Q619" s="532"/>
      <c r="R619" s="270">
        <v>0</v>
      </c>
      <c r="S619" s="12">
        <v>0</v>
      </c>
      <c r="T619" s="12">
        <v>0</v>
      </c>
      <c r="U619" s="271"/>
      <c r="V619" s="533">
        <f t="shared" si="73"/>
        <v>0</v>
      </c>
      <c r="W619" s="533">
        <f t="shared" si="74"/>
        <v>0</v>
      </c>
      <c r="X619" s="257"/>
      <c r="Y619" s="261">
        <f t="shared" si="75"/>
        <v>0</v>
      </c>
      <c r="Z619" s="12">
        <f t="shared" si="76"/>
        <v>0</v>
      </c>
      <c r="AB619" s="13">
        <f t="shared" si="72"/>
        <v>0</v>
      </c>
      <c r="AF619" s="13">
        <f t="shared" si="77"/>
        <v>0</v>
      </c>
      <c r="AM619" s="12">
        <f t="shared" si="78"/>
        <v>0</v>
      </c>
      <c r="AN619" s="13">
        <f t="shared" si="79"/>
        <v>0</v>
      </c>
    </row>
    <row r="620" spans="1:40" x14ac:dyDescent="0.25">
      <c r="A620">
        <v>615</v>
      </c>
      <c r="B620" t="s">
        <v>613</v>
      </c>
      <c r="C620" t="s">
        <v>15</v>
      </c>
      <c r="D620" t="s">
        <v>45</v>
      </c>
      <c r="F620" s="514">
        <f>+'29'!F620+'30'!F620+'31'!F620</f>
        <v>135</v>
      </c>
      <c r="G620" s="12">
        <f>+'29'!G620+'30'!G620+'31'!G620</f>
        <v>1081453.26</v>
      </c>
      <c r="H620" s="12">
        <f>+'29'!H620+'30'!H620+'31'!H620</f>
        <v>4050</v>
      </c>
      <c r="I620" s="271"/>
      <c r="J620" s="514">
        <f>+'29'!J620+'30'!J620+'31'!J620</f>
        <v>0</v>
      </c>
      <c r="K620" s="12">
        <f>+'29'!K620+'30'!K620+'31'!K620</f>
        <v>0</v>
      </c>
      <c r="L620" s="12">
        <f>+'29'!L620+'30'!L620+'31'!L620</f>
        <v>0</v>
      </c>
      <c r="M620" s="271"/>
      <c r="N620" s="514">
        <f>+'29'!N620+'30'!N620+'31'!N620</f>
        <v>135</v>
      </c>
      <c r="O620" s="12">
        <f>+'29'!O620+'30'!O620+'31'!O620</f>
        <v>1081453.26</v>
      </c>
      <c r="P620" s="12">
        <f>+'29'!P620+'30'!P620+'31'!P620</f>
        <v>4050</v>
      </c>
      <c r="Q620" s="532"/>
      <c r="R620" s="270">
        <v>135</v>
      </c>
      <c r="S620" s="12">
        <v>1081453.26</v>
      </c>
      <c r="T620" s="12">
        <v>0</v>
      </c>
      <c r="U620" s="271"/>
      <c r="V620" s="533">
        <f t="shared" si="73"/>
        <v>0</v>
      </c>
      <c r="W620" s="533">
        <f t="shared" si="74"/>
        <v>0</v>
      </c>
      <c r="X620" s="257"/>
      <c r="Y620" s="261">
        <f t="shared" si="75"/>
        <v>0</v>
      </c>
      <c r="Z620" s="12">
        <f t="shared" si="76"/>
        <v>0</v>
      </c>
      <c r="AB620" s="13">
        <f t="shared" si="72"/>
        <v>1081453.26</v>
      </c>
      <c r="AD620" s="16">
        <v>70596.429999999993</v>
      </c>
      <c r="AF620" s="13">
        <f t="shared" si="77"/>
        <v>1010856.8300000001</v>
      </c>
      <c r="AG620" s="16">
        <v>35091.964285714283</v>
      </c>
      <c r="AH620" s="33"/>
      <c r="AI620" s="33"/>
      <c r="AJ620" s="13"/>
      <c r="AM620" s="12">
        <f t="shared" si="78"/>
        <v>35091.964285714283</v>
      </c>
      <c r="AN620" s="13">
        <f t="shared" si="79"/>
        <v>975764.86571428576</v>
      </c>
    </row>
    <row r="621" spans="1:40" x14ac:dyDescent="0.25">
      <c r="A621">
        <v>616</v>
      </c>
      <c r="B621" t="s">
        <v>614</v>
      </c>
      <c r="C621" t="s">
        <v>15</v>
      </c>
      <c r="D621" t="s">
        <v>45</v>
      </c>
      <c r="F621" s="514">
        <f>+'29'!F621+'30'!F621+'31'!F621</f>
        <v>3</v>
      </c>
      <c r="G621" s="12">
        <f>+'29'!G621+'30'!G621+'31'!G621</f>
        <v>10090</v>
      </c>
      <c r="H621" s="12">
        <f>+'29'!H621+'30'!H621+'31'!H621</f>
        <v>45</v>
      </c>
      <c r="I621" s="271"/>
      <c r="J621" s="514">
        <f>+'29'!J621+'30'!J621+'31'!J621</f>
        <v>0</v>
      </c>
      <c r="K621" s="12">
        <f>+'29'!K621+'30'!K621+'31'!K621</f>
        <v>0</v>
      </c>
      <c r="L621" s="12">
        <f>+'29'!L621+'30'!L621+'31'!L621</f>
        <v>0</v>
      </c>
      <c r="M621" s="271"/>
      <c r="N621" s="514">
        <f>+'29'!N621+'30'!N621+'31'!N621</f>
        <v>3</v>
      </c>
      <c r="O621" s="12">
        <f>+'29'!O621+'30'!O621+'31'!O621</f>
        <v>10090</v>
      </c>
      <c r="P621" s="12">
        <f>+'29'!P621+'30'!P621+'31'!P621</f>
        <v>45</v>
      </c>
      <c r="Q621" s="532"/>
      <c r="R621" s="270">
        <v>3</v>
      </c>
      <c r="S621" s="12">
        <v>10090</v>
      </c>
      <c r="T621" s="12">
        <v>0</v>
      </c>
      <c r="U621" s="271"/>
      <c r="V621" s="533">
        <f t="shared" si="73"/>
        <v>0</v>
      </c>
      <c r="W621" s="533">
        <f t="shared" si="74"/>
        <v>0</v>
      </c>
      <c r="X621" s="257"/>
      <c r="Y621" s="261">
        <f t="shared" si="75"/>
        <v>0</v>
      </c>
      <c r="Z621" s="12">
        <f t="shared" si="76"/>
        <v>0</v>
      </c>
      <c r="AB621" s="13">
        <f t="shared" si="72"/>
        <v>10090</v>
      </c>
      <c r="AD621" s="16">
        <v>486.16</v>
      </c>
      <c r="AF621" s="13">
        <f t="shared" si="77"/>
        <v>9603.84</v>
      </c>
      <c r="AG621" s="16">
        <v>279.91071428571428</v>
      </c>
      <c r="AH621" s="33"/>
      <c r="AI621" s="33"/>
      <c r="AJ621" s="13"/>
      <c r="AM621" s="12">
        <f t="shared" si="78"/>
        <v>279.91071428571428</v>
      </c>
      <c r="AN621" s="13">
        <f t="shared" si="79"/>
        <v>9323.9292857142864</v>
      </c>
    </row>
    <row r="622" spans="1:40" x14ac:dyDescent="0.25">
      <c r="A622">
        <v>617</v>
      </c>
      <c r="B622" t="s">
        <v>615</v>
      </c>
      <c r="C622" t="s">
        <v>18</v>
      </c>
      <c r="D622" t="s">
        <v>16</v>
      </c>
      <c r="F622" s="514">
        <f>+'29'!F622+'30'!F622+'31'!F622</f>
        <v>24</v>
      </c>
      <c r="G622" s="12">
        <f>+'29'!G622+'30'!G622+'31'!G622</f>
        <v>158440</v>
      </c>
      <c r="H622" s="12">
        <f>+'29'!H622+'30'!H622+'31'!H622</f>
        <v>240</v>
      </c>
      <c r="I622" s="271"/>
      <c r="J622" s="514">
        <f>+'29'!J622+'30'!J622+'31'!J622</f>
        <v>0</v>
      </c>
      <c r="K622" s="12">
        <f>+'29'!K622+'30'!K622+'31'!K622</f>
        <v>0</v>
      </c>
      <c r="L622" s="12">
        <f>+'29'!L622+'30'!L622+'31'!L622</f>
        <v>0</v>
      </c>
      <c r="M622" s="271"/>
      <c r="N622" s="514">
        <f>+'29'!N622+'30'!N622+'31'!N622</f>
        <v>24</v>
      </c>
      <c r="O622" s="12">
        <f>+'29'!O622+'30'!O622+'31'!O622</f>
        <v>158440</v>
      </c>
      <c r="P622" s="12">
        <f>+'29'!P622+'30'!P622+'31'!P622</f>
        <v>240</v>
      </c>
      <c r="Q622" s="532"/>
      <c r="R622" s="270">
        <v>24</v>
      </c>
      <c r="S622" s="12">
        <v>158440</v>
      </c>
      <c r="T622" s="12">
        <v>0</v>
      </c>
      <c r="U622" s="271"/>
      <c r="V622" s="533">
        <f t="shared" si="73"/>
        <v>0</v>
      </c>
      <c r="W622" s="533">
        <f t="shared" si="74"/>
        <v>0</v>
      </c>
      <c r="X622" s="257"/>
      <c r="Y622" s="261">
        <f t="shared" si="75"/>
        <v>0</v>
      </c>
      <c r="Z622" s="12">
        <f t="shared" si="76"/>
        <v>0</v>
      </c>
      <c r="AB622" s="13">
        <f t="shared" si="72"/>
        <v>158440</v>
      </c>
      <c r="AF622" s="13">
        <f t="shared" si="77"/>
        <v>158440</v>
      </c>
      <c r="AM622" s="12">
        <f t="shared" si="78"/>
        <v>0</v>
      </c>
      <c r="AN622" s="13">
        <f t="shared" si="79"/>
        <v>158440</v>
      </c>
    </row>
    <row r="623" spans="1:40" x14ac:dyDescent="0.25">
      <c r="A623">
        <v>618</v>
      </c>
      <c r="B623" t="s">
        <v>616</v>
      </c>
      <c r="C623" t="s">
        <v>18</v>
      </c>
      <c r="D623" t="s">
        <v>16</v>
      </c>
      <c r="F623" s="514">
        <f>+'29'!F623+'30'!F623+'31'!F623</f>
        <v>0</v>
      </c>
      <c r="G623" s="12">
        <f>+'29'!G623+'30'!G623+'31'!G623</f>
        <v>0</v>
      </c>
      <c r="H623" s="12">
        <f>+'29'!H623+'30'!H623+'31'!H623</f>
        <v>0</v>
      </c>
      <c r="I623" s="271"/>
      <c r="J623" s="514">
        <f>+'29'!J623+'30'!J623+'31'!J623</f>
        <v>0</v>
      </c>
      <c r="K623" s="12">
        <f>+'29'!K623+'30'!K623+'31'!K623</f>
        <v>0</v>
      </c>
      <c r="L623" s="12">
        <f>+'29'!L623+'30'!L623+'31'!L623</f>
        <v>0</v>
      </c>
      <c r="M623" s="271"/>
      <c r="N623" s="514">
        <f>+'29'!N623+'30'!N623+'31'!N623</f>
        <v>0</v>
      </c>
      <c r="O623" s="12">
        <f>+'29'!O623+'30'!O623+'31'!O623</f>
        <v>0</v>
      </c>
      <c r="P623" s="12">
        <f>+'29'!P623+'30'!P623+'31'!P623</f>
        <v>0</v>
      </c>
      <c r="Q623" s="532"/>
      <c r="R623" s="270">
        <v>0</v>
      </c>
      <c r="S623" s="12">
        <v>0</v>
      </c>
      <c r="T623" s="12">
        <v>0</v>
      </c>
      <c r="U623" s="271"/>
      <c r="V623" s="533">
        <f t="shared" si="73"/>
        <v>0</v>
      </c>
      <c r="W623" s="533">
        <f t="shared" si="74"/>
        <v>0</v>
      </c>
      <c r="X623" s="257"/>
      <c r="Y623" s="261">
        <f t="shared" si="75"/>
        <v>0</v>
      </c>
      <c r="Z623" s="12">
        <f t="shared" si="76"/>
        <v>0</v>
      </c>
      <c r="AB623" s="13">
        <f t="shared" si="72"/>
        <v>0</v>
      </c>
      <c r="AD623" s="16"/>
      <c r="AF623" s="13">
        <f t="shared" si="77"/>
        <v>0</v>
      </c>
      <c r="AG623" s="16"/>
      <c r="AI623" s="33"/>
      <c r="AM623" s="12">
        <f t="shared" si="78"/>
        <v>0</v>
      </c>
      <c r="AN623" s="13">
        <f t="shared" si="79"/>
        <v>0</v>
      </c>
    </row>
    <row r="624" spans="1:40" x14ac:dyDescent="0.25">
      <c r="A624">
        <v>619</v>
      </c>
      <c r="B624" t="s">
        <v>617</v>
      </c>
      <c r="C624" t="s">
        <v>92</v>
      </c>
      <c r="D624" t="s">
        <v>16</v>
      </c>
      <c r="F624" s="514">
        <f>+'29'!F624+'30'!F624+'31'!F624</f>
        <v>0</v>
      </c>
      <c r="G624" s="12">
        <f>+'29'!G624+'30'!G624+'31'!G624</f>
        <v>0</v>
      </c>
      <c r="H624" s="12">
        <f>+'29'!H624+'30'!H624+'31'!H624</f>
        <v>0</v>
      </c>
      <c r="I624" s="271"/>
      <c r="J624" s="514">
        <f>+'29'!J624+'30'!J624+'31'!J624</f>
        <v>0</v>
      </c>
      <c r="K624" s="12">
        <f>+'29'!K624+'30'!K624+'31'!K624</f>
        <v>0</v>
      </c>
      <c r="L624" s="12">
        <f>+'29'!L624+'30'!L624+'31'!L624</f>
        <v>0</v>
      </c>
      <c r="M624" s="271"/>
      <c r="N624" s="514">
        <f>+'29'!N624+'30'!N624+'31'!N624</f>
        <v>0</v>
      </c>
      <c r="O624" s="12">
        <f>+'29'!O624+'30'!O624+'31'!O624</f>
        <v>0</v>
      </c>
      <c r="P624" s="12">
        <f>+'29'!P624+'30'!P624+'31'!P624</f>
        <v>0</v>
      </c>
      <c r="Q624" s="532"/>
      <c r="R624" s="270">
        <v>0</v>
      </c>
      <c r="S624" s="12">
        <v>0</v>
      </c>
      <c r="T624" s="12">
        <v>0</v>
      </c>
      <c r="U624" s="271"/>
      <c r="V624" s="533">
        <f t="shared" si="73"/>
        <v>0</v>
      </c>
      <c r="W624" s="533">
        <f t="shared" si="74"/>
        <v>0</v>
      </c>
      <c r="X624" s="257"/>
      <c r="Y624" s="261">
        <f t="shared" si="75"/>
        <v>0</v>
      </c>
      <c r="Z624" s="12">
        <f t="shared" si="76"/>
        <v>0</v>
      </c>
      <c r="AB624" s="13">
        <f t="shared" si="72"/>
        <v>0</v>
      </c>
      <c r="AF624" s="13">
        <f t="shared" si="77"/>
        <v>0</v>
      </c>
      <c r="AI624" s="33">
        <v>2000</v>
      </c>
      <c r="AM624" s="12">
        <f t="shared" si="78"/>
        <v>2000</v>
      </c>
      <c r="AN624" s="13">
        <f t="shared" si="79"/>
        <v>-2000</v>
      </c>
    </row>
    <row r="625" spans="1:40" x14ac:dyDescent="0.25">
      <c r="A625">
        <v>620</v>
      </c>
      <c r="B625" t="s">
        <v>618</v>
      </c>
      <c r="C625" t="s">
        <v>18</v>
      </c>
      <c r="D625" t="s">
        <v>16</v>
      </c>
      <c r="F625" s="514">
        <f>+'29'!F625+'30'!F625+'31'!F625</f>
        <v>18</v>
      </c>
      <c r="G625" s="12">
        <f>+'29'!G625+'30'!G625+'31'!G625</f>
        <v>290210</v>
      </c>
      <c r="H625" s="12">
        <f>+'29'!H625+'30'!H625+'31'!H625</f>
        <v>450</v>
      </c>
      <c r="I625" s="271"/>
      <c r="J625" s="514">
        <f>+'29'!J625+'30'!J625+'31'!J625</f>
        <v>0</v>
      </c>
      <c r="K625" s="12">
        <f>+'29'!K625+'30'!K625+'31'!K625</f>
        <v>0</v>
      </c>
      <c r="L625" s="12">
        <f>+'29'!L625+'30'!L625+'31'!L625</f>
        <v>0</v>
      </c>
      <c r="M625" s="271"/>
      <c r="N625" s="514">
        <f>+'29'!N625+'30'!N625+'31'!N625</f>
        <v>18</v>
      </c>
      <c r="O625" s="12">
        <f>+'29'!O625+'30'!O625+'31'!O625</f>
        <v>290210</v>
      </c>
      <c r="P625" s="12">
        <f>+'29'!P625+'30'!P625+'31'!P625</f>
        <v>450</v>
      </c>
      <c r="Q625" s="532"/>
      <c r="R625" s="270">
        <v>18</v>
      </c>
      <c r="S625" s="12">
        <v>290210</v>
      </c>
      <c r="T625" s="12">
        <v>0</v>
      </c>
      <c r="U625" s="271"/>
      <c r="V625" s="533">
        <f t="shared" si="73"/>
        <v>0</v>
      </c>
      <c r="W625" s="533">
        <f t="shared" si="74"/>
        <v>0</v>
      </c>
      <c r="X625" s="257"/>
      <c r="Y625" s="261">
        <f t="shared" si="75"/>
        <v>0</v>
      </c>
      <c r="Z625" s="12">
        <f t="shared" si="76"/>
        <v>0</v>
      </c>
      <c r="AB625" s="13">
        <f t="shared" si="72"/>
        <v>290210</v>
      </c>
      <c r="AF625" s="13">
        <f t="shared" si="77"/>
        <v>290210</v>
      </c>
      <c r="AM625" s="12">
        <f t="shared" si="78"/>
        <v>0</v>
      </c>
      <c r="AN625" s="13">
        <f t="shared" si="79"/>
        <v>290210</v>
      </c>
    </row>
    <row r="626" spans="1:40" x14ac:dyDescent="0.25">
      <c r="A626">
        <v>621</v>
      </c>
      <c r="B626" t="s">
        <v>619</v>
      </c>
      <c r="C626" t="s">
        <v>25</v>
      </c>
      <c r="D626" t="s">
        <v>16</v>
      </c>
      <c r="F626" s="514">
        <f>+'29'!F626+'30'!F626+'31'!F626</f>
        <v>8</v>
      </c>
      <c r="G626" s="12">
        <f>+'29'!G626+'30'!G626+'31'!G626</f>
        <v>92748</v>
      </c>
      <c r="H626" s="12">
        <f>+'29'!H626+'30'!H626+'31'!H626</f>
        <v>200</v>
      </c>
      <c r="I626" s="271"/>
      <c r="J626" s="514">
        <f>+'29'!J626+'30'!J626+'31'!J626</f>
        <v>0</v>
      </c>
      <c r="K626" s="12">
        <f>+'29'!K626+'30'!K626+'31'!K626</f>
        <v>0</v>
      </c>
      <c r="L626" s="12">
        <f>+'29'!L626+'30'!L626+'31'!L626</f>
        <v>0</v>
      </c>
      <c r="M626" s="271"/>
      <c r="N626" s="514">
        <f>+'29'!N626+'30'!N626+'31'!N626</f>
        <v>8</v>
      </c>
      <c r="O626" s="12">
        <f>+'29'!O626+'30'!O626+'31'!O626</f>
        <v>92748</v>
      </c>
      <c r="P626" s="12">
        <f>+'29'!P626+'30'!P626+'31'!P626</f>
        <v>200</v>
      </c>
      <c r="Q626" s="532"/>
      <c r="R626" s="270">
        <v>8</v>
      </c>
      <c r="S626" s="12">
        <v>92748</v>
      </c>
      <c r="T626" s="12">
        <v>0</v>
      </c>
      <c r="U626" s="271"/>
      <c r="V626" s="533">
        <f t="shared" si="73"/>
        <v>0</v>
      </c>
      <c r="W626" s="533">
        <f t="shared" si="74"/>
        <v>0</v>
      </c>
      <c r="X626" s="257"/>
      <c r="Y626" s="261">
        <f t="shared" si="75"/>
        <v>0</v>
      </c>
      <c r="Z626" s="12">
        <f t="shared" si="76"/>
        <v>0</v>
      </c>
      <c r="AB626" s="13">
        <f t="shared" si="72"/>
        <v>92748</v>
      </c>
      <c r="AF626" s="13">
        <f t="shared" si="77"/>
        <v>92748</v>
      </c>
      <c r="AM626" s="12">
        <f t="shared" si="78"/>
        <v>0</v>
      </c>
      <c r="AN626" s="13">
        <f t="shared" si="79"/>
        <v>92748</v>
      </c>
    </row>
    <row r="627" spans="1:40" x14ac:dyDescent="0.25">
      <c r="A627">
        <v>622</v>
      </c>
      <c r="B627" t="s">
        <v>620</v>
      </c>
      <c r="C627" t="s">
        <v>25</v>
      </c>
      <c r="D627" t="s">
        <v>16</v>
      </c>
      <c r="F627" s="514">
        <f>+'29'!F627+'30'!F627+'31'!F627</f>
        <v>0</v>
      </c>
      <c r="G627" s="12">
        <f>+'29'!G627+'30'!G627+'31'!G627</f>
        <v>0</v>
      </c>
      <c r="H627" s="12">
        <f>+'29'!H627+'30'!H627+'31'!H627</f>
        <v>0</v>
      </c>
      <c r="I627" s="271"/>
      <c r="J627" s="514">
        <f>+'29'!J627+'30'!J627+'31'!J627</f>
        <v>0</v>
      </c>
      <c r="K627" s="12">
        <f>+'29'!K627+'30'!K627+'31'!K627</f>
        <v>0</v>
      </c>
      <c r="L627" s="12">
        <f>+'29'!L627+'30'!L627+'31'!L627</f>
        <v>0</v>
      </c>
      <c r="M627" s="271"/>
      <c r="N627" s="514">
        <f>+'29'!N627+'30'!N627+'31'!N627</f>
        <v>0</v>
      </c>
      <c r="O627" s="12">
        <f>+'29'!O627+'30'!O627+'31'!O627</f>
        <v>0</v>
      </c>
      <c r="P627" s="12">
        <f>+'29'!P627+'30'!P627+'31'!P627</f>
        <v>0</v>
      </c>
      <c r="Q627" s="532"/>
      <c r="R627" s="270">
        <v>0</v>
      </c>
      <c r="S627" s="12">
        <v>0</v>
      </c>
      <c r="T627" s="12">
        <v>0</v>
      </c>
      <c r="U627" s="271"/>
      <c r="V627" s="533">
        <f t="shared" si="73"/>
        <v>0</v>
      </c>
      <c r="W627" s="533">
        <f t="shared" si="74"/>
        <v>0</v>
      </c>
      <c r="X627" s="257"/>
      <c r="Y627" s="261">
        <f t="shared" si="75"/>
        <v>0</v>
      </c>
      <c r="Z627" s="12">
        <f t="shared" si="76"/>
        <v>0</v>
      </c>
      <c r="AB627" s="13">
        <f t="shared" si="72"/>
        <v>0</v>
      </c>
      <c r="AF627" s="13">
        <f t="shared" si="77"/>
        <v>0</v>
      </c>
      <c r="AM627" s="12">
        <f t="shared" si="78"/>
        <v>0</v>
      </c>
      <c r="AN627" s="13">
        <f t="shared" si="79"/>
        <v>0</v>
      </c>
    </row>
    <row r="628" spans="1:40" x14ac:dyDescent="0.25">
      <c r="A628">
        <v>623</v>
      </c>
      <c r="B628" t="s">
        <v>621</v>
      </c>
      <c r="C628" t="s">
        <v>15</v>
      </c>
      <c r="D628" t="s">
        <v>16</v>
      </c>
      <c r="F628" s="514">
        <f>+'29'!F628+'30'!F628+'31'!F628</f>
        <v>2</v>
      </c>
      <c r="G628" s="12">
        <f>+'29'!G628+'30'!G628+'31'!G628</f>
        <v>27500</v>
      </c>
      <c r="H628" s="12">
        <f>+'29'!H628+'30'!H628+'31'!H628</f>
        <v>50</v>
      </c>
      <c r="I628" s="271"/>
      <c r="J628" s="514">
        <f>+'29'!J628+'30'!J628+'31'!J628</f>
        <v>0</v>
      </c>
      <c r="K628" s="12">
        <f>+'29'!K628+'30'!K628+'31'!K628</f>
        <v>0</v>
      </c>
      <c r="L628" s="12">
        <f>+'29'!L628+'30'!L628+'31'!L628</f>
        <v>0</v>
      </c>
      <c r="M628" s="271"/>
      <c r="N628" s="514">
        <f>+'29'!N628+'30'!N628+'31'!N628</f>
        <v>2</v>
      </c>
      <c r="O628" s="12">
        <f>+'29'!O628+'30'!O628+'31'!O628</f>
        <v>27500</v>
      </c>
      <c r="P628" s="12">
        <f>+'29'!P628+'30'!P628+'31'!P628</f>
        <v>50</v>
      </c>
      <c r="Q628" s="532"/>
      <c r="R628" s="270">
        <v>2</v>
      </c>
      <c r="S628" s="12">
        <v>27500</v>
      </c>
      <c r="T628" s="12">
        <v>0</v>
      </c>
      <c r="U628" s="271"/>
      <c r="V628" s="533">
        <f t="shared" si="73"/>
        <v>0</v>
      </c>
      <c r="W628" s="533">
        <f t="shared" si="74"/>
        <v>0</v>
      </c>
      <c r="X628" s="257"/>
      <c r="Y628" s="261">
        <f t="shared" si="75"/>
        <v>0</v>
      </c>
      <c r="Z628" s="12">
        <f t="shared" si="76"/>
        <v>0</v>
      </c>
      <c r="AB628" s="13">
        <f t="shared" si="72"/>
        <v>27500</v>
      </c>
      <c r="AF628" s="13">
        <f t="shared" si="77"/>
        <v>27500</v>
      </c>
      <c r="AM628" s="12">
        <f t="shared" si="78"/>
        <v>0</v>
      </c>
      <c r="AN628" s="13">
        <f t="shared" si="79"/>
        <v>27500</v>
      </c>
    </row>
    <row r="629" spans="1:40" x14ac:dyDescent="0.25">
      <c r="A629">
        <v>624</v>
      </c>
      <c r="B629" t="s">
        <v>622</v>
      </c>
      <c r="C629" t="s">
        <v>15</v>
      </c>
      <c r="D629" t="s">
        <v>16</v>
      </c>
      <c r="F629" s="514">
        <f>+'29'!F629+'30'!F629+'31'!F629</f>
        <v>0</v>
      </c>
      <c r="G629" s="12">
        <f>+'29'!G629+'30'!G629+'31'!G629</f>
        <v>0</v>
      </c>
      <c r="H629" s="12">
        <f>+'29'!H629+'30'!H629+'31'!H629</f>
        <v>0</v>
      </c>
      <c r="I629" s="271"/>
      <c r="J629" s="514">
        <f>+'29'!J629+'30'!J629+'31'!J629</f>
        <v>0</v>
      </c>
      <c r="K629" s="12">
        <f>+'29'!K629+'30'!K629+'31'!K629</f>
        <v>0</v>
      </c>
      <c r="L629" s="12">
        <f>+'29'!L629+'30'!L629+'31'!L629</f>
        <v>0</v>
      </c>
      <c r="M629" s="271"/>
      <c r="N629" s="514">
        <f>+'29'!N629+'30'!N629+'31'!N629</f>
        <v>0</v>
      </c>
      <c r="O629" s="12">
        <f>+'29'!O629+'30'!O629+'31'!O629</f>
        <v>0</v>
      </c>
      <c r="P629" s="12">
        <f>+'29'!P629+'30'!P629+'31'!P629</f>
        <v>0</v>
      </c>
      <c r="Q629" s="532"/>
      <c r="R629" s="270">
        <v>0</v>
      </c>
      <c r="S629" s="12">
        <v>0</v>
      </c>
      <c r="T629" s="12">
        <v>0</v>
      </c>
      <c r="U629" s="271"/>
      <c r="V629" s="533">
        <f t="shared" si="73"/>
        <v>0</v>
      </c>
      <c r="W629" s="533">
        <f t="shared" si="74"/>
        <v>0</v>
      </c>
      <c r="X629" s="257"/>
      <c r="Y629" s="261">
        <f t="shared" si="75"/>
        <v>0</v>
      </c>
      <c r="Z629" s="12">
        <f t="shared" si="76"/>
        <v>0</v>
      </c>
      <c r="AB629" s="13">
        <f t="shared" si="72"/>
        <v>0</v>
      </c>
      <c r="AF629" s="13">
        <f t="shared" si="77"/>
        <v>0</v>
      </c>
      <c r="AM629" s="12">
        <f t="shared" si="78"/>
        <v>0</v>
      </c>
      <c r="AN629" s="13">
        <f t="shared" si="79"/>
        <v>0</v>
      </c>
    </row>
    <row r="630" spans="1:40" x14ac:dyDescent="0.25">
      <c r="A630">
        <v>625</v>
      </c>
      <c r="B630" t="s">
        <v>623</v>
      </c>
      <c r="C630" t="s">
        <v>15</v>
      </c>
      <c r="D630" t="s">
        <v>16</v>
      </c>
      <c r="F630" s="514">
        <f>+'29'!F630+'30'!F630+'31'!F630</f>
        <v>2</v>
      </c>
      <c r="G630" s="12">
        <f>+'29'!G630+'30'!G630+'31'!G630</f>
        <v>9236</v>
      </c>
      <c r="H630" s="12">
        <f>+'29'!H630+'30'!H630+'31'!H630</f>
        <v>50</v>
      </c>
      <c r="I630" s="271"/>
      <c r="J630" s="514">
        <f>+'29'!J630+'30'!J630+'31'!J630</f>
        <v>0</v>
      </c>
      <c r="K630" s="12">
        <f>+'29'!K630+'30'!K630+'31'!K630</f>
        <v>0</v>
      </c>
      <c r="L630" s="12">
        <f>+'29'!L630+'30'!L630+'31'!L630</f>
        <v>0</v>
      </c>
      <c r="M630" s="271"/>
      <c r="N630" s="514">
        <f>+'29'!N630+'30'!N630+'31'!N630</f>
        <v>2</v>
      </c>
      <c r="O630" s="12">
        <f>+'29'!O630+'30'!O630+'31'!O630</f>
        <v>9236</v>
      </c>
      <c r="P630" s="12">
        <f>+'29'!P630+'30'!P630+'31'!P630</f>
        <v>50</v>
      </c>
      <c r="Q630" s="532"/>
      <c r="R630" s="270">
        <v>2</v>
      </c>
      <c r="S630" s="12">
        <v>9236</v>
      </c>
      <c r="T630" s="12">
        <v>0</v>
      </c>
      <c r="U630" s="271"/>
      <c r="V630" s="533">
        <f t="shared" si="73"/>
        <v>0</v>
      </c>
      <c r="W630" s="533">
        <f t="shared" si="74"/>
        <v>0</v>
      </c>
      <c r="X630" s="257"/>
      <c r="Y630" s="261">
        <f t="shared" si="75"/>
        <v>0</v>
      </c>
      <c r="Z630" s="12">
        <f t="shared" si="76"/>
        <v>0</v>
      </c>
      <c r="AB630" s="13">
        <f t="shared" si="72"/>
        <v>9236</v>
      </c>
      <c r="AF630" s="13">
        <f t="shared" si="77"/>
        <v>9236</v>
      </c>
      <c r="AM630" s="12">
        <f t="shared" si="78"/>
        <v>0</v>
      </c>
      <c r="AN630" s="13">
        <f t="shared" si="79"/>
        <v>9236</v>
      </c>
    </row>
    <row r="631" spans="1:40" x14ac:dyDescent="0.25">
      <c r="A631">
        <v>626</v>
      </c>
      <c r="B631" t="s">
        <v>624</v>
      </c>
      <c r="C631" t="s">
        <v>18</v>
      </c>
      <c r="D631" t="s">
        <v>16</v>
      </c>
      <c r="F631" s="514">
        <f>+'29'!F631+'30'!F631+'31'!F631</f>
        <v>10</v>
      </c>
      <c r="G631" s="12">
        <f>+'29'!G631+'30'!G631+'31'!G631</f>
        <v>92767</v>
      </c>
      <c r="H631" s="12">
        <f>+'29'!H631+'30'!H631+'31'!H631</f>
        <v>250</v>
      </c>
      <c r="I631" s="271"/>
      <c r="J631" s="514">
        <f>+'29'!J631+'30'!J631+'31'!J631</f>
        <v>0</v>
      </c>
      <c r="K631" s="12">
        <f>+'29'!K631+'30'!K631+'31'!K631</f>
        <v>0</v>
      </c>
      <c r="L631" s="12">
        <f>+'29'!L631+'30'!L631+'31'!L631</f>
        <v>0</v>
      </c>
      <c r="M631" s="271"/>
      <c r="N631" s="514">
        <f>+'29'!N631+'30'!N631+'31'!N631</f>
        <v>10</v>
      </c>
      <c r="O631" s="12">
        <f>+'29'!O631+'30'!O631+'31'!O631</f>
        <v>92767</v>
      </c>
      <c r="P631" s="12">
        <f>+'29'!P631+'30'!P631+'31'!P631</f>
        <v>250</v>
      </c>
      <c r="Q631" s="532"/>
      <c r="R631" s="270">
        <v>10</v>
      </c>
      <c r="S631" s="12">
        <v>92767</v>
      </c>
      <c r="T631" s="12">
        <v>0</v>
      </c>
      <c r="U631" s="271"/>
      <c r="V631" s="533">
        <f t="shared" si="73"/>
        <v>0</v>
      </c>
      <c r="W631" s="533">
        <f t="shared" si="74"/>
        <v>0</v>
      </c>
      <c r="X631" s="257"/>
      <c r="Y631" s="261">
        <f t="shared" si="75"/>
        <v>0</v>
      </c>
      <c r="Z631" s="12">
        <f t="shared" si="76"/>
        <v>0</v>
      </c>
      <c r="AB631" s="13">
        <f t="shared" si="72"/>
        <v>92767</v>
      </c>
      <c r="AF631" s="13">
        <f t="shared" si="77"/>
        <v>92767</v>
      </c>
      <c r="AM631" s="12">
        <f t="shared" si="78"/>
        <v>0</v>
      </c>
      <c r="AN631" s="13">
        <f t="shared" si="79"/>
        <v>92767</v>
      </c>
    </row>
    <row r="632" spans="1:40" x14ac:dyDescent="0.25">
      <c r="A632">
        <v>627</v>
      </c>
      <c r="B632" t="s">
        <v>625</v>
      </c>
      <c r="C632" t="s">
        <v>525</v>
      </c>
      <c r="D632" t="s">
        <v>16</v>
      </c>
      <c r="F632" s="514">
        <f>+'29'!F632+'30'!F632+'31'!F632</f>
        <v>15</v>
      </c>
      <c r="G632" s="12">
        <f>+'29'!G632+'30'!G632+'31'!G632</f>
        <v>185465</v>
      </c>
      <c r="H632" s="12">
        <f>+'29'!H632+'30'!H632+'31'!H632</f>
        <v>450</v>
      </c>
      <c r="I632" s="271"/>
      <c r="J632" s="514">
        <f>+'29'!J632+'30'!J632+'31'!J632</f>
        <v>0</v>
      </c>
      <c r="K632" s="12">
        <f>+'29'!K632+'30'!K632+'31'!K632</f>
        <v>0</v>
      </c>
      <c r="L632" s="12">
        <f>+'29'!L632+'30'!L632+'31'!L632</f>
        <v>0</v>
      </c>
      <c r="M632" s="271"/>
      <c r="N632" s="514">
        <f>+'29'!N632+'30'!N632+'31'!N632</f>
        <v>15</v>
      </c>
      <c r="O632" s="12">
        <f>+'29'!O632+'30'!O632+'31'!O632</f>
        <v>185465</v>
      </c>
      <c r="P632" s="12">
        <f>+'29'!P632+'30'!P632+'31'!P632</f>
        <v>450</v>
      </c>
      <c r="Q632" s="532"/>
      <c r="R632" s="270">
        <v>15</v>
      </c>
      <c r="S632" s="12">
        <v>185465</v>
      </c>
      <c r="T632" s="12">
        <v>0</v>
      </c>
      <c r="U632" s="271"/>
      <c r="V632" s="533">
        <f t="shared" si="73"/>
        <v>0</v>
      </c>
      <c r="W632" s="533">
        <f t="shared" si="74"/>
        <v>0</v>
      </c>
      <c r="X632" s="257"/>
      <c r="Y632" s="261">
        <f t="shared" si="75"/>
        <v>0</v>
      </c>
      <c r="Z632" s="12">
        <f t="shared" si="76"/>
        <v>0</v>
      </c>
      <c r="AB632" s="13">
        <f t="shared" si="72"/>
        <v>185465</v>
      </c>
      <c r="AF632" s="13">
        <f t="shared" si="77"/>
        <v>185465</v>
      </c>
      <c r="AM632" s="12">
        <f t="shared" si="78"/>
        <v>0</v>
      </c>
      <c r="AN632" s="13">
        <f t="shared" si="79"/>
        <v>185465</v>
      </c>
    </row>
    <row r="633" spans="1:40" x14ac:dyDescent="0.25">
      <c r="A633">
        <v>628</v>
      </c>
      <c r="B633" t="s">
        <v>626</v>
      </c>
      <c r="C633" t="s">
        <v>25</v>
      </c>
      <c r="D633" t="s">
        <v>20</v>
      </c>
      <c r="F633" s="514">
        <f>+'29'!F633+'30'!F633+'31'!F633</f>
        <v>1</v>
      </c>
      <c r="G633" s="12">
        <f>+'29'!G633+'30'!G633+'31'!G633</f>
        <v>12000</v>
      </c>
      <c r="H633" s="12">
        <f>+'29'!H633+'30'!H633+'31'!H633</f>
        <v>30</v>
      </c>
      <c r="I633" s="271"/>
      <c r="J633" s="514">
        <f>+'29'!J633+'30'!J633+'31'!J633</f>
        <v>0</v>
      </c>
      <c r="K633" s="12">
        <f>+'29'!K633+'30'!K633+'31'!K633</f>
        <v>0</v>
      </c>
      <c r="L633" s="12">
        <f>+'29'!L633+'30'!L633+'31'!L633</f>
        <v>0</v>
      </c>
      <c r="M633" s="271"/>
      <c r="N633" s="514">
        <f>+'29'!N633+'30'!N633+'31'!N633</f>
        <v>1</v>
      </c>
      <c r="O633" s="12">
        <f>+'29'!O633+'30'!O633+'31'!O633</f>
        <v>12000</v>
      </c>
      <c r="P633" s="12">
        <f>+'29'!P633+'30'!P633+'31'!P633</f>
        <v>30</v>
      </c>
      <c r="Q633" s="532"/>
      <c r="R633" s="270">
        <v>1</v>
      </c>
      <c r="S633" s="12">
        <v>11970</v>
      </c>
      <c r="T633" s="12">
        <v>30</v>
      </c>
      <c r="U633" s="271"/>
      <c r="V633" s="533">
        <f t="shared" si="73"/>
        <v>0</v>
      </c>
      <c r="W633" s="533">
        <f t="shared" si="74"/>
        <v>30</v>
      </c>
      <c r="X633" s="257"/>
      <c r="Y633" s="261">
        <f t="shared" si="75"/>
        <v>0</v>
      </c>
      <c r="Z633" s="12">
        <f t="shared" si="76"/>
        <v>30</v>
      </c>
      <c r="AB633" s="13">
        <f t="shared" si="72"/>
        <v>12000</v>
      </c>
      <c r="AF633" s="13">
        <f t="shared" si="77"/>
        <v>12000</v>
      </c>
      <c r="AM633" s="12">
        <f t="shared" si="78"/>
        <v>0</v>
      </c>
      <c r="AN633" s="13">
        <f t="shared" si="79"/>
        <v>12000</v>
      </c>
    </row>
    <row r="634" spans="1:40" x14ac:dyDescent="0.25">
      <c r="A634">
        <v>629</v>
      </c>
      <c r="B634" t="s">
        <v>627</v>
      </c>
      <c r="C634" t="s">
        <v>24</v>
      </c>
      <c r="D634" t="s">
        <v>16</v>
      </c>
      <c r="F634" s="514">
        <f>+'29'!F634+'30'!F634+'31'!F634</f>
        <v>16</v>
      </c>
      <c r="G634" s="12">
        <f>+'29'!G634+'30'!G634+'31'!G634</f>
        <v>51845.24</v>
      </c>
      <c r="H634" s="12">
        <f>+'29'!H634+'30'!H634+'31'!H634</f>
        <v>240</v>
      </c>
      <c r="I634" s="271"/>
      <c r="J634" s="514">
        <f>+'29'!J634+'30'!J634+'31'!J634</f>
        <v>0</v>
      </c>
      <c r="K634" s="12">
        <f>+'29'!K634+'30'!K634+'31'!K634</f>
        <v>0</v>
      </c>
      <c r="L634" s="12">
        <f>+'29'!L634+'30'!L634+'31'!L634</f>
        <v>0</v>
      </c>
      <c r="M634" s="271"/>
      <c r="N634" s="514">
        <f>+'29'!N634+'30'!N634+'31'!N634</f>
        <v>16</v>
      </c>
      <c r="O634" s="12">
        <f>+'29'!O634+'30'!O634+'31'!O634</f>
        <v>51845.24</v>
      </c>
      <c r="P634" s="12">
        <f>+'29'!P634+'30'!P634+'31'!P634</f>
        <v>240</v>
      </c>
      <c r="Q634" s="532"/>
      <c r="R634" s="270">
        <v>16</v>
      </c>
      <c r="S634" s="12">
        <v>51845.24</v>
      </c>
      <c r="T634" s="12">
        <v>0</v>
      </c>
      <c r="U634" s="271"/>
      <c r="V634" s="533">
        <f t="shared" si="73"/>
        <v>0</v>
      </c>
      <c r="W634" s="533">
        <f t="shared" si="74"/>
        <v>0</v>
      </c>
      <c r="X634" s="257"/>
      <c r="Y634" s="261">
        <f t="shared" si="75"/>
        <v>0</v>
      </c>
      <c r="Z634" s="12">
        <f t="shared" si="76"/>
        <v>0</v>
      </c>
      <c r="AB634" s="13">
        <f t="shared" si="72"/>
        <v>51845.24</v>
      </c>
      <c r="AF634" s="13">
        <f t="shared" si="77"/>
        <v>51845.24</v>
      </c>
      <c r="AM634" s="12">
        <f t="shared" si="78"/>
        <v>0</v>
      </c>
      <c r="AN634" s="13">
        <f t="shared" si="79"/>
        <v>51845.24</v>
      </c>
    </row>
    <row r="635" spans="1:40" x14ac:dyDescent="0.25">
      <c r="A635">
        <v>630</v>
      </c>
      <c r="B635" t="s">
        <v>628</v>
      </c>
      <c r="C635" t="s">
        <v>25</v>
      </c>
      <c r="D635" t="s">
        <v>16</v>
      </c>
      <c r="F635" s="514">
        <f>+'29'!F635+'30'!F635+'31'!F635</f>
        <v>224</v>
      </c>
      <c r="G635" s="12">
        <f>+'29'!G635+'30'!G635+'31'!G635</f>
        <v>2405667.85</v>
      </c>
      <c r="H635" s="12">
        <f>+'29'!H635+'30'!H635+'31'!H635</f>
        <v>2240</v>
      </c>
      <c r="I635" s="271"/>
      <c r="J635" s="514">
        <f>+'29'!J635+'30'!J635+'31'!J635</f>
        <v>0</v>
      </c>
      <c r="K635" s="12">
        <f>+'29'!K635+'30'!K635+'31'!K635</f>
        <v>0</v>
      </c>
      <c r="L635" s="12">
        <f>+'29'!L635+'30'!L635+'31'!L635</f>
        <v>0</v>
      </c>
      <c r="M635" s="271"/>
      <c r="N635" s="514">
        <f>+'29'!N635+'30'!N635+'31'!N635</f>
        <v>224</v>
      </c>
      <c r="O635" s="12">
        <f>+'29'!O635+'30'!O635+'31'!O635</f>
        <v>2405667.85</v>
      </c>
      <c r="P635" s="12">
        <f>+'29'!P635+'30'!P635+'31'!P635</f>
        <v>2240</v>
      </c>
      <c r="Q635" s="532"/>
      <c r="R635" s="270">
        <v>224</v>
      </c>
      <c r="S635" s="12">
        <v>2405667.85</v>
      </c>
      <c r="T635" s="12">
        <v>0</v>
      </c>
      <c r="U635" s="271"/>
      <c r="V635" s="533">
        <f t="shared" si="73"/>
        <v>0</v>
      </c>
      <c r="W635" s="533">
        <f t="shared" si="74"/>
        <v>0</v>
      </c>
      <c r="X635" s="257"/>
      <c r="Y635" s="261">
        <f t="shared" si="75"/>
        <v>0</v>
      </c>
      <c r="Z635" s="12">
        <f t="shared" si="76"/>
        <v>0</v>
      </c>
      <c r="AB635" s="13">
        <f t="shared" si="72"/>
        <v>2405667.85</v>
      </c>
      <c r="AF635" s="13">
        <f t="shared" si="77"/>
        <v>2405667.85</v>
      </c>
      <c r="AM635" s="12">
        <f t="shared" si="78"/>
        <v>0</v>
      </c>
      <c r="AN635" s="13">
        <f t="shared" si="79"/>
        <v>2405667.85</v>
      </c>
    </row>
    <row r="636" spans="1:40" x14ac:dyDescent="0.25">
      <c r="A636">
        <v>631</v>
      </c>
      <c r="B636" t="s">
        <v>629</v>
      </c>
      <c r="D636" t="s">
        <v>16</v>
      </c>
      <c r="F636" s="514">
        <f>+'29'!F636+'30'!F636+'31'!F636</f>
        <v>0</v>
      </c>
      <c r="G636" s="12">
        <f>+'29'!G636+'30'!G636+'31'!G636</f>
        <v>0</v>
      </c>
      <c r="H636" s="12">
        <f>+'29'!H636+'30'!H636+'31'!H636</f>
        <v>0</v>
      </c>
      <c r="I636" s="271"/>
      <c r="J636" s="514">
        <f>+'29'!J636+'30'!J636+'31'!J636</f>
        <v>0</v>
      </c>
      <c r="K636" s="12">
        <f>+'29'!K636+'30'!K636+'31'!K636</f>
        <v>0</v>
      </c>
      <c r="L636" s="12">
        <f>+'29'!L636+'30'!L636+'31'!L636</f>
        <v>0</v>
      </c>
      <c r="M636" s="271"/>
      <c r="N636" s="514">
        <f>+'29'!N636+'30'!N636+'31'!N636</f>
        <v>0</v>
      </c>
      <c r="O636" s="12">
        <f>+'29'!O636+'30'!O636+'31'!O636</f>
        <v>0</v>
      </c>
      <c r="P636" s="12">
        <f>+'29'!P636+'30'!P636+'31'!P636</f>
        <v>0</v>
      </c>
      <c r="Q636" s="532"/>
      <c r="R636" s="270">
        <v>0</v>
      </c>
      <c r="S636" s="12">
        <v>0</v>
      </c>
      <c r="T636" s="12">
        <v>0</v>
      </c>
      <c r="U636" s="271"/>
      <c r="V636" s="533">
        <f t="shared" si="73"/>
        <v>0</v>
      </c>
      <c r="W636" s="533">
        <f t="shared" si="74"/>
        <v>0</v>
      </c>
      <c r="X636" s="257"/>
      <c r="Y636" s="261">
        <f t="shared" si="75"/>
        <v>0</v>
      </c>
      <c r="Z636" s="12">
        <f t="shared" si="76"/>
        <v>0</v>
      </c>
      <c r="AB636" s="13">
        <f t="shared" si="72"/>
        <v>0</v>
      </c>
      <c r="AF636" s="13">
        <f t="shared" si="77"/>
        <v>0</v>
      </c>
      <c r="AM636" s="12">
        <f t="shared" si="78"/>
        <v>0</v>
      </c>
      <c r="AN636" s="13">
        <f t="shared" si="79"/>
        <v>0</v>
      </c>
    </row>
    <row r="637" spans="1:40" x14ac:dyDescent="0.25">
      <c r="A637">
        <v>632</v>
      </c>
      <c r="B637" t="s">
        <v>630</v>
      </c>
      <c r="C637" t="s">
        <v>25</v>
      </c>
      <c r="D637" t="s">
        <v>16</v>
      </c>
      <c r="F637" s="514">
        <f>+'29'!F637+'30'!F637+'31'!F637</f>
        <v>0</v>
      </c>
      <c r="G637" s="12">
        <f>+'29'!G637+'30'!G637+'31'!G637</f>
        <v>0</v>
      </c>
      <c r="H637" s="12">
        <f>+'29'!H637+'30'!H637+'31'!H637</f>
        <v>0</v>
      </c>
      <c r="I637" s="271"/>
      <c r="J637" s="514">
        <f>+'29'!J637+'30'!J637+'31'!J637</f>
        <v>0</v>
      </c>
      <c r="K637" s="12">
        <f>+'29'!K637+'30'!K637+'31'!K637</f>
        <v>0</v>
      </c>
      <c r="L637" s="12">
        <f>+'29'!L637+'30'!L637+'31'!L637</f>
        <v>0</v>
      </c>
      <c r="M637" s="271"/>
      <c r="N637" s="514">
        <f>+'29'!N637+'30'!N637+'31'!N637</f>
        <v>0</v>
      </c>
      <c r="O637" s="12">
        <f>+'29'!O637+'30'!O637+'31'!O637</f>
        <v>0</v>
      </c>
      <c r="P637" s="12">
        <f>+'29'!P637+'30'!P637+'31'!P637</f>
        <v>0</v>
      </c>
      <c r="Q637" s="532"/>
      <c r="R637" s="270">
        <v>0</v>
      </c>
      <c r="S637" s="12">
        <v>0</v>
      </c>
      <c r="T637" s="12">
        <v>0</v>
      </c>
      <c r="U637" s="271"/>
      <c r="V637" s="533">
        <f t="shared" si="73"/>
        <v>0</v>
      </c>
      <c r="W637" s="533">
        <f t="shared" si="74"/>
        <v>0</v>
      </c>
      <c r="X637" s="257"/>
      <c r="Y637" s="261">
        <f t="shared" si="75"/>
        <v>0</v>
      </c>
      <c r="Z637" s="12">
        <f t="shared" si="76"/>
        <v>0</v>
      </c>
      <c r="AB637" s="13">
        <f t="shared" si="72"/>
        <v>0</v>
      </c>
      <c r="AF637" s="13">
        <f t="shared" si="77"/>
        <v>0</v>
      </c>
      <c r="AM637" s="12">
        <f t="shared" si="78"/>
        <v>0</v>
      </c>
      <c r="AN637" s="13">
        <f t="shared" si="79"/>
        <v>0</v>
      </c>
    </row>
    <row r="638" spans="1:40" x14ac:dyDescent="0.25">
      <c r="A638">
        <v>633</v>
      </c>
      <c r="B638" t="s">
        <v>636</v>
      </c>
      <c r="F638" s="514">
        <f>+'29'!F638+'30'!F638+'31'!F638</f>
        <v>0</v>
      </c>
      <c r="G638" s="12">
        <f>+'29'!G638+'30'!G638+'31'!G638</f>
        <v>0</v>
      </c>
      <c r="H638" s="12">
        <f>+'29'!H638+'30'!H638+'31'!H638</f>
        <v>0</v>
      </c>
      <c r="I638" s="271"/>
      <c r="J638" s="514">
        <f>+'29'!J638+'30'!J638+'31'!J638</f>
        <v>0</v>
      </c>
      <c r="K638" s="12">
        <f>+'29'!K638+'30'!K638+'31'!K638</f>
        <v>0</v>
      </c>
      <c r="L638" s="12">
        <f>+'29'!L638+'30'!L638+'31'!L638</f>
        <v>0</v>
      </c>
      <c r="M638" s="271"/>
      <c r="N638" s="514">
        <f>+'29'!N638+'30'!N638+'31'!N638</f>
        <v>0</v>
      </c>
      <c r="O638" s="12">
        <f>+'29'!O638+'30'!O638+'31'!O638</f>
        <v>0</v>
      </c>
      <c r="P638" s="12">
        <f>+'29'!P638+'30'!P638+'31'!P638</f>
        <v>0</v>
      </c>
      <c r="Q638" s="532"/>
      <c r="R638" s="270">
        <v>0</v>
      </c>
      <c r="S638" s="12">
        <v>0</v>
      </c>
      <c r="T638" s="12">
        <v>0</v>
      </c>
      <c r="U638" s="271"/>
      <c r="V638" s="533">
        <f t="shared" si="73"/>
        <v>0</v>
      </c>
      <c r="W638" s="533">
        <f t="shared" si="74"/>
        <v>0</v>
      </c>
      <c r="X638" s="257"/>
      <c r="Y638" s="261">
        <f t="shared" si="75"/>
        <v>0</v>
      </c>
      <c r="Z638" s="12">
        <f t="shared" si="76"/>
        <v>0</v>
      </c>
      <c r="AB638" s="13">
        <f t="shared" si="72"/>
        <v>0</v>
      </c>
      <c r="AF638" s="13">
        <f t="shared" si="77"/>
        <v>0</v>
      </c>
      <c r="AM638" s="12">
        <f t="shared" si="78"/>
        <v>0</v>
      </c>
      <c r="AN638" s="13">
        <f t="shared" si="79"/>
        <v>0</v>
      </c>
    </row>
    <row r="639" spans="1:40" x14ac:dyDescent="0.25">
      <c r="A639">
        <v>634</v>
      </c>
      <c r="B639" t="s">
        <v>631</v>
      </c>
      <c r="C639" t="s">
        <v>18</v>
      </c>
      <c r="D639" t="s">
        <v>16</v>
      </c>
      <c r="F639" s="514">
        <f>+'29'!F639+'30'!F639+'31'!F639</f>
        <v>0</v>
      </c>
      <c r="G639" s="12">
        <f>+'29'!G639+'30'!G639+'31'!G639</f>
        <v>0</v>
      </c>
      <c r="H639" s="12">
        <f>+'29'!H639+'30'!H639+'31'!H639</f>
        <v>0</v>
      </c>
      <c r="I639" s="271"/>
      <c r="J639" s="514">
        <f>+'29'!J639+'30'!J639+'31'!J639</f>
        <v>0</v>
      </c>
      <c r="K639" s="12">
        <f>+'29'!K639+'30'!K639+'31'!K639</f>
        <v>0</v>
      </c>
      <c r="L639" s="12">
        <f>+'29'!L639+'30'!L639+'31'!L639</f>
        <v>0</v>
      </c>
      <c r="M639" s="271"/>
      <c r="N639" s="514">
        <f>+'29'!N639+'30'!N639+'31'!N639</f>
        <v>0</v>
      </c>
      <c r="O639" s="12">
        <f>+'29'!O639+'30'!O639+'31'!O639</f>
        <v>0</v>
      </c>
      <c r="P639" s="12">
        <f>+'29'!P639+'30'!P639+'31'!P639</f>
        <v>0</v>
      </c>
      <c r="Q639" s="532"/>
      <c r="R639" s="270">
        <v>0</v>
      </c>
      <c r="S639" s="12">
        <v>0</v>
      </c>
      <c r="T639" s="12">
        <v>0</v>
      </c>
      <c r="U639" s="271"/>
      <c r="V639" s="533">
        <f t="shared" si="73"/>
        <v>0</v>
      </c>
      <c r="W639" s="533">
        <f t="shared" si="74"/>
        <v>0</v>
      </c>
      <c r="X639" s="257"/>
      <c r="Y639" s="261">
        <f t="shared" si="75"/>
        <v>0</v>
      </c>
      <c r="Z639" s="12">
        <f t="shared" si="76"/>
        <v>0</v>
      </c>
      <c r="AB639" s="13">
        <f t="shared" si="72"/>
        <v>0</v>
      </c>
      <c r="AF639" s="13">
        <f t="shared" si="77"/>
        <v>0</v>
      </c>
      <c r="AM639" s="12">
        <f t="shared" si="78"/>
        <v>0</v>
      </c>
      <c r="AN639" s="13">
        <f t="shared" si="79"/>
        <v>0</v>
      </c>
    </row>
    <row r="640" spans="1:40" x14ac:dyDescent="0.25">
      <c r="A640">
        <v>635</v>
      </c>
      <c r="B640" t="s">
        <v>642</v>
      </c>
      <c r="C640" t="s">
        <v>15</v>
      </c>
      <c r="D640" t="s">
        <v>16</v>
      </c>
      <c r="F640" s="514">
        <f>+'29'!F640+'30'!F640+'31'!F640</f>
        <v>0</v>
      </c>
      <c r="G640" s="12">
        <f>+'29'!G640+'30'!G640+'31'!G640</f>
        <v>0</v>
      </c>
      <c r="H640" s="12">
        <f>+'29'!H640+'30'!H640+'31'!H640</f>
        <v>0</v>
      </c>
      <c r="I640" s="271"/>
      <c r="J640" s="514">
        <f>+'29'!J640+'30'!J640+'31'!J640</f>
        <v>0</v>
      </c>
      <c r="K640" s="12">
        <f>+'29'!K640+'30'!K640+'31'!K640</f>
        <v>0</v>
      </c>
      <c r="L640" s="12">
        <f>+'29'!L640+'30'!L640+'31'!L640</f>
        <v>0</v>
      </c>
      <c r="M640" s="271"/>
      <c r="N640" s="514">
        <f>+'29'!N640+'30'!N640+'31'!N640</f>
        <v>0</v>
      </c>
      <c r="O640" s="12">
        <f>+'29'!O640+'30'!O640+'31'!O640</f>
        <v>0</v>
      </c>
      <c r="P640" s="12">
        <f>+'29'!P640+'30'!P640+'31'!P640</f>
        <v>0</v>
      </c>
      <c r="Q640" s="532"/>
      <c r="R640" s="270">
        <v>0</v>
      </c>
      <c r="S640" s="12">
        <v>0</v>
      </c>
      <c r="T640" s="12">
        <v>0</v>
      </c>
      <c r="U640" s="271"/>
      <c r="V640" s="533">
        <f t="shared" si="73"/>
        <v>0</v>
      </c>
      <c r="W640" s="533">
        <f t="shared" si="74"/>
        <v>0</v>
      </c>
      <c r="X640" s="257"/>
      <c r="Y640" s="261">
        <f t="shared" si="75"/>
        <v>0</v>
      </c>
      <c r="Z640" s="12">
        <f t="shared" si="76"/>
        <v>0</v>
      </c>
      <c r="AB640" s="13">
        <f t="shared" si="72"/>
        <v>0</v>
      </c>
      <c r="AF640" s="13">
        <f t="shared" si="77"/>
        <v>0</v>
      </c>
      <c r="AM640" s="12">
        <f t="shared" si="78"/>
        <v>0</v>
      </c>
      <c r="AN640" s="13">
        <f t="shared" si="79"/>
        <v>0</v>
      </c>
    </row>
    <row r="641" spans="1:40" x14ac:dyDescent="0.25">
      <c r="A641">
        <v>636</v>
      </c>
      <c r="B641" t="s">
        <v>632</v>
      </c>
      <c r="C641" t="s">
        <v>15</v>
      </c>
      <c r="D641" t="s">
        <v>16</v>
      </c>
      <c r="F641" s="514">
        <f>+'29'!F641+'30'!F641+'31'!F641</f>
        <v>0</v>
      </c>
      <c r="G641" s="12">
        <f>+'29'!G641+'30'!G641+'31'!G641</f>
        <v>0</v>
      </c>
      <c r="H641" s="12">
        <f>+'29'!H641+'30'!H641+'31'!H641</f>
        <v>0</v>
      </c>
      <c r="I641" s="271"/>
      <c r="J641" s="514">
        <f>+'29'!J641+'30'!J641+'31'!J641</f>
        <v>0</v>
      </c>
      <c r="K641" s="12">
        <f>+'29'!K641+'30'!K641+'31'!K641</f>
        <v>0</v>
      </c>
      <c r="L641" s="12">
        <f>+'29'!L641+'30'!L641+'31'!L641</f>
        <v>0</v>
      </c>
      <c r="M641" s="271"/>
      <c r="N641" s="514">
        <f>+'29'!N641+'30'!N641+'31'!N641</f>
        <v>0</v>
      </c>
      <c r="O641" s="12">
        <f>+'29'!O641+'30'!O641+'31'!O641</f>
        <v>0</v>
      </c>
      <c r="P641" s="12">
        <f>+'29'!P641+'30'!P641+'31'!P641</f>
        <v>0</v>
      </c>
      <c r="Q641" s="532"/>
      <c r="R641" s="270">
        <v>0</v>
      </c>
      <c r="S641" s="12">
        <v>0</v>
      </c>
      <c r="T641" s="12">
        <v>0</v>
      </c>
      <c r="U641" s="271"/>
      <c r="V641" s="533">
        <f t="shared" si="73"/>
        <v>0</v>
      </c>
      <c r="W641" s="533">
        <f t="shared" si="74"/>
        <v>0</v>
      </c>
      <c r="X641" s="257"/>
      <c r="Y641" s="261">
        <f t="shared" si="75"/>
        <v>0</v>
      </c>
      <c r="Z641" s="12">
        <f t="shared" si="76"/>
        <v>0</v>
      </c>
      <c r="AB641" s="13">
        <f t="shared" si="72"/>
        <v>0</v>
      </c>
      <c r="AF641" s="13">
        <f t="shared" si="77"/>
        <v>0</v>
      </c>
      <c r="AM641" s="12">
        <f t="shared" si="78"/>
        <v>0</v>
      </c>
      <c r="AN641" s="13">
        <f t="shared" si="79"/>
        <v>0</v>
      </c>
    </row>
    <row r="642" spans="1:40" x14ac:dyDescent="0.25">
      <c r="A642">
        <v>637</v>
      </c>
      <c r="B642" t="s">
        <v>633</v>
      </c>
      <c r="C642" t="s">
        <v>15</v>
      </c>
      <c r="D642" t="s">
        <v>16</v>
      </c>
      <c r="F642" s="514">
        <f>+'29'!F642+'30'!F642+'31'!F642</f>
        <v>6</v>
      </c>
      <c r="G642" s="12">
        <f>+'29'!G642+'30'!G642+'31'!G642</f>
        <v>238000</v>
      </c>
      <c r="H642" s="12">
        <f>+'29'!H642+'30'!H642+'31'!H642</f>
        <v>300</v>
      </c>
      <c r="I642" s="271"/>
      <c r="J642" s="514">
        <f>+'29'!J642+'30'!J642+'31'!J642</f>
        <v>0</v>
      </c>
      <c r="K642" s="12">
        <f>+'29'!K642+'30'!K642+'31'!K642</f>
        <v>0</v>
      </c>
      <c r="L642" s="12">
        <f>+'29'!L642+'30'!L642+'31'!L642</f>
        <v>0</v>
      </c>
      <c r="M642" s="271"/>
      <c r="N642" s="514">
        <f>+'29'!N642+'30'!N642+'31'!N642</f>
        <v>6</v>
      </c>
      <c r="O642" s="12">
        <f>+'29'!O642+'30'!O642+'31'!O642</f>
        <v>238000</v>
      </c>
      <c r="P642" s="12">
        <f>+'29'!P642+'30'!P642+'31'!P642</f>
        <v>300</v>
      </c>
      <c r="Q642" s="532"/>
      <c r="R642" s="270">
        <v>6</v>
      </c>
      <c r="S642" s="12">
        <v>238000</v>
      </c>
      <c r="T642" s="12">
        <v>0</v>
      </c>
      <c r="U642" s="271"/>
      <c r="V642" s="533">
        <f t="shared" si="73"/>
        <v>0</v>
      </c>
      <c r="W642" s="533">
        <f t="shared" si="74"/>
        <v>0</v>
      </c>
      <c r="X642" s="257"/>
      <c r="Y642" s="261">
        <f t="shared" si="75"/>
        <v>0</v>
      </c>
      <c r="Z642" s="12">
        <f t="shared" si="76"/>
        <v>0</v>
      </c>
      <c r="AB642" s="13">
        <f t="shared" si="72"/>
        <v>238000</v>
      </c>
      <c r="AF642" s="13">
        <f t="shared" si="77"/>
        <v>238000</v>
      </c>
      <c r="AM642" s="12">
        <f t="shared" si="78"/>
        <v>0</v>
      </c>
      <c r="AN642" s="13">
        <f t="shared" si="79"/>
        <v>238000</v>
      </c>
    </row>
    <row r="643" spans="1:40" x14ac:dyDescent="0.25">
      <c r="A643">
        <v>638</v>
      </c>
      <c r="B643" t="s">
        <v>634</v>
      </c>
      <c r="C643" t="s">
        <v>39</v>
      </c>
      <c r="D643" t="s">
        <v>16</v>
      </c>
      <c r="F643" s="514">
        <f>+'29'!F643+'30'!F643+'31'!F643</f>
        <v>5</v>
      </c>
      <c r="G643" s="12">
        <f>+'29'!G643+'30'!G643+'31'!G643</f>
        <v>2553.27</v>
      </c>
      <c r="H643" s="12">
        <f>+'29'!H643+'30'!H643+'31'!H643</f>
        <v>50</v>
      </c>
      <c r="I643" s="271"/>
      <c r="J643" s="514">
        <f>+'29'!J643+'30'!J643+'31'!J643</f>
        <v>0</v>
      </c>
      <c r="K643" s="12">
        <f>+'29'!K643+'30'!K643+'31'!K643</f>
        <v>0</v>
      </c>
      <c r="L643" s="12">
        <f>+'29'!L643+'30'!L643+'31'!L643</f>
        <v>0</v>
      </c>
      <c r="M643" s="271"/>
      <c r="N643" s="514">
        <f>+'29'!N643+'30'!N643+'31'!N643</f>
        <v>5</v>
      </c>
      <c r="O643" s="12">
        <f>+'29'!O643+'30'!O643+'31'!O643</f>
        <v>2553.27</v>
      </c>
      <c r="P643" s="12">
        <f>+'29'!P643+'30'!P643+'31'!P643</f>
        <v>50</v>
      </c>
      <c r="Q643" s="532"/>
      <c r="R643" s="270">
        <v>5</v>
      </c>
      <c r="S643" s="12">
        <v>2553.27</v>
      </c>
      <c r="T643" s="12">
        <v>0</v>
      </c>
      <c r="U643" s="271"/>
      <c r="V643" s="533">
        <f t="shared" si="73"/>
        <v>0</v>
      </c>
      <c r="W643" s="533">
        <f t="shared" si="74"/>
        <v>0</v>
      </c>
      <c r="X643" s="257"/>
      <c r="Y643" s="261">
        <f t="shared" si="75"/>
        <v>0</v>
      </c>
      <c r="Z643" s="12">
        <f t="shared" si="76"/>
        <v>0</v>
      </c>
      <c r="AB643" s="13">
        <f t="shared" si="72"/>
        <v>2553.27</v>
      </c>
      <c r="AF643" s="13">
        <f t="shared" si="77"/>
        <v>2553.27</v>
      </c>
      <c r="AM643" s="12">
        <f t="shared" si="78"/>
        <v>0</v>
      </c>
      <c r="AN643" s="13">
        <f t="shared" si="79"/>
        <v>2553.27</v>
      </c>
    </row>
    <row r="644" spans="1:40" x14ac:dyDescent="0.25">
      <c r="A644">
        <v>639</v>
      </c>
      <c r="B644" t="s">
        <v>635</v>
      </c>
      <c r="D644" t="s">
        <v>20</v>
      </c>
      <c r="F644" s="514">
        <f>+'29'!F644+'30'!F644+'31'!F644</f>
        <v>11</v>
      </c>
      <c r="G644" s="12">
        <f>+'29'!G644+'30'!G644+'31'!G644</f>
        <v>403557</v>
      </c>
      <c r="H644" s="12">
        <f>+'29'!H644+'30'!H644+'31'!H644</f>
        <v>475</v>
      </c>
      <c r="I644" s="271"/>
      <c r="J644" s="514">
        <f>+'29'!J644+'30'!J644+'31'!J644</f>
        <v>0</v>
      </c>
      <c r="K644" s="12">
        <f>+'29'!K644+'30'!K644+'31'!K644</f>
        <v>0</v>
      </c>
      <c r="L644" s="12">
        <f>+'29'!L644+'30'!L644+'31'!L644</f>
        <v>0</v>
      </c>
      <c r="M644" s="271"/>
      <c r="N644" s="514">
        <f>+'29'!N644+'30'!N644+'31'!N644</f>
        <v>11</v>
      </c>
      <c r="O644" s="12">
        <f>+'29'!O644+'30'!O644+'31'!O644</f>
        <v>403557</v>
      </c>
      <c r="P644" s="12">
        <f>+'29'!P644+'30'!P644+'31'!P644</f>
        <v>475</v>
      </c>
      <c r="Q644" s="532"/>
      <c r="R644" s="270">
        <v>11</v>
      </c>
      <c r="S644" s="12">
        <v>403082</v>
      </c>
      <c r="T644" s="12">
        <v>475</v>
      </c>
      <c r="U644" s="271"/>
      <c r="V644" s="533">
        <f t="shared" si="73"/>
        <v>0</v>
      </c>
      <c r="W644" s="533">
        <f t="shared" si="74"/>
        <v>475</v>
      </c>
      <c r="X644" s="257"/>
      <c r="Y644" s="261">
        <f t="shared" si="75"/>
        <v>0</v>
      </c>
      <c r="Z644" s="12">
        <f t="shared" si="76"/>
        <v>475</v>
      </c>
      <c r="AB644" s="13">
        <f t="shared" si="72"/>
        <v>403557</v>
      </c>
      <c r="AF644" s="13">
        <f t="shared" si="77"/>
        <v>403557</v>
      </c>
      <c r="AM644" s="12">
        <f t="shared" si="78"/>
        <v>0</v>
      </c>
      <c r="AN644" s="13">
        <f t="shared" si="79"/>
        <v>403557</v>
      </c>
    </row>
    <row r="645" spans="1:40" x14ac:dyDescent="0.25">
      <c r="A645">
        <v>640</v>
      </c>
      <c r="B645" t="s">
        <v>637</v>
      </c>
      <c r="C645" t="s">
        <v>25</v>
      </c>
      <c r="D645" t="s">
        <v>369</v>
      </c>
      <c r="F645" s="514">
        <f>+'29'!F645+'30'!F645+'31'!F645</f>
        <v>5814</v>
      </c>
      <c r="G645" s="12">
        <f>+'29'!G645+'30'!G645+'31'!G645</f>
        <v>16057972.359999999</v>
      </c>
      <c r="H645" s="12">
        <f>+'29'!H645+'30'!H645+'31'!H645</f>
        <v>52326</v>
      </c>
      <c r="I645" s="271"/>
      <c r="J645" s="514">
        <f>+'29'!J645+'30'!J645+'31'!J645</f>
        <v>0</v>
      </c>
      <c r="K645" s="12">
        <f>+'29'!K645+'30'!K645+'31'!K645</f>
        <v>0</v>
      </c>
      <c r="L645" s="12">
        <f>+'29'!L645+'30'!L645+'31'!L645</f>
        <v>0</v>
      </c>
      <c r="M645" s="271"/>
      <c r="N645" s="514">
        <f>+'29'!N645+'30'!N645+'31'!N645</f>
        <v>5814</v>
      </c>
      <c r="O645" s="12">
        <f>+'29'!O645+'30'!O645+'31'!O645</f>
        <v>16057972.359999999</v>
      </c>
      <c r="P645" s="12">
        <f>+'29'!P645+'30'!P645+'31'!P645</f>
        <v>52326</v>
      </c>
      <c r="Q645" s="532"/>
      <c r="R645" s="270">
        <v>5814</v>
      </c>
      <c r="S645" s="12">
        <v>16057972.359999999</v>
      </c>
      <c r="T645" s="12">
        <v>0</v>
      </c>
      <c r="U645" s="271"/>
      <c r="V645" s="533">
        <f t="shared" si="73"/>
        <v>0</v>
      </c>
      <c r="W645" s="533">
        <f t="shared" si="74"/>
        <v>0</v>
      </c>
      <c r="X645" s="257"/>
      <c r="Y645" s="261">
        <f t="shared" si="75"/>
        <v>0</v>
      </c>
      <c r="Z645" s="12">
        <f t="shared" si="76"/>
        <v>0</v>
      </c>
      <c r="AB645" s="13">
        <f t="shared" si="72"/>
        <v>16057972.359999999</v>
      </c>
      <c r="AF645" s="13">
        <f t="shared" si="77"/>
        <v>16057972.359999999</v>
      </c>
      <c r="AG645" s="16">
        <v>925664.73214285728</v>
      </c>
      <c r="AM645" s="12">
        <f t="shared" si="78"/>
        <v>925664.73214285728</v>
      </c>
      <c r="AN645" s="13">
        <f t="shared" si="79"/>
        <v>15132307.627857141</v>
      </c>
    </row>
    <row r="646" spans="1:40" x14ac:dyDescent="0.25">
      <c r="A646">
        <v>641</v>
      </c>
      <c r="B646" t="s">
        <v>2431</v>
      </c>
      <c r="C646" t="s">
        <v>41</v>
      </c>
      <c r="D646" t="s">
        <v>20</v>
      </c>
      <c r="F646" s="514">
        <f>+'29'!F646+'30'!F646+'31'!F646</f>
        <v>45</v>
      </c>
      <c r="G646" s="12">
        <f>+'29'!G646+'30'!G646+'31'!G646</f>
        <v>5834504</v>
      </c>
      <c r="H646" s="12">
        <f>+'29'!H646+'30'!H646+'31'!H646</f>
        <v>5850</v>
      </c>
      <c r="I646" s="271"/>
      <c r="J646" s="514">
        <f>+'29'!J646+'30'!J646+'31'!J646</f>
        <v>0</v>
      </c>
      <c r="K646" s="12">
        <f>+'29'!K646+'30'!K646+'31'!K646</f>
        <v>0</v>
      </c>
      <c r="L646" s="12">
        <f>+'29'!L646+'30'!L646+'31'!L646</f>
        <v>0</v>
      </c>
      <c r="M646" s="271"/>
      <c r="N646" s="514">
        <f>+'29'!N646+'30'!N646+'31'!N646</f>
        <v>45</v>
      </c>
      <c r="O646" s="12">
        <f>+'29'!O646+'30'!O646+'31'!O646</f>
        <v>5834504</v>
      </c>
      <c r="P646" s="12">
        <f>+'29'!P646+'30'!P646+'31'!P646</f>
        <v>5850</v>
      </c>
      <c r="Q646" s="532"/>
      <c r="R646" s="270">
        <v>45</v>
      </c>
      <c r="S646" s="12">
        <v>5828654</v>
      </c>
      <c r="T646" s="12">
        <v>5850</v>
      </c>
      <c r="U646" s="271"/>
      <c r="V646" s="533">
        <f t="shared" si="73"/>
        <v>0</v>
      </c>
      <c r="W646" s="533">
        <f t="shared" si="74"/>
        <v>5850</v>
      </c>
      <c r="X646" s="257"/>
      <c r="Y646" s="261">
        <f t="shared" si="75"/>
        <v>0</v>
      </c>
      <c r="Z646" s="12">
        <f t="shared" si="76"/>
        <v>5850</v>
      </c>
      <c r="AB646" s="13">
        <f t="shared" ref="AB646:AB712" si="80">O646</f>
        <v>5834504</v>
      </c>
      <c r="AF646" s="13">
        <f t="shared" si="77"/>
        <v>5834504</v>
      </c>
      <c r="AM646" s="12">
        <f t="shared" si="78"/>
        <v>0</v>
      </c>
      <c r="AN646" s="13">
        <f t="shared" si="79"/>
        <v>5834504</v>
      </c>
    </row>
    <row r="647" spans="1:40" x14ac:dyDescent="0.25">
      <c r="A647">
        <v>642</v>
      </c>
      <c r="B647" t="s">
        <v>638</v>
      </c>
      <c r="C647" t="s">
        <v>15</v>
      </c>
      <c r="D647" t="s">
        <v>16</v>
      </c>
      <c r="F647" s="514">
        <f>+'29'!F647+'30'!F647+'31'!F647</f>
        <v>1</v>
      </c>
      <c r="G647" s="12">
        <f>+'29'!G647+'30'!G647+'31'!G647</f>
        <v>10000</v>
      </c>
      <c r="H647" s="12">
        <f>+'29'!H647+'30'!H647+'31'!H647</f>
        <v>30</v>
      </c>
      <c r="I647" s="271"/>
      <c r="J647" s="514">
        <f>+'29'!J647+'30'!J647+'31'!J647</f>
        <v>0</v>
      </c>
      <c r="K647" s="12">
        <f>+'29'!K647+'30'!K647+'31'!K647</f>
        <v>0</v>
      </c>
      <c r="L647" s="12">
        <f>+'29'!L647+'30'!L647+'31'!L647</f>
        <v>0</v>
      </c>
      <c r="M647" s="271"/>
      <c r="N647" s="514">
        <f>+'29'!N647+'30'!N647+'31'!N647</f>
        <v>1</v>
      </c>
      <c r="O647" s="12">
        <f>+'29'!O647+'30'!O647+'31'!O647</f>
        <v>10000</v>
      </c>
      <c r="P647" s="12">
        <f>+'29'!P647+'30'!P647+'31'!P647</f>
        <v>30</v>
      </c>
      <c r="Q647" s="532"/>
      <c r="R647" s="270">
        <v>1</v>
      </c>
      <c r="S647" s="12">
        <v>10000</v>
      </c>
      <c r="T647" s="12">
        <v>0</v>
      </c>
      <c r="U647" s="271"/>
      <c r="V647" s="533">
        <f t="shared" ref="V647:V710" si="81">N647-R647</f>
        <v>0</v>
      </c>
      <c r="W647" s="533">
        <f t="shared" ref="W647:W710" si="82">O647-S647</f>
        <v>0</v>
      </c>
      <c r="X647" s="257"/>
      <c r="Y647" s="261">
        <f t="shared" ref="Y647:Y710" si="83">V647</f>
        <v>0</v>
      </c>
      <c r="Z647" s="12">
        <f t="shared" ref="Z647:Z710" si="84">W647</f>
        <v>0</v>
      </c>
      <c r="AB647" s="13">
        <f t="shared" si="80"/>
        <v>10000</v>
      </c>
      <c r="AF647" s="13">
        <f t="shared" ref="AF647:AF699" si="85">AB647-AD647</f>
        <v>10000</v>
      </c>
      <c r="AM647" s="12">
        <f t="shared" ref="AM647:AM699" si="86">SUM(AG647:AL647)</f>
        <v>0</v>
      </c>
      <c r="AN647" s="13">
        <f t="shared" ref="AN647:AN699" si="87">AF647-AM647</f>
        <v>10000</v>
      </c>
    </row>
    <row r="648" spans="1:40" x14ac:dyDescent="0.25">
      <c r="A648">
        <v>643</v>
      </c>
      <c r="B648" t="s">
        <v>639</v>
      </c>
      <c r="C648" t="s">
        <v>154</v>
      </c>
      <c r="D648" t="s">
        <v>45</v>
      </c>
      <c r="F648" s="514">
        <f>+'29'!F648+'30'!F648+'31'!F648</f>
        <v>7</v>
      </c>
      <c r="G648" s="12">
        <f>+'29'!G648+'30'!G648+'31'!G648</f>
        <v>9850</v>
      </c>
      <c r="H648" s="12">
        <f>+'29'!H648+'30'!H648+'31'!H648</f>
        <v>105</v>
      </c>
      <c r="I648" s="271"/>
      <c r="J648" s="514">
        <f>+'29'!J648+'30'!J648+'31'!J648</f>
        <v>0</v>
      </c>
      <c r="K648" s="12">
        <f>+'29'!K648+'30'!K648+'31'!K648</f>
        <v>0</v>
      </c>
      <c r="L648" s="12">
        <f>+'29'!L648+'30'!L648+'31'!L648</f>
        <v>0</v>
      </c>
      <c r="M648" s="271"/>
      <c r="N648" s="514">
        <f>+'29'!N648+'30'!N648+'31'!N648</f>
        <v>7</v>
      </c>
      <c r="O648" s="12">
        <f>+'29'!O648+'30'!O648+'31'!O648</f>
        <v>9850</v>
      </c>
      <c r="P648" s="12">
        <f>+'29'!P648+'30'!P648+'31'!P648</f>
        <v>105</v>
      </c>
      <c r="Q648" s="532"/>
      <c r="R648" s="270">
        <v>7</v>
      </c>
      <c r="S648" s="12">
        <v>9850</v>
      </c>
      <c r="T648" s="12">
        <v>0</v>
      </c>
      <c r="U648" s="271"/>
      <c r="V648" s="533">
        <f t="shared" si="81"/>
        <v>0</v>
      </c>
      <c r="W648" s="533">
        <f t="shared" si="82"/>
        <v>0</v>
      </c>
      <c r="X648" s="257"/>
      <c r="Y648" s="261">
        <f t="shared" si="83"/>
        <v>0</v>
      </c>
      <c r="Z648" s="12">
        <f t="shared" si="84"/>
        <v>0</v>
      </c>
      <c r="AB648" s="13">
        <f t="shared" si="80"/>
        <v>9850</v>
      </c>
      <c r="AD648" s="16">
        <v>2003.57</v>
      </c>
      <c r="AF648" s="13">
        <f t="shared" si="85"/>
        <v>7846.43</v>
      </c>
      <c r="AG648" s="16">
        <v>2003.5714285714284</v>
      </c>
      <c r="AM648" s="12">
        <f t="shared" si="86"/>
        <v>2003.5714285714284</v>
      </c>
      <c r="AN648" s="13">
        <f t="shared" si="87"/>
        <v>5842.8585714285718</v>
      </c>
    </row>
    <row r="649" spans="1:40" x14ac:dyDescent="0.25">
      <c r="A649">
        <v>644</v>
      </c>
      <c r="B649" t="s">
        <v>640</v>
      </c>
      <c r="C649" t="s">
        <v>136</v>
      </c>
      <c r="D649" t="s">
        <v>16</v>
      </c>
      <c r="F649" s="514">
        <f>+'29'!F649+'30'!F649+'31'!F649</f>
        <v>0</v>
      </c>
      <c r="G649" s="12">
        <f>+'29'!G649+'30'!G649+'31'!G649</f>
        <v>0</v>
      </c>
      <c r="H649" s="12">
        <f>+'29'!H649+'30'!H649+'31'!H649</f>
        <v>0</v>
      </c>
      <c r="I649" s="271"/>
      <c r="J649" s="514">
        <f>+'29'!J649+'30'!J649+'31'!J649</f>
        <v>0</v>
      </c>
      <c r="K649" s="12">
        <f>+'29'!K649+'30'!K649+'31'!K649</f>
        <v>0</v>
      </c>
      <c r="L649" s="12">
        <f>+'29'!L649+'30'!L649+'31'!L649</f>
        <v>0</v>
      </c>
      <c r="M649" s="271"/>
      <c r="N649" s="514">
        <f>+'29'!N649+'30'!N649+'31'!N649</f>
        <v>0</v>
      </c>
      <c r="O649" s="12">
        <f>+'29'!O649+'30'!O649+'31'!O649</f>
        <v>0</v>
      </c>
      <c r="P649" s="12">
        <f>+'29'!P649+'30'!P649+'31'!P649</f>
        <v>0</v>
      </c>
      <c r="Q649" s="532"/>
      <c r="R649" s="270">
        <v>0</v>
      </c>
      <c r="S649" s="12">
        <v>0</v>
      </c>
      <c r="T649" s="12">
        <v>0</v>
      </c>
      <c r="U649" s="271"/>
      <c r="V649" s="533">
        <f t="shared" si="81"/>
        <v>0</v>
      </c>
      <c r="W649" s="533">
        <f t="shared" si="82"/>
        <v>0</v>
      </c>
      <c r="X649" s="257"/>
      <c r="Y649" s="261">
        <f t="shared" si="83"/>
        <v>0</v>
      </c>
      <c r="Z649" s="12">
        <f t="shared" si="84"/>
        <v>0</v>
      </c>
      <c r="AB649" s="13">
        <f t="shared" si="80"/>
        <v>0</v>
      </c>
      <c r="AF649" s="13">
        <f t="shared" si="85"/>
        <v>0</v>
      </c>
      <c r="AM649" s="12">
        <f t="shared" si="86"/>
        <v>0</v>
      </c>
      <c r="AN649" s="13">
        <f t="shared" si="87"/>
        <v>0</v>
      </c>
    </row>
    <row r="650" spans="1:40" x14ac:dyDescent="0.25">
      <c r="A650">
        <v>645</v>
      </c>
      <c r="B650" t="s">
        <v>641</v>
      </c>
      <c r="C650" t="s">
        <v>18</v>
      </c>
      <c r="D650" t="s">
        <v>16</v>
      </c>
      <c r="F650" s="514">
        <f>+'29'!F650+'30'!F650+'31'!F650</f>
        <v>26</v>
      </c>
      <c r="G650" s="12">
        <f>+'29'!G650+'30'!G650+'31'!G650</f>
        <v>379818.9</v>
      </c>
      <c r="H650" s="12">
        <f>+'29'!H650+'30'!H650+'31'!H650</f>
        <v>1450</v>
      </c>
      <c r="I650" s="271"/>
      <c r="J650" s="514">
        <f>+'29'!J650+'30'!J650+'31'!J650</f>
        <v>0</v>
      </c>
      <c r="K650" s="12">
        <f>+'29'!K650+'30'!K650+'31'!K650</f>
        <v>0</v>
      </c>
      <c r="L650" s="12">
        <f>+'29'!L650+'30'!L650+'31'!L650</f>
        <v>0</v>
      </c>
      <c r="M650" s="271"/>
      <c r="N650" s="514">
        <f>+'29'!N650+'30'!N650+'31'!N650</f>
        <v>26</v>
      </c>
      <c r="O650" s="12">
        <f>+'29'!O650+'30'!O650+'31'!O650</f>
        <v>379818.9</v>
      </c>
      <c r="P650" s="12">
        <f>+'29'!P650+'30'!P650+'31'!P650</f>
        <v>1450</v>
      </c>
      <c r="Q650" s="532"/>
      <c r="R650" s="270">
        <v>26</v>
      </c>
      <c r="S650" s="12">
        <v>379818.9</v>
      </c>
      <c r="T650" s="12">
        <v>0</v>
      </c>
      <c r="U650" s="271"/>
      <c r="V650" s="533">
        <f t="shared" si="81"/>
        <v>0</v>
      </c>
      <c r="W650" s="533">
        <f t="shared" si="82"/>
        <v>0</v>
      </c>
      <c r="X650" s="257"/>
      <c r="Y650" s="261">
        <f t="shared" si="83"/>
        <v>0</v>
      </c>
      <c r="Z650" s="12">
        <f t="shared" si="84"/>
        <v>0</v>
      </c>
      <c r="AB650" s="13">
        <f t="shared" si="80"/>
        <v>379818.9</v>
      </c>
      <c r="AF650" s="13">
        <f t="shared" si="85"/>
        <v>379818.9</v>
      </c>
      <c r="AM650" s="12">
        <f t="shared" si="86"/>
        <v>0</v>
      </c>
      <c r="AN650" s="13">
        <f t="shared" si="87"/>
        <v>379818.9</v>
      </c>
    </row>
    <row r="651" spans="1:40" x14ac:dyDescent="0.25">
      <c r="A651">
        <v>646</v>
      </c>
      <c r="B651" t="s">
        <v>643</v>
      </c>
      <c r="C651" t="s">
        <v>15</v>
      </c>
      <c r="D651" t="s">
        <v>16</v>
      </c>
      <c r="F651" s="514">
        <f>+'29'!F651+'30'!F651+'31'!F651</f>
        <v>2</v>
      </c>
      <c r="G651" s="12">
        <f>+'29'!G651+'30'!G651+'31'!G651</f>
        <v>37243.5</v>
      </c>
      <c r="H651" s="12">
        <f>+'29'!H651+'30'!H651+'31'!H651</f>
        <v>100</v>
      </c>
      <c r="I651" s="271"/>
      <c r="J651" s="514">
        <f>+'29'!J651+'30'!J651+'31'!J651</f>
        <v>0</v>
      </c>
      <c r="K651" s="12">
        <f>+'29'!K651+'30'!K651+'31'!K651</f>
        <v>0</v>
      </c>
      <c r="L651" s="12">
        <f>+'29'!L651+'30'!L651+'31'!L651</f>
        <v>0</v>
      </c>
      <c r="M651" s="271"/>
      <c r="N651" s="514">
        <f>+'29'!N651+'30'!N651+'31'!N651</f>
        <v>2</v>
      </c>
      <c r="O651" s="12">
        <f>+'29'!O651+'30'!O651+'31'!O651</f>
        <v>37243.5</v>
      </c>
      <c r="P651" s="12">
        <f>+'29'!P651+'30'!P651+'31'!P651</f>
        <v>100</v>
      </c>
      <c r="Q651" s="532"/>
      <c r="R651" s="270">
        <v>2</v>
      </c>
      <c r="S651" s="12">
        <v>37243.5</v>
      </c>
      <c r="T651" s="12">
        <v>0</v>
      </c>
      <c r="U651" s="271"/>
      <c r="V651" s="533">
        <f t="shared" si="81"/>
        <v>0</v>
      </c>
      <c r="W651" s="533">
        <f t="shared" si="82"/>
        <v>0</v>
      </c>
      <c r="X651" s="257"/>
      <c r="Y651" s="261">
        <f t="shared" si="83"/>
        <v>0</v>
      </c>
      <c r="Z651" s="12">
        <f t="shared" si="84"/>
        <v>0</v>
      </c>
      <c r="AB651" s="13">
        <f t="shared" si="80"/>
        <v>37243.5</v>
      </c>
      <c r="AF651" s="13">
        <f t="shared" si="85"/>
        <v>37243.5</v>
      </c>
      <c r="AM651" s="12">
        <f t="shared" si="86"/>
        <v>0</v>
      </c>
      <c r="AN651" s="13">
        <f t="shared" si="87"/>
        <v>37243.5</v>
      </c>
    </row>
    <row r="652" spans="1:40" x14ac:dyDescent="0.25">
      <c r="A652">
        <v>647</v>
      </c>
      <c r="B652" t="s">
        <v>644</v>
      </c>
      <c r="C652" t="s">
        <v>15</v>
      </c>
      <c r="D652" t="s">
        <v>16</v>
      </c>
      <c r="F652" s="514">
        <f>+'29'!F652+'30'!F652+'31'!F652</f>
        <v>0</v>
      </c>
      <c r="G652" s="12">
        <f>+'29'!G652+'30'!G652+'31'!G652</f>
        <v>0</v>
      </c>
      <c r="H652" s="12">
        <f>+'29'!H652+'30'!H652+'31'!H652</f>
        <v>0</v>
      </c>
      <c r="I652" s="271"/>
      <c r="J652" s="514">
        <f>+'29'!J652+'30'!J652+'31'!J652</f>
        <v>0</v>
      </c>
      <c r="K652" s="12">
        <f>+'29'!K652+'30'!K652+'31'!K652</f>
        <v>0</v>
      </c>
      <c r="L652" s="12">
        <f>+'29'!L652+'30'!L652+'31'!L652</f>
        <v>0</v>
      </c>
      <c r="M652" s="271"/>
      <c r="N652" s="514">
        <f>+'29'!N652+'30'!N652+'31'!N652</f>
        <v>0</v>
      </c>
      <c r="O652" s="12">
        <f>+'29'!O652+'30'!O652+'31'!O652</f>
        <v>0</v>
      </c>
      <c r="P652" s="12">
        <f>+'29'!P652+'30'!P652+'31'!P652</f>
        <v>0</v>
      </c>
      <c r="Q652" s="532"/>
      <c r="R652" s="270">
        <v>0</v>
      </c>
      <c r="S652" s="12">
        <v>0</v>
      </c>
      <c r="T652" s="12">
        <v>0</v>
      </c>
      <c r="U652" s="271"/>
      <c r="V652" s="533">
        <f t="shared" si="81"/>
        <v>0</v>
      </c>
      <c r="W652" s="533">
        <f t="shared" si="82"/>
        <v>0</v>
      </c>
      <c r="X652" s="257"/>
      <c r="Y652" s="261">
        <f t="shared" si="83"/>
        <v>0</v>
      </c>
      <c r="Z652" s="12">
        <f t="shared" si="84"/>
        <v>0</v>
      </c>
      <c r="AB652" s="13">
        <f t="shared" si="80"/>
        <v>0</v>
      </c>
      <c r="AF652" s="13">
        <f t="shared" si="85"/>
        <v>0</v>
      </c>
      <c r="AM652" s="12">
        <f t="shared" si="86"/>
        <v>0</v>
      </c>
      <c r="AN652" s="13">
        <f t="shared" si="87"/>
        <v>0</v>
      </c>
    </row>
    <row r="653" spans="1:40" x14ac:dyDescent="0.25">
      <c r="A653">
        <v>648</v>
      </c>
      <c r="B653" t="s">
        <v>645</v>
      </c>
      <c r="D653" t="s">
        <v>20</v>
      </c>
      <c r="F653" s="514">
        <f>+'29'!F653+'30'!F653+'31'!F653</f>
        <v>0</v>
      </c>
      <c r="G653" s="12">
        <f>+'29'!G653+'30'!G653+'31'!G653</f>
        <v>0</v>
      </c>
      <c r="H653" s="12">
        <f>+'29'!H653+'30'!H653+'31'!H653</f>
        <v>0</v>
      </c>
      <c r="I653" s="271"/>
      <c r="J653" s="514">
        <f>+'29'!J653+'30'!J653+'31'!J653</f>
        <v>0</v>
      </c>
      <c r="K653" s="12">
        <f>+'29'!K653+'30'!K653+'31'!K653</f>
        <v>0</v>
      </c>
      <c r="L653" s="12">
        <f>+'29'!L653+'30'!L653+'31'!L653</f>
        <v>0</v>
      </c>
      <c r="M653" s="271"/>
      <c r="N653" s="514">
        <f>+'29'!N653+'30'!N653+'31'!N653</f>
        <v>0</v>
      </c>
      <c r="O653" s="12">
        <f>+'29'!O653+'30'!O653+'31'!O653</f>
        <v>0</v>
      </c>
      <c r="P653" s="12">
        <f>+'29'!P653+'30'!P653+'31'!P653</f>
        <v>0</v>
      </c>
      <c r="Q653" s="532"/>
      <c r="R653" s="270">
        <v>0</v>
      </c>
      <c r="S653" s="12">
        <v>0</v>
      </c>
      <c r="T653" s="12">
        <v>0</v>
      </c>
      <c r="U653" s="271"/>
      <c r="V653" s="533">
        <f t="shared" si="81"/>
        <v>0</v>
      </c>
      <c r="W653" s="533">
        <f t="shared" si="82"/>
        <v>0</v>
      </c>
      <c r="X653" s="257"/>
      <c r="Y653" s="261">
        <f t="shared" si="83"/>
        <v>0</v>
      </c>
      <c r="Z653" s="12">
        <f t="shared" si="84"/>
        <v>0</v>
      </c>
      <c r="AB653" s="13">
        <f t="shared" si="80"/>
        <v>0</v>
      </c>
      <c r="AD653" s="16"/>
      <c r="AF653" s="13">
        <f t="shared" si="85"/>
        <v>0</v>
      </c>
      <c r="AG653" s="16"/>
      <c r="AM653" s="12">
        <f t="shared" si="86"/>
        <v>0</v>
      </c>
      <c r="AN653" s="13">
        <f t="shared" si="87"/>
        <v>0</v>
      </c>
    </row>
    <row r="654" spans="1:40" x14ac:dyDescent="0.25">
      <c r="A654">
        <v>649</v>
      </c>
      <c r="B654" t="s">
        <v>646</v>
      </c>
      <c r="C654" t="s">
        <v>18</v>
      </c>
      <c r="D654" t="s">
        <v>20</v>
      </c>
      <c r="F654" s="514">
        <f>+'29'!F654+'30'!F654+'31'!F654</f>
        <v>22</v>
      </c>
      <c r="G654" s="12">
        <f>+'29'!G654+'30'!G654+'31'!G654</f>
        <v>518208.01999999996</v>
      </c>
      <c r="H654" s="12">
        <f>+'29'!H654+'30'!H654+'31'!H654</f>
        <v>1100</v>
      </c>
      <c r="I654" s="271"/>
      <c r="J654" s="514">
        <f>+'29'!J654+'30'!J654+'31'!J654</f>
        <v>0</v>
      </c>
      <c r="K654" s="12">
        <f>+'29'!K654+'30'!K654+'31'!K654</f>
        <v>0</v>
      </c>
      <c r="L654" s="12">
        <f>+'29'!L654+'30'!L654+'31'!L654</f>
        <v>0</v>
      </c>
      <c r="M654" s="271"/>
      <c r="N654" s="514">
        <f>+'29'!N654+'30'!N654+'31'!N654</f>
        <v>22</v>
      </c>
      <c r="O654" s="12">
        <f>+'29'!O654+'30'!O654+'31'!O654</f>
        <v>518208.01999999996</v>
      </c>
      <c r="P654" s="12">
        <f>+'29'!P654+'30'!P654+'31'!P654</f>
        <v>1100</v>
      </c>
      <c r="Q654" s="532"/>
      <c r="R654" s="270">
        <v>22</v>
      </c>
      <c r="S654" s="12">
        <v>518208.02</v>
      </c>
      <c r="T654" s="12">
        <v>0</v>
      </c>
      <c r="U654" s="271"/>
      <c r="V654" s="533">
        <f t="shared" si="81"/>
        <v>0</v>
      </c>
      <c r="W654" s="533">
        <f t="shared" si="82"/>
        <v>0</v>
      </c>
      <c r="X654" s="257"/>
      <c r="Y654" s="261">
        <f t="shared" si="83"/>
        <v>0</v>
      </c>
      <c r="Z654" s="12">
        <f t="shared" si="84"/>
        <v>0</v>
      </c>
      <c r="AB654" s="13">
        <f t="shared" si="80"/>
        <v>518208.01999999996</v>
      </c>
      <c r="AF654" s="13">
        <f t="shared" si="85"/>
        <v>518208.01999999996</v>
      </c>
      <c r="AM654" s="12">
        <f t="shared" si="86"/>
        <v>0</v>
      </c>
      <c r="AN654" s="13">
        <f t="shared" si="87"/>
        <v>518208.01999999996</v>
      </c>
    </row>
    <row r="655" spans="1:40" x14ac:dyDescent="0.25">
      <c r="A655">
        <v>650</v>
      </c>
      <c r="B655" t="s">
        <v>647</v>
      </c>
      <c r="C655" t="s">
        <v>18</v>
      </c>
      <c r="D655" t="s">
        <v>20</v>
      </c>
      <c r="F655" s="514">
        <f>+'29'!F655+'30'!F655+'31'!F655</f>
        <v>22</v>
      </c>
      <c r="G655" s="12">
        <f>+'29'!G655+'30'!G655+'31'!G655</f>
        <v>339751.07999999996</v>
      </c>
      <c r="H655" s="12">
        <f>+'29'!H655+'30'!H655+'31'!H655</f>
        <v>1100</v>
      </c>
      <c r="I655" s="271"/>
      <c r="J655" s="514">
        <f>+'29'!J655+'30'!J655+'31'!J655</f>
        <v>0</v>
      </c>
      <c r="K655" s="12">
        <f>+'29'!K655+'30'!K655+'31'!K655</f>
        <v>0</v>
      </c>
      <c r="L655" s="12">
        <f>+'29'!L655+'30'!L655+'31'!L655</f>
        <v>0</v>
      </c>
      <c r="M655" s="271"/>
      <c r="N655" s="514">
        <f>+'29'!N655+'30'!N655+'31'!N655</f>
        <v>22</v>
      </c>
      <c r="O655" s="12">
        <f>+'29'!O655+'30'!O655+'31'!O655</f>
        <v>339751.07999999996</v>
      </c>
      <c r="P655" s="12">
        <f>+'29'!P655+'30'!P655+'31'!P655</f>
        <v>1100</v>
      </c>
      <c r="Q655" s="532"/>
      <c r="R655" s="270">
        <v>22</v>
      </c>
      <c r="S655" s="12">
        <v>339751.08</v>
      </c>
      <c r="T655" s="12">
        <v>0</v>
      </c>
      <c r="U655" s="271"/>
      <c r="V655" s="533">
        <f t="shared" si="81"/>
        <v>0</v>
      </c>
      <c r="W655" s="533">
        <f t="shared" si="82"/>
        <v>0</v>
      </c>
      <c r="X655" s="257"/>
      <c r="Y655" s="261">
        <f t="shared" si="83"/>
        <v>0</v>
      </c>
      <c r="Z655" s="12">
        <f t="shared" si="84"/>
        <v>0</v>
      </c>
      <c r="AB655" s="13">
        <f t="shared" si="80"/>
        <v>339751.07999999996</v>
      </c>
      <c r="AF655" s="13">
        <f t="shared" si="85"/>
        <v>339751.07999999996</v>
      </c>
      <c r="AM655" s="12">
        <f t="shared" si="86"/>
        <v>0</v>
      </c>
      <c r="AN655" s="13">
        <f t="shared" si="87"/>
        <v>339751.07999999996</v>
      </c>
    </row>
    <row r="656" spans="1:40" x14ac:dyDescent="0.25">
      <c r="A656">
        <v>651</v>
      </c>
      <c r="B656" t="s">
        <v>2432</v>
      </c>
      <c r="C656" t="s">
        <v>18</v>
      </c>
      <c r="D656" t="s">
        <v>16</v>
      </c>
      <c r="F656" s="514">
        <f>+'29'!F656+'30'!F656+'31'!F656</f>
        <v>0</v>
      </c>
      <c r="G656" s="12">
        <f>+'29'!G656+'30'!G656+'31'!G656</f>
        <v>0</v>
      </c>
      <c r="H656" s="12">
        <f>+'29'!H656+'30'!H656+'31'!H656</f>
        <v>0</v>
      </c>
      <c r="I656" s="271"/>
      <c r="J656" s="514">
        <f>+'29'!J656+'30'!J656+'31'!J656</f>
        <v>0</v>
      </c>
      <c r="K656" s="12">
        <f>+'29'!K656+'30'!K656+'31'!K656</f>
        <v>0</v>
      </c>
      <c r="L656" s="12">
        <f>+'29'!L656+'30'!L656+'31'!L656</f>
        <v>0</v>
      </c>
      <c r="M656" s="271"/>
      <c r="N656" s="514">
        <f>+'29'!N656+'30'!N656+'31'!N656</f>
        <v>0</v>
      </c>
      <c r="O656" s="12">
        <f>+'29'!O656+'30'!O656+'31'!O656</f>
        <v>0</v>
      </c>
      <c r="P656" s="12">
        <f>+'29'!P656+'30'!P656+'31'!P656</f>
        <v>0</v>
      </c>
      <c r="Q656" s="532"/>
      <c r="R656" s="270">
        <v>0</v>
      </c>
      <c r="S656" s="12">
        <v>0</v>
      </c>
      <c r="T656" s="12">
        <v>0</v>
      </c>
      <c r="U656" s="271"/>
      <c r="V656" s="533">
        <f t="shared" si="81"/>
        <v>0</v>
      </c>
      <c r="W656" s="533">
        <f t="shared" si="82"/>
        <v>0</v>
      </c>
      <c r="X656" s="257"/>
      <c r="Y656" s="261">
        <f t="shared" si="83"/>
        <v>0</v>
      </c>
      <c r="Z656" s="12">
        <f t="shared" si="84"/>
        <v>0</v>
      </c>
      <c r="AB656" s="13">
        <f t="shared" si="80"/>
        <v>0</v>
      </c>
      <c r="AF656" s="13">
        <f t="shared" si="85"/>
        <v>0</v>
      </c>
      <c r="AM656" s="12">
        <f t="shared" si="86"/>
        <v>0</v>
      </c>
      <c r="AN656" s="13">
        <f t="shared" si="87"/>
        <v>0</v>
      </c>
    </row>
    <row r="657" spans="1:40" x14ac:dyDescent="0.25">
      <c r="A657">
        <v>652</v>
      </c>
      <c r="B657" t="s">
        <v>648</v>
      </c>
      <c r="C657" t="s">
        <v>355</v>
      </c>
      <c r="D657" t="s">
        <v>16</v>
      </c>
      <c r="F657" s="514">
        <f>+'29'!F657+'30'!F657+'31'!F657</f>
        <v>37</v>
      </c>
      <c r="G657" s="12">
        <f>+'29'!G657+'30'!G657+'31'!G657</f>
        <v>27298.21</v>
      </c>
      <c r="H657" s="12">
        <f>+'29'!H657+'30'!H657+'31'!H657</f>
        <v>296</v>
      </c>
      <c r="I657" s="271"/>
      <c r="J657" s="514">
        <f>+'29'!J657+'30'!J657+'31'!J657</f>
        <v>0</v>
      </c>
      <c r="K657" s="12">
        <f>+'29'!K657+'30'!K657+'31'!K657</f>
        <v>0</v>
      </c>
      <c r="L657" s="12">
        <f>+'29'!L657+'30'!L657+'31'!L657</f>
        <v>0</v>
      </c>
      <c r="M657" s="271"/>
      <c r="N657" s="514">
        <f>+'29'!N657+'30'!N657+'31'!N657</f>
        <v>37</v>
      </c>
      <c r="O657" s="12">
        <f>+'29'!O657+'30'!O657+'31'!O657</f>
        <v>27298.21</v>
      </c>
      <c r="P657" s="12">
        <f>+'29'!P657+'30'!P657+'31'!P657</f>
        <v>296</v>
      </c>
      <c r="Q657" s="532"/>
      <c r="R657" s="270">
        <v>37</v>
      </c>
      <c r="S657" s="12">
        <v>27298.21</v>
      </c>
      <c r="T657" s="12">
        <v>0</v>
      </c>
      <c r="U657" s="271"/>
      <c r="V657" s="533">
        <f t="shared" si="81"/>
        <v>0</v>
      </c>
      <c r="W657" s="533">
        <f t="shared" si="82"/>
        <v>0</v>
      </c>
      <c r="X657" s="257"/>
      <c r="Y657" s="261">
        <f t="shared" si="83"/>
        <v>0</v>
      </c>
      <c r="Z657" s="12">
        <f t="shared" si="84"/>
        <v>0</v>
      </c>
      <c r="AB657" s="13">
        <f t="shared" si="80"/>
        <v>27298.21</v>
      </c>
      <c r="AF657" s="13">
        <f t="shared" si="85"/>
        <v>27298.21</v>
      </c>
      <c r="AM657" s="12">
        <f t="shared" si="86"/>
        <v>0</v>
      </c>
      <c r="AN657" s="13">
        <f t="shared" si="87"/>
        <v>27298.21</v>
      </c>
    </row>
    <row r="658" spans="1:40" x14ac:dyDescent="0.25">
      <c r="A658">
        <v>653</v>
      </c>
      <c r="B658" t="s">
        <v>649</v>
      </c>
      <c r="C658" t="s">
        <v>24</v>
      </c>
      <c r="D658" t="s">
        <v>16</v>
      </c>
      <c r="F658" s="514">
        <f>+'29'!F658+'30'!F658+'31'!F658</f>
        <v>470</v>
      </c>
      <c r="G658" s="12">
        <f>+'29'!G658+'30'!G658+'31'!G658</f>
        <v>748949.82999999984</v>
      </c>
      <c r="H658" s="12">
        <f>+'29'!H658+'30'!H658+'31'!H658</f>
        <v>4700</v>
      </c>
      <c r="I658" s="271"/>
      <c r="J658" s="514">
        <f>+'29'!J658+'30'!J658+'31'!J658</f>
        <v>0</v>
      </c>
      <c r="K658" s="12">
        <f>+'29'!K658+'30'!K658+'31'!K658</f>
        <v>0</v>
      </c>
      <c r="L658" s="12">
        <f>+'29'!L658+'30'!L658+'31'!L658</f>
        <v>0</v>
      </c>
      <c r="M658" s="271"/>
      <c r="N658" s="514">
        <f>+'29'!N658+'30'!N658+'31'!N658</f>
        <v>470</v>
      </c>
      <c r="O658" s="12">
        <f>+'29'!O658+'30'!O658+'31'!O658</f>
        <v>748949.82999999984</v>
      </c>
      <c r="P658" s="12">
        <f>+'29'!P658+'30'!P658+'31'!P658</f>
        <v>4700</v>
      </c>
      <c r="Q658" s="532"/>
      <c r="R658" s="270">
        <v>470</v>
      </c>
      <c r="S658" s="12">
        <v>748949.83</v>
      </c>
      <c r="T658" s="12">
        <v>0</v>
      </c>
      <c r="U658" s="271"/>
      <c r="V658" s="533">
        <f t="shared" si="81"/>
        <v>0</v>
      </c>
      <c r="W658" s="533">
        <f t="shared" si="82"/>
        <v>0</v>
      </c>
      <c r="X658" s="257"/>
      <c r="Y658" s="261">
        <f t="shared" si="83"/>
        <v>0</v>
      </c>
      <c r="Z658" s="12">
        <f t="shared" si="84"/>
        <v>0</v>
      </c>
      <c r="AB658" s="13">
        <f t="shared" si="80"/>
        <v>748949.82999999984</v>
      </c>
      <c r="AF658" s="13">
        <f t="shared" si="85"/>
        <v>748949.82999999984</v>
      </c>
      <c r="AM658" s="12">
        <f t="shared" si="86"/>
        <v>0</v>
      </c>
      <c r="AN658" s="13">
        <f t="shared" si="87"/>
        <v>748949.82999999984</v>
      </c>
    </row>
    <row r="659" spans="1:40" x14ac:dyDescent="0.25">
      <c r="A659">
        <v>654</v>
      </c>
      <c r="B659" t="s">
        <v>650</v>
      </c>
      <c r="C659" t="s">
        <v>366</v>
      </c>
      <c r="D659" t="s">
        <v>20</v>
      </c>
      <c r="F659" s="514">
        <f>+'29'!F659+'30'!F659+'31'!F659</f>
        <v>13</v>
      </c>
      <c r="G659" s="12">
        <f>+'29'!G659+'30'!G659+'31'!G659</f>
        <v>130582.04000000001</v>
      </c>
      <c r="H659" s="12">
        <f>+'29'!H659+'30'!H659+'31'!H659</f>
        <v>650</v>
      </c>
      <c r="I659" s="271"/>
      <c r="J659" s="514">
        <f>+'29'!J659+'30'!J659+'31'!J659</f>
        <v>0</v>
      </c>
      <c r="K659" s="12">
        <f>+'29'!K659+'30'!K659+'31'!K659</f>
        <v>0</v>
      </c>
      <c r="L659" s="12">
        <f>+'29'!L659+'30'!L659+'31'!L659</f>
        <v>0</v>
      </c>
      <c r="M659" s="271"/>
      <c r="N659" s="514">
        <f>+'29'!N659+'30'!N659+'31'!N659</f>
        <v>13</v>
      </c>
      <c r="O659" s="12">
        <f>+'29'!O659+'30'!O659+'31'!O659</f>
        <v>130582.04000000001</v>
      </c>
      <c r="P659" s="12">
        <f>+'29'!P659+'30'!P659+'31'!P659</f>
        <v>650</v>
      </c>
      <c r="Q659" s="532"/>
      <c r="R659" s="270">
        <v>13</v>
      </c>
      <c r="S659" s="12">
        <v>129932.04</v>
      </c>
      <c r="T659" s="12">
        <v>650</v>
      </c>
      <c r="U659" s="271"/>
      <c r="V659" s="533">
        <f t="shared" si="81"/>
        <v>0</v>
      </c>
      <c r="W659" s="533">
        <f t="shared" si="82"/>
        <v>650.00000000001455</v>
      </c>
      <c r="X659" s="257"/>
      <c r="Y659" s="261">
        <f t="shared" si="83"/>
        <v>0</v>
      </c>
      <c r="Z659" s="12">
        <f t="shared" si="84"/>
        <v>650.00000000001455</v>
      </c>
      <c r="AB659" s="13">
        <f t="shared" si="80"/>
        <v>130582.04000000001</v>
      </c>
      <c r="AF659" s="13">
        <f t="shared" si="85"/>
        <v>130582.04000000001</v>
      </c>
      <c r="AM659" s="12">
        <f t="shared" si="86"/>
        <v>0</v>
      </c>
      <c r="AN659" s="13">
        <f t="shared" si="87"/>
        <v>130582.04000000001</v>
      </c>
    </row>
    <row r="660" spans="1:40" x14ac:dyDescent="0.25">
      <c r="A660">
        <v>655</v>
      </c>
      <c r="B660" t="s">
        <v>651</v>
      </c>
      <c r="C660" t="s">
        <v>15</v>
      </c>
      <c r="D660" t="s">
        <v>16</v>
      </c>
      <c r="F660" s="514">
        <f>+'29'!F660+'30'!F660+'31'!F660</f>
        <v>4</v>
      </c>
      <c r="G660" s="12">
        <f>+'29'!G660+'30'!G660+'31'!G660</f>
        <v>115227.34</v>
      </c>
      <c r="H660" s="12">
        <f>+'29'!H660+'30'!H660+'31'!H660</f>
        <v>600</v>
      </c>
      <c r="I660" s="271"/>
      <c r="J660" s="514">
        <f>+'29'!J660+'30'!J660+'31'!J660</f>
        <v>0</v>
      </c>
      <c r="K660" s="12">
        <f>+'29'!K660+'30'!K660+'31'!K660</f>
        <v>0</v>
      </c>
      <c r="L660" s="12">
        <f>+'29'!L660+'30'!L660+'31'!L660</f>
        <v>0</v>
      </c>
      <c r="M660" s="271"/>
      <c r="N660" s="514">
        <f>+'29'!N660+'30'!N660+'31'!N660</f>
        <v>4</v>
      </c>
      <c r="O660" s="12">
        <f>+'29'!O660+'30'!O660+'31'!O660</f>
        <v>115227.34</v>
      </c>
      <c r="P660" s="12">
        <f>+'29'!P660+'30'!P660+'31'!P660</f>
        <v>600</v>
      </c>
      <c r="Q660" s="532"/>
      <c r="R660" s="270">
        <v>4</v>
      </c>
      <c r="S660" s="12">
        <v>115227.34</v>
      </c>
      <c r="T660" s="12">
        <v>0</v>
      </c>
      <c r="U660" s="271"/>
      <c r="V660" s="533">
        <f t="shared" si="81"/>
        <v>0</v>
      </c>
      <c r="W660" s="533">
        <f t="shared" si="82"/>
        <v>0</v>
      </c>
      <c r="X660" s="257"/>
      <c r="Y660" s="261">
        <f t="shared" si="83"/>
        <v>0</v>
      </c>
      <c r="Z660" s="12">
        <f t="shared" si="84"/>
        <v>0</v>
      </c>
      <c r="AB660" s="13">
        <f t="shared" si="80"/>
        <v>115227.34</v>
      </c>
      <c r="AF660" s="13">
        <f t="shared" si="85"/>
        <v>115227.34</v>
      </c>
      <c r="AM660" s="12">
        <f t="shared" si="86"/>
        <v>0</v>
      </c>
      <c r="AN660" s="13">
        <f t="shared" si="87"/>
        <v>115227.34</v>
      </c>
    </row>
    <row r="661" spans="1:40" x14ac:dyDescent="0.25">
      <c r="A661">
        <v>656</v>
      </c>
      <c r="B661" t="s">
        <v>652</v>
      </c>
      <c r="C661" t="s">
        <v>154</v>
      </c>
      <c r="D661" t="s">
        <v>16</v>
      </c>
      <c r="F661" s="514">
        <f>+'29'!F661+'30'!F661+'31'!F661</f>
        <v>0</v>
      </c>
      <c r="G661" s="12">
        <f>+'29'!G661+'30'!G661+'31'!G661</f>
        <v>0</v>
      </c>
      <c r="H661" s="12">
        <f>+'29'!H661+'30'!H661+'31'!H661</f>
        <v>0</v>
      </c>
      <c r="I661" s="271"/>
      <c r="J661" s="514">
        <f>+'29'!J661+'30'!J661+'31'!J661</f>
        <v>0</v>
      </c>
      <c r="K661" s="12">
        <f>+'29'!K661+'30'!K661+'31'!K661</f>
        <v>0</v>
      </c>
      <c r="L661" s="12">
        <f>+'29'!L661+'30'!L661+'31'!L661</f>
        <v>0</v>
      </c>
      <c r="M661" s="271"/>
      <c r="N661" s="514">
        <f>+'29'!N661+'30'!N661+'31'!N661</f>
        <v>0</v>
      </c>
      <c r="O661" s="12">
        <f>+'29'!O661+'30'!O661+'31'!O661</f>
        <v>0</v>
      </c>
      <c r="P661" s="12">
        <f>+'29'!P661+'30'!P661+'31'!P661</f>
        <v>0</v>
      </c>
      <c r="Q661" s="532"/>
      <c r="R661" s="270">
        <v>0</v>
      </c>
      <c r="S661" s="12">
        <v>0</v>
      </c>
      <c r="T661" s="12">
        <v>0</v>
      </c>
      <c r="U661" s="271"/>
      <c r="V661" s="533">
        <f t="shared" si="81"/>
        <v>0</v>
      </c>
      <c r="W661" s="533">
        <f t="shared" si="82"/>
        <v>0</v>
      </c>
      <c r="X661" s="257"/>
      <c r="Y661" s="261">
        <f t="shared" si="83"/>
        <v>0</v>
      </c>
      <c r="Z661" s="12">
        <f t="shared" si="84"/>
        <v>0</v>
      </c>
      <c r="AB661" s="13">
        <f t="shared" si="80"/>
        <v>0</v>
      </c>
      <c r="AF661" s="13">
        <f t="shared" si="85"/>
        <v>0</v>
      </c>
      <c r="AM661" s="12">
        <f t="shared" si="86"/>
        <v>0</v>
      </c>
      <c r="AN661" s="13">
        <f t="shared" si="87"/>
        <v>0</v>
      </c>
    </row>
    <row r="662" spans="1:40" x14ac:dyDescent="0.25">
      <c r="A662">
        <v>657</v>
      </c>
      <c r="B662" t="s">
        <v>653</v>
      </c>
      <c r="C662" t="s">
        <v>18</v>
      </c>
      <c r="D662" t="s">
        <v>16</v>
      </c>
      <c r="F662" s="514">
        <f>+'29'!F662+'30'!F662+'31'!F662</f>
        <v>0</v>
      </c>
      <c r="G662" s="12">
        <f>+'29'!G662+'30'!G662+'31'!G662</f>
        <v>0</v>
      </c>
      <c r="H662" s="12">
        <f>+'29'!H662+'30'!H662+'31'!H662</f>
        <v>0</v>
      </c>
      <c r="I662" s="271"/>
      <c r="J662" s="514">
        <f>+'29'!J662+'30'!J662+'31'!J662</f>
        <v>0</v>
      </c>
      <c r="K662" s="12">
        <f>+'29'!K662+'30'!K662+'31'!K662</f>
        <v>0</v>
      </c>
      <c r="L662" s="12">
        <f>+'29'!L662+'30'!L662+'31'!L662</f>
        <v>0</v>
      </c>
      <c r="M662" s="271"/>
      <c r="N662" s="514">
        <f>+'29'!N662+'30'!N662+'31'!N662</f>
        <v>0</v>
      </c>
      <c r="O662" s="12">
        <f>+'29'!O662+'30'!O662+'31'!O662</f>
        <v>0</v>
      </c>
      <c r="P662" s="12">
        <f>+'29'!P662+'30'!P662+'31'!P662</f>
        <v>0</v>
      </c>
      <c r="Q662" s="532"/>
      <c r="R662" s="270">
        <v>0</v>
      </c>
      <c r="S662" s="12">
        <v>0</v>
      </c>
      <c r="T662" s="12">
        <v>0</v>
      </c>
      <c r="U662" s="271"/>
      <c r="V662" s="533">
        <f t="shared" si="81"/>
        <v>0</v>
      </c>
      <c r="W662" s="533">
        <f t="shared" si="82"/>
        <v>0</v>
      </c>
      <c r="X662" s="257"/>
      <c r="Y662" s="261">
        <f t="shared" si="83"/>
        <v>0</v>
      </c>
      <c r="Z662" s="12">
        <f t="shared" si="84"/>
        <v>0</v>
      </c>
      <c r="AB662" s="13">
        <f t="shared" si="80"/>
        <v>0</v>
      </c>
      <c r="AF662" s="13">
        <f t="shared" si="85"/>
        <v>0</v>
      </c>
      <c r="AM662" s="12">
        <f t="shared" si="86"/>
        <v>0</v>
      </c>
      <c r="AN662" s="13">
        <f t="shared" si="87"/>
        <v>0</v>
      </c>
    </row>
    <row r="663" spans="1:40" x14ac:dyDescent="0.25">
      <c r="A663">
        <v>658</v>
      </c>
      <c r="B663" t="s">
        <v>654</v>
      </c>
      <c r="C663" t="s">
        <v>25</v>
      </c>
      <c r="D663" t="s">
        <v>40</v>
      </c>
      <c r="F663" s="514">
        <f>+'29'!F663+'30'!F663+'31'!F663</f>
        <v>158</v>
      </c>
      <c r="G663" s="12">
        <f>+'29'!G663+'30'!G663+'31'!G663</f>
        <v>204925</v>
      </c>
      <c r="H663" s="12">
        <f>+'29'!H663+'30'!H663+'31'!H663</f>
        <v>0</v>
      </c>
      <c r="I663" s="271"/>
      <c r="J663" s="514">
        <f>+'29'!J663+'30'!J663+'31'!J663</f>
        <v>0</v>
      </c>
      <c r="K663" s="12">
        <f>+'29'!K663+'30'!K663+'31'!K663</f>
        <v>0</v>
      </c>
      <c r="L663" s="12">
        <f>+'29'!L663+'30'!L663+'31'!L663</f>
        <v>0</v>
      </c>
      <c r="M663" s="271"/>
      <c r="N663" s="514">
        <f>+'29'!N663+'30'!N663+'31'!N663</f>
        <v>158</v>
      </c>
      <c r="O663" s="12">
        <f>+'29'!O663+'30'!O663+'31'!O663</f>
        <v>204925</v>
      </c>
      <c r="P663" s="12">
        <f>+'29'!P663+'30'!P663+'31'!P663</f>
        <v>0</v>
      </c>
      <c r="Q663" s="532"/>
      <c r="R663" s="270">
        <v>221</v>
      </c>
      <c r="S663" s="12">
        <v>368382</v>
      </c>
      <c r="T663" s="12">
        <v>0</v>
      </c>
      <c r="U663" s="271"/>
      <c r="V663" s="533">
        <f t="shared" si="81"/>
        <v>-63</v>
      </c>
      <c r="W663" s="533">
        <f t="shared" si="82"/>
        <v>-163457</v>
      </c>
      <c r="X663" s="257"/>
      <c r="Y663" s="261">
        <f t="shared" si="83"/>
        <v>-63</v>
      </c>
      <c r="Z663" s="12">
        <f t="shared" si="84"/>
        <v>-163457</v>
      </c>
      <c r="AB663" s="13">
        <f t="shared" si="80"/>
        <v>204925</v>
      </c>
      <c r="AF663" s="13">
        <f t="shared" si="85"/>
        <v>204925</v>
      </c>
      <c r="AM663" s="12">
        <f t="shared" si="86"/>
        <v>0</v>
      </c>
      <c r="AN663" s="13">
        <f t="shared" si="87"/>
        <v>204925</v>
      </c>
    </row>
    <row r="664" spans="1:40" x14ac:dyDescent="0.25">
      <c r="A664">
        <v>659</v>
      </c>
      <c r="B664" t="s">
        <v>655</v>
      </c>
      <c r="C664" t="s">
        <v>24</v>
      </c>
      <c r="D664" t="s">
        <v>20</v>
      </c>
      <c r="F664" s="514">
        <f>+'29'!F664+'30'!F664+'31'!F664</f>
        <v>8</v>
      </c>
      <c r="G664" s="12">
        <f>+'29'!G664+'30'!G664+'31'!G664</f>
        <v>4955.6499999999996</v>
      </c>
      <c r="H664" s="12">
        <f>+'29'!H664+'30'!H664+'31'!H664</f>
        <v>230</v>
      </c>
      <c r="I664" s="271"/>
      <c r="J664" s="514">
        <f>+'29'!J664+'30'!J664+'31'!J664</f>
        <v>0</v>
      </c>
      <c r="K664" s="12">
        <f>+'29'!K664+'30'!K664+'31'!K664</f>
        <v>0</v>
      </c>
      <c r="L664" s="12">
        <f>+'29'!L664+'30'!L664+'31'!L664</f>
        <v>0</v>
      </c>
      <c r="M664" s="271"/>
      <c r="N664" s="514">
        <f>+'29'!N664+'30'!N664+'31'!N664</f>
        <v>8</v>
      </c>
      <c r="O664" s="12">
        <f>+'29'!O664+'30'!O664+'31'!O664</f>
        <v>4955.6499999999996</v>
      </c>
      <c r="P664" s="12">
        <f>+'29'!P664+'30'!P664+'31'!P664</f>
        <v>230</v>
      </c>
      <c r="Q664" s="532"/>
      <c r="R664" s="270">
        <v>0</v>
      </c>
      <c r="S664" s="12">
        <v>0</v>
      </c>
      <c r="T664" s="12">
        <v>0</v>
      </c>
      <c r="U664" s="271"/>
      <c r="V664" s="533">
        <f t="shared" si="81"/>
        <v>8</v>
      </c>
      <c r="W664" s="533">
        <f t="shared" si="82"/>
        <v>4955.6499999999996</v>
      </c>
      <c r="X664" s="257"/>
      <c r="Y664" s="261">
        <f t="shared" si="83"/>
        <v>8</v>
      </c>
      <c r="Z664" s="12">
        <f t="shared" si="84"/>
        <v>4955.6499999999996</v>
      </c>
      <c r="AB664" s="13">
        <f t="shared" si="80"/>
        <v>4955.6499999999996</v>
      </c>
      <c r="AD664" s="16">
        <v>2322.77</v>
      </c>
      <c r="AF664" s="13">
        <f t="shared" si="85"/>
        <v>2632.8799999999997</v>
      </c>
      <c r="AG664" s="16">
        <v>2931.7</v>
      </c>
      <c r="AM664" s="12">
        <f t="shared" si="86"/>
        <v>2931.7</v>
      </c>
      <c r="AN664" s="13">
        <f t="shared" si="87"/>
        <v>-298.82000000000016</v>
      </c>
    </row>
    <row r="665" spans="1:40" x14ac:dyDescent="0.25">
      <c r="A665">
        <v>660</v>
      </c>
      <c r="B665" t="s">
        <v>656</v>
      </c>
      <c r="C665" t="s">
        <v>24</v>
      </c>
      <c r="D665" t="s">
        <v>20</v>
      </c>
      <c r="F665" s="514">
        <f>+'29'!F665+'30'!F665+'31'!F665</f>
        <v>47</v>
      </c>
      <c r="G665" s="12">
        <f>+'29'!G665+'30'!G665+'31'!G665</f>
        <v>10250</v>
      </c>
      <c r="H665" s="12">
        <f>+'29'!H665+'30'!H665+'31'!H665</f>
        <v>365</v>
      </c>
      <c r="I665" s="271"/>
      <c r="J665" s="514">
        <f>+'29'!J665+'30'!J665+'31'!J665</f>
        <v>0</v>
      </c>
      <c r="K665" s="12">
        <f>+'29'!K665+'30'!K665+'31'!K665</f>
        <v>0</v>
      </c>
      <c r="L665" s="12">
        <f>+'29'!L665+'30'!L665+'31'!L665</f>
        <v>0</v>
      </c>
      <c r="M665" s="271"/>
      <c r="N665" s="514">
        <f>+'29'!N665+'30'!N665+'31'!N665</f>
        <v>47</v>
      </c>
      <c r="O665" s="12">
        <f>+'29'!O665+'30'!O665+'31'!O665</f>
        <v>10250</v>
      </c>
      <c r="P665" s="12">
        <f>+'29'!P665+'30'!P665+'31'!P665</f>
        <v>365</v>
      </c>
      <c r="Q665" s="532"/>
      <c r="R665" s="270">
        <v>0</v>
      </c>
      <c r="S665" s="12">
        <v>0</v>
      </c>
      <c r="T665" s="12">
        <v>0</v>
      </c>
      <c r="U665" s="271"/>
      <c r="V665" s="533">
        <f t="shared" si="81"/>
        <v>47</v>
      </c>
      <c r="W665" s="533">
        <f t="shared" si="82"/>
        <v>10250</v>
      </c>
      <c r="X665" s="257"/>
      <c r="Y665" s="261">
        <f t="shared" si="83"/>
        <v>47</v>
      </c>
      <c r="Z665" s="12">
        <f t="shared" si="84"/>
        <v>10250</v>
      </c>
      <c r="AB665" s="13">
        <f t="shared" si="80"/>
        <v>10250</v>
      </c>
      <c r="AD665" s="16">
        <v>6811.16</v>
      </c>
      <c r="AF665" s="13">
        <f t="shared" si="85"/>
        <v>3438.84</v>
      </c>
      <c r="AG665" s="16">
        <v>6064.7292857142857</v>
      </c>
      <c r="AL665" s="33"/>
      <c r="AM665" s="12">
        <f t="shared" si="86"/>
        <v>6064.7292857142857</v>
      </c>
      <c r="AN665" s="13">
        <f t="shared" si="87"/>
        <v>-2625.8892857142855</v>
      </c>
    </row>
    <row r="666" spans="1:40" x14ac:dyDescent="0.25">
      <c r="A666">
        <v>661</v>
      </c>
      <c r="B666" t="s">
        <v>657</v>
      </c>
      <c r="C666" t="s">
        <v>15</v>
      </c>
      <c r="D666" t="s">
        <v>20</v>
      </c>
      <c r="F666" s="514">
        <f>+'29'!F666+'30'!F666+'31'!F666</f>
        <v>1029</v>
      </c>
      <c r="G666" s="12">
        <f>+'29'!G666+'30'!G666+'31'!G666</f>
        <v>12088418.85</v>
      </c>
      <c r="H666" s="12">
        <f>+'29'!H666+'30'!H666+'31'!H666</f>
        <v>75890</v>
      </c>
      <c r="I666" s="271"/>
      <c r="J666" s="514">
        <f>+'29'!J666+'30'!J666+'31'!J666</f>
        <v>0</v>
      </c>
      <c r="K666" s="12">
        <f>+'29'!K666+'30'!K666+'31'!K666</f>
        <v>0</v>
      </c>
      <c r="L666" s="12">
        <f>+'29'!L666+'30'!L666+'31'!L666</f>
        <v>0</v>
      </c>
      <c r="M666" s="271"/>
      <c r="N666" s="514">
        <f>+'29'!N666+'30'!N666+'31'!N666</f>
        <v>1029</v>
      </c>
      <c r="O666" s="12">
        <f>+'29'!O666+'30'!O666+'31'!O666</f>
        <v>12088418.85</v>
      </c>
      <c r="P666" s="12">
        <f>+'29'!P666+'30'!P666+'31'!P666</f>
        <v>75890</v>
      </c>
      <c r="Q666" s="532"/>
      <c r="R666" s="270">
        <v>0</v>
      </c>
      <c r="S666" s="12">
        <v>0</v>
      </c>
      <c r="T666" s="12">
        <v>0</v>
      </c>
      <c r="U666" s="271"/>
      <c r="V666" s="533">
        <f t="shared" si="81"/>
        <v>1029</v>
      </c>
      <c r="W666" s="533">
        <f t="shared" si="82"/>
        <v>12088418.85</v>
      </c>
      <c r="X666" s="257"/>
      <c r="Y666" s="261">
        <f t="shared" si="83"/>
        <v>1029</v>
      </c>
      <c r="Z666" s="12">
        <f t="shared" si="84"/>
        <v>12088418.85</v>
      </c>
      <c r="AB666" s="13">
        <f t="shared" si="80"/>
        <v>12088418.85</v>
      </c>
      <c r="AD666" s="16">
        <v>398263.84</v>
      </c>
      <c r="AF666" s="13">
        <f t="shared" si="85"/>
        <v>11690155.01</v>
      </c>
      <c r="AG666" s="16">
        <v>558579.01428571425</v>
      </c>
      <c r="AM666" s="12">
        <f t="shared" si="86"/>
        <v>558579.01428571425</v>
      </c>
      <c r="AN666" s="13">
        <f t="shared" si="87"/>
        <v>11131575.995714286</v>
      </c>
    </row>
    <row r="667" spans="1:40" x14ac:dyDescent="0.25">
      <c r="A667">
        <v>662</v>
      </c>
      <c r="B667" t="s">
        <v>658</v>
      </c>
      <c r="C667" t="s">
        <v>24</v>
      </c>
      <c r="D667" t="s">
        <v>659</v>
      </c>
      <c r="F667" s="514">
        <f>+'29'!F667+'30'!F667+'31'!F667</f>
        <v>1</v>
      </c>
      <c r="G667" s="12">
        <f>+'29'!G667+'30'!G667+'31'!G667</f>
        <v>100</v>
      </c>
      <c r="H667" s="12">
        <f>+'29'!H667+'30'!H667+'31'!H667</f>
        <v>5</v>
      </c>
      <c r="I667" s="271"/>
      <c r="J667" s="514">
        <f>+'29'!J667+'30'!J667+'31'!J667</f>
        <v>0</v>
      </c>
      <c r="K667" s="12">
        <f>+'29'!K667+'30'!K667+'31'!K667</f>
        <v>0</v>
      </c>
      <c r="L667" s="12">
        <f>+'29'!L667+'30'!L667+'31'!L667</f>
        <v>0</v>
      </c>
      <c r="M667" s="271"/>
      <c r="N667" s="514">
        <f>+'29'!N667+'30'!N667+'31'!N667</f>
        <v>1</v>
      </c>
      <c r="O667" s="12">
        <f>+'29'!O667+'30'!O667+'31'!O667</f>
        <v>100</v>
      </c>
      <c r="P667" s="12">
        <f>+'29'!P667+'30'!P667+'31'!P667</f>
        <v>5</v>
      </c>
      <c r="Q667" s="532"/>
      <c r="R667" s="270">
        <v>0</v>
      </c>
      <c r="S667" s="12">
        <v>0</v>
      </c>
      <c r="T667" s="12">
        <v>0</v>
      </c>
      <c r="U667" s="271"/>
      <c r="V667" s="533">
        <f t="shared" si="81"/>
        <v>1</v>
      </c>
      <c r="W667" s="533">
        <f t="shared" si="82"/>
        <v>100</v>
      </c>
      <c r="X667" s="257"/>
      <c r="Y667" s="261">
        <f t="shared" si="83"/>
        <v>1</v>
      </c>
      <c r="Z667" s="12">
        <f t="shared" si="84"/>
        <v>100</v>
      </c>
      <c r="AB667" s="13">
        <f t="shared" si="80"/>
        <v>100</v>
      </c>
      <c r="AD667" s="16">
        <v>142.41071428571428</v>
      </c>
      <c r="AF667" s="13">
        <f t="shared" si="85"/>
        <v>-42.410714285714278</v>
      </c>
      <c r="AG667" s="16">
        <v>412.50142857142856</v>
      </c>
      <c r="AM667" s="12">
        <f t="shared" si="86"/>
        <v>412.50142857142856</v>
      </c>
      <c r="AN667" s="13">
        <f t="shared" si="87"/>
        <v>-454.91214285714284</v>
      </c>
    </row>
    <row r="668" spans="1:40" x14ac:dyDescent="0.25">
      <c r="A668">
        <v>663</v>
      </c>
      <c r="B668" t="s">
        <v>660</v>
      </c>
      <c r="C668" t="s">
        <v>24</v>
      </c>
      <c r="D668" t="s">
        <v>659</v>
      </c>
      <c r="F668" s="514">
        <f>+'29'!F668+'30'!F668+'31'!F668</f>
        <v>0</v>
      </c>
      <c r="G668" s="12">
        <f>+'29'!G668+'30'!G668+'31'!G668</f>
        <v>0</v>
      </c>
      <c r="H668" s="12">
        <f>+'29'!H668+'30'!H668+'31'!H668</f>
        <v>0</v>
      </c>
      <c r="I668" s="271"/>
      <c r="J668" s="514">
        <f>+'29'!J668+'30'!J668+'31'!J668</f>
        <v>0</v>
      </c>
      <c r="K668" s="12">
        <f>+'29'!K668+'30'!K668+'31'!K668</f>
        <v>0</v>
      </c>
      <c r="L668" s="12">
        <f>+'29'!L668+'30'!L668+'31'!L668</f>
        <v>0</v>
      </c>
      <c r="M668" s="271"/>
      <c r="N668" s="514">
        <f>+'29'!N668+'30'!N668+'31'!N668</f>
        <v>0</v>
      </c>
      <c r="O668" s="12">
        <f>+'29'!O668+'30'!O668+'31'!O668</f>
        <v>0</v>
      </c>
      <c r="P668" s="12">
        <f>+'29'!P668+'30'!P668+'31'!P668</f>
        <v>0</v>
      </c>
      <c r="Q668" s="532"/>
      <c r="R668" s="270">
        <v>0</v>
      </c>
      <c r="S668" s="12">
        <v>0</v>
      </c>
      <c r="T668" s="12">
        <v>0</v>
      </c>
      <c r="U668" s="271"/>
      <c r="V668" s="533">
        <f t="shared" si="81"/>
        <v>0</v>
      </c>
      <c r="W668" s="533">
        <f t="shared" si="82"/>
        <v>0</v>
      </c>
      <c r="X668" s="257"/>
      <c r="Y668" s="261">
        <f t="shared" si="83"/>
        <v>0</v>
      </c>
      <c r="Z668" s="12">
        <f t="shared" si="84"/>
        <v>0</v>
      </c>
      <c r="AB668" s="13">
        <f t="shared" si="80"/>
        <v>0</v>
      </c>
      <c r="AF668" s="13">
        <f t="shared" si="85"/>
        <v>0</v>
      </c>
      <c r="AM668" s="12">
        <f t="shared" si="86"/>
        <v>0</v>
      </c>
      <c r="AN668" s="13">
        <f t="shared" si="87"/>
        <v>0</v>
      </c>
    </row>
    <row r="669" spans="1:40" x14ac:dyDescent="0.25">
      <c r="A669">
        <v>664</v>
      </c>
      <c r="B669" t="s">
        <v>661</v>
      </c>
      <c r="D669" t="s">
        <v>40</v>
      </c>
      <c r="F669" s="514">
        <f>+'29'!F669+'30'!F669+'31'!F669</f>
        <v>4</v>
      </c>
      <c r="G669" s="12">
        <f>+'29'!G669+'30'!G669+'31'!G669</f>
        <v>24947.5</v>
      </c>
      <c r="H669" s="12">
        <f>+'29'!H669+'30'!H669+'31'!H669</f>
        <v>0</v>
      </c>
      <c r="I669" s="271"/>
      <c r="J669" s="514">
        <f>+'29'!J669+'30'!J669+'31'!J669</f>
        <v>0</v>
      </c>
      <c r="K669" s="12">
        <f>+'29'!K669+'30'!K669+'31'!K669</f>
        <v>0</v>
      </c>
      <c r="L669" s="12">
        <f>+'29'!L669+'30'!L669+'31'!L669</f>
        <v>0</v>
      </c>
      <c r="M669" s="271"/>
      <c r="N669" s="514">
        <f>+'29'!N669+'30'!N669+'31'!N669</f>
        <v>4</v>
      </c>
      <c r="O669" s="12">
        <f>+'29'!O669+'30'!O669+'31'!O669</f>
        <v>24947.5</v>
      </c>
      <c r="P669" s="12">
        <f>+'29'!P669+'30'!P669+'31'!P669</f>
        <v>0</v>
      </c>
      <c r="Q669" s="532"/>
      <c r="R669" s="270">
        <v>0</v>
      </c>
      <c r="S669" s="12">
        <v>0</v>
      </c>
      <c r="T669" s="12">
        <v>0</v>
      </c>
      <c r="U669" s="271"/>
      <c r="V669" s="533">
        <f t="shared" si="81"/>
        <v>4</v>
      </c>
      <c r="W669" s="533">
        <f t="shared" si="82"/>
        <v>24947.5</v>
      </c>
      <c r="X669" s="257"/>
      <c r="Y669" s="261">
        <f t="shared" si="83"/>
        <v>4</v>
      </c>
      <c r="Z669" s="12">
        <f t="shared" si="84"/>
        <v>24947.5</v>
      </c>
      <c r="AB669" s="13">
        <f t="shared" si="80"/>
        <v>24947.5</v>
      </c>
      <c r="AF669" s="13">
        <f t="shared" si="85"/>
        <v>24947.5</v>
      </c>
      <c r="AM669" s="12">
        <f t="shared" si="86"/>
        <v>0</v>
      </c>
      <c r="AN669" s="13">
        <f t="shared" si="87"/>
        <v>24947.5</v>
      </c>
    </row>
    <row r="670" spans="1:40" x14ac:dyDescent="0.25">
      <c r="A670">
        <v>665</v>
      </c>
      <c r="B670" t="s">
        <v>662</v>
      </c>
      <c r="D670" t="s">
        <v>16</v>
      </c>
      <c r="F670" s="514">
        <f>+'29'!F670+'30'!F670+'31'!F670</f>
        <v>0</v>
      </c>
      <c r="G670" s="12">
        <f>+'29'!G670+'30'!G670+'31'!G670</f>
        <v>0</v>
      </c>
      <c r="H670" s="12">
        <f>+'29'!H670+'30'!H670+'31'!H670</f>
        <v>0</v>
      </c>
      <c r="I670" s="271"/>
      <c r="J670" s="514">
        <f>+'29'!J670+'30'!J670+'31'!J670</f>
        <v>0</v>
      </c>
      <c r="K670" s="12">
        <f>+'29'!K670+'30'!K670+'31'!K670</f>
        <v>0</v>
      </c>
      <c r="L670" s="12">
        <f>+'29'!L670+'30'!L670+'31'!L670</f>
        <v>0</v>
      </c>
      <c r="M670" s="271"/>
      <c r="N670" s="514">
        <f>+'29'!N670+'30'!N670+'31'!N670</f>
        <v>0</v>
      </c>
      <c r="O670" s="12">
        <f>+'29'!O670+'30'!O670+'31'!O670</f>
        <v>0</v>
      </c>
      <c r="P670" s="12">
        <f>+'29'!P670+'30'!P670+'31'!P670</f>
        <v>0</v>
      </c>
      <c r="Q670" s="532"/>
      <c r="R670" s="270">
        <v>0</v>
      </c>
      <c r="S670" s="12">
        <v>0</v>
      </c>
      <c r="T670" s="12">
        <v>0</v>
      </c>
      <c r="U670" s="271"/>
      <c r="V670" s="533">
        <f t="shared" si="81"/>
        <v>0</v>
      </c>
      <c r="W670" s="533">
        <f t="shared" si="82"/>
        <v>0</v>
      </c>
      <c r="X670" s="257"/>
      <c r="Y670" s="261">
        <f t="shared" si="83"/>
        <v>0</v>
      </c>
      <c r="Z670" s="12">
        <f t="shared" si="84"/>
        <v>0</v>
      </c>
      <c r="AB670" s="13">
        <f t="shared" si="80"/>
        <v>0</v>
      </c>
      <c r="AF670" s="13">
        <f t="shared" si="85"/>
        <v>0</v>
      </c>
      <c r="AM670" s="12">
        <f t="shared" si="86"/>
        <v>0</v>
      </c>
      <c r="AN670" s="13">
        <f t="shared" si="87"/>
        <v>0</v>
      </c>
    </row>
    <row r="671" spans="1:40" x14ac:dyDescent="0.25">
      <c r="A671">
        <v>666</v>
      </c>
      <c r="B671" t="s">
        <v>663</v>
      </c>
      <c r="D671" t="s">
        <v>16</v>
      </c>
      <c r="F671" s="514">
        <f>+'29'!F671+'30'!F671+'31'!F671</f>
        <v>0</v>
      </c>
      <c r="G671" s="12">
        <f>+'29'!G671+'30'!G671+'31'!G671</f>
        <v>0</v>
      </c>
      <c r="H671" s="12">
        <f>+'29'!H671+'30'!H671+'31'!H671</f>
        <v>0</v>
      </c>
      <c r="I671" s="271"/>
      <c r="J671" s="514">
        <f>+'29'!J671+'30'!J671+'31'!J671</f>
        <v>0</v>
      </c>
      <c r="K671" s="12">
        <f>+'29'!K671+'30'!K671+'31'!K671</f>
        <v>0</v>
      </c>
      <c r="L671" s="12">
        <f>+'29'!L671+'30'!L671+'31'!L671</f>
        <v>0</v>
      </c>
      <c r="M671" s="271"/>
      <c r="N671" s="514">
        <f>+'29'!N671+'30'!N671+'31'!N671</f>
        <v>0</v>
      </c>
      <c r="O671" s="12">
        <f>+'29'!O671+'30'!O671+'31'!O671</f>
        <v>0</v>
      </c>
      <c r="P671" s="12">
        <f>+'29'!P671+'30'!P671+'31'!P671</f>
        <v>0</v>
      </c>
      <c r="Q671" s="532"/>
      <c r="R671" s="270">
        <v>0</v>
      </c>
      <c r="S671" s="12">
        <v>0</v>
      </c>
      <c r="T671" s="12">
        <v>0</v>
      </c>
      <c r="U671" s="271"/>
      <c r="V671" s="533">
        <f t="shared" si="81"/>
        <v>0</v>
      </c>
      <c r="W671" s="533">
        <f t="shared" si="82"/>
        <v>0</v>
      </c>
      <c r="X671" s="257"/>
      <c r="Y671" s="261">
        <f t="shared" si="83"/>
        <v>0</v>
      </c>
      <c r="Z671" s="12">
        <f t="shared" si="84"/>
        <v>0</v>
      </c>
      <c r="AB671" s="13">
        <f t="shared" si="80"/>
        <v>0</v>
      </c>
      <c r="AF671" s="13">
        <f t="shared" si="85"/>
        <v>0</v>
      </c>
      <c r="AM671" s="12">
        <f t="shared" si="86"/>
        <v>0</v>
      </c>
      <c r="AN671" s="13">
        <f t="shared" si="87"/>
        <v>0</v>
      </c>
    </row>
    <row r="672" spans="1:40" x14ac:dyDescent="0.25">
      <c r="A672">
        <v>667</v>
      </c>
      <c r="B672" t="s">
        <v>664</v>
      </c>
      <c r="D672" t="s">
        <v>16</v>
      </c>
      <c r="F672" s="514">
        <f>+'29'!F672+'30'!F672+'31'!F672</f>
        <v>0</v>
      </c>
      <c r="G672" s="12">
        <f>+'29'!G672+'30'!G672+'31'!G672</f>
        <v>0</v>
      </c>
      <c r="H672" s="12">
        <f>+'29'!H672+'30'!H672+'31'!H672</f>
        <v>0</v>
      </c>
      <c r="I672" s="271"/>
      <c r="J672" s="514">
        <f>+'29'!J672+'30'!J672+'31'!J672</f>
        <v>0</v>
      </c>
      <c r="K672" s="12">
        <f>+'29'!K672+'30'!K672+'31'!K672</f>
        <v>0</v>
      </c>
      <c r="L672" s="12">
        <f>+'29'!L672+'30'!L672+'31'!L672</f>
        <v>0</v>
      </c>
      <c r="M672" s="271"/>
      <c r="N672" s="514">
        <f>+'29'!N672+'30'!N672+'31'!N672</f>
        <v>0</v>
      </c>
      <c r="O672" s="12">
        <f>+'29'!O672+'30'!O672+'31'!O672</f>
        <v>0</v>
      </c>
      <c r="P672" s="12">
        <f>+'29'!P672+'30'!P672+'31'!P672</f>
        <v>0</v>
      </c>
      <c r="Q672" s="532"/>
      <c r="R672" s="270">
        <v>0</v>
      </c>
      <c r="S672" s="12">
        <v>0</v>
      </c>
      <c r="T672" s="12">
        <v>0</v>
      </c>
      <c r="U672" s="271"/>
      <c r="V672" s="533">
        <f t="shared" si="81"/>
        <v>0</v>
      </c>
      <c r="W672" s="533">
        <f t="shared" si="82"/>
        <v>0</v>
      </c>
      <c r="X672" s="257"/>
      <c r="Y672" s="261">
        <f t="shared" si="83"/>
        <v>0</v>
      </c>
      <c r="Z672" s="12">
        <f t="shared" si="84"/>
        <v>0</v>
      </c>
      <c r="AB672" s="13">
        <f t="shared" si="80"/>
        <v>0</v>
      </c>
      <c r="AF672" s="13">
        <f t="shared" si="85"/>
        <v>0</v>
      </c>
      <c r="AK672" s="33">
        <v>67610</v>
      </c>
      <c r="AM672" s="12">
        <f t="shared" si="86"/>
        <v>67610</v>
      </c>
      <c r="AN672" s="13">
        <f t="shared" si="87"/>
        <v>-67610</v>
      </c>
    </row>
    <row r="673" spans="1:40" x14ac:dyDescent="0.25">
      <c r="A673">
        <v>668</v>
      </c>
      <c r="B673" t="s">
        <v>665</v>
      </c>
      <c r="D673" t="s">
        <v>327</v>
      </c>
      <c r="F673" s="514">
        <f>+'29'!F673+'30'!F673+'31'!F673</f>
        <v>216</v>
      </c>
      <c r="G673" s="12">
        <f>+'29'!G673+'30'!G673+'31'!G673</f>
        <v>7722892.54</v>
      </c>
      <c r="H673" s="12">
        <f>+'29'!H673+'30'!H673+'31'!H673</f>
        <v>32400</v>
      </c>
      <c r="I673" s="271"/>
      <c r="J673" s="514">
        <f>+'29'!J673+'30'!J673+'31'!J673</f>
        <v>-6</v>
      </c>
      <c r="K673" s="12">
        <f>+'29'!K673+'30'!K673+'31'!K673</f>
        <v>-263115.25</v>
      </c>
      <c r="L673" s="12">
        <f>+'29'!L673+'30'!L673+'31'!L673</f>
        <v>-900</v>
      </c>
      <c r="M673" s="271"/>
      <c r="N673" s="514">
        <f>+'29'!N673+'30'!N673+'31'!N673</f>
        <v>210</v>
      </c>
      <c r="O673" s="12">
        <f>+'29'!O673+'30'!O673+'31'!O673</f>
        <v>7459777.29</v>
      </c>
      <c r="P673" s="12">
        <f>+'29'!P673+'30'!P673+'31'!P673</f>
        <v>31500</v>
      </c>
      <c r="Q673" s="532"/>
      <c r="R673" s="270">
        <v>0</v>
      </c>
      <c r="S673" s="12">
        <v>0</v>
      </c>
      <c r="T673" s="12">
        <v>0</v>
      </c>
      <c r="U673" s="271"/>
      <c r="V673" s="533">
        <f t="shared" si="81"/>
        <v>210</v>
      </c>
      <c r="W673" s="533">
        <f t="shared" si="82"/>
        <v>7459777.29</v>
      </c>
      <c r="X673" s="257"/>
      <c r="Y673" s="261">
        <f t="shared" si="83"/>
        <v>210</v>
      </c>
      <c r="Z673" s="12">
        <f t="shared" si="84"/>
        <v>7459777.29</v>
      </c>
      <c r="AB673" s="13">
        <f t="shared" si="80"/>
        <v>7459777.29</v>
      </c>
      <c r="AD673" s="16">
        <v>291401.78999999998</v>
      </c>
      <c r="AF673" s="13">
        <f t="shared" si="85"/>
        <v>7168375.5</v>
      </c>
      <c r="AG673" s="16">
        <v>87950.892857142855</v>
      </c>
      <c r="AM673" s="12">
        <f t="shared" si="86"/>
        <v>87950.892857142855</v>
      </c>
      <c r="AN673" s="13">
        <f t="shared" si="87"/>
        <v>7080424.6071428573</v>
      </c>
    </row>
    <row r="674" spans="1:40" x14ac:dyDescent="0.25">
      <c r="A674">
        <v>669</v>
      </c>
      <c r="B674" t="s">
        <v>666</v>
      </c>
      <c r="D674" t="s">
        <v>16</v>
      </c>
      <c r="F674" s="514">
        <f>+'29'!F674+'30'!F674+'31'!F674</f>
        <v>0</v>
      </c>
      <c r="G674" s="12">
        <f>+'29'!G674+'30'!G674+'31'!G674</f>
        <v>0</v>
      </c>
      <c r="H674" s="12">
        <f>+'29'!H674+'30'!H674+'31'!H674</f>
        <v>0</v>
      </c>
      <c r="I674" s="271"/>
      <c r="J674" s="514">
        <f>+'29'!J674+'30'!J674+'31'!J674</f>
        <v>0</v>
      </c>
      <c r="K674" s="12">
        <f>+'29'!K674+'30'!K674+'31'!K674</f>
        <v>0</v>
      </c>
      <c r="L674" s="12">
        <f>+'29'!L674+'30'!L674+'31'!L674</f>
        <v>0</v>
      </c>
      <c r="M674" s="271"/>
      <c r="N674" s="514">
        <f>+'29'!N674+'30'!N674+'31'!N674</f>
        <v>0</v>
      </c>
      <c r="O674" s="12">
        <f>+'29'!O674+'30'!O674+'31'!O674</f>
        <v>0</v>
      </c>
      <c r="P674" s="12">
        <f>+'29'!P674+'30'!P674+'31'!P674</f>
        <v>0</v>
      </c>
      <c r="Q674" s="532"/>
      <c r="R674" s="270">
        <v>0</v>
      </c>
      <c r="S674" s="12">
        <v>0</v>
      </c>
      <c r="T674" s="12">
        <v>0</v>
      </c>
      <c r="U674" s="271"/>
      <c r="V674" s="533">
        <f t="shared" si="81"/>
        <v>0</v>
      </c>
      <c r="W674" s="533">
        <f t="shared" si="82"/>
        <v>0</v>
      </c>
      <c r="X674" s="257"/>
      <c r="Y674" s="261">
        <f t="shared" si="83"/>
        <v>0</v>
      </c>
      <c r="Z674" s="12">
        <f t="shared" si="84"/>
        <v>0</v>
      </c>
      <c r="AB674" s="13">
        <f t="shared" si="80"/>
        <v>0</v>
      </c>
      <c r="AF674" s="13">
        <f t="shared" si="85"/>
        <v>0</v>
      </c>
      <c r="AM674" s="12">
        <f t="shared" si="86"/>
        <v>0</v>
      </c>
      <c r="AN674" s="13">
        <f t="shared" si="87"/>
        <v>0</v>
      </c>
    </row>
    <row r="675" spans="1:40" x14ac:dyDescent="0.25">
      <c r="A675">
        <v>670</v>
      </c>
      <c r="B675" t="s">
        <v>667</v>
      </c>
      <c r="D675" t="s">
        <v>16</v>
      </c>
      <c r="F675" s="514">
        <f>+'29'!F675+'30'!F675+'31'!F675</f>
        <v>0</v>
      </c>
      <c r="G675" s="12">
        <f>+'29'!G675+'30'!G675+'31'!G675</f>
        <v>0</v>
      </c>
      <c r="H675" s="12">
        <f>+'29'!H675+'30'!H675+'31'!H675</f>
        <v>0</v>
      </c>
      <c r="I675" s="271"/>
      <c r="J675" s="514">
        <f>+'29'!J675+'30'!J675+'31'!J675</f>
        <v>0</v>
      </c>
      <c r="K675" s="12">
        <f>+'29'!K675+'30'!K675+'31'!K675</f>
        <v>0</v>
      </c>
      <c r="L675" s="12">
        <f>+'29'!L675+'30'!L675+'31'!L675</f>
        <v>0</v>
      </c>
      <c r="M675" s="271"/>
      <c r="N675" s="514">
        <f>+'29'!N675+'30'!N675+'31'!N675</f>
        <v>0</v>
      </c>
      <c r="O675" s="12">
        <f>+'29'!O675+'30'!O675+'31'!O675</f>
        <v>0</v>
      </c>
      <c r="P675" s="12">
        <f>+'29'!P675+'30'!P675+'31'!P675</f>
        <v>0</v>
      </c>
      <c r="Q675" s="532"/>
      <c r="R675" s="270">
        <v>0</v>
      </c>
      <c r="S675" s="12">
        <v>0</v>
      </c>
      <c r="T675" s="12">
        <v>0</v>
      </c>
      <c r="U675" s="271"/>
      <c r="V675" s="533">
        <f t="shared" si="81"/>
        <v>0</v>
      </c>
      <c r="W675" s="533">
        <f t="shared" si="82"/>
        <v>0</v>
      </c>
      <c r="X675" s="257"/>
      <c r="Y675" s="261">
        <f t="shared" si="83"/>
        <v>0</v>
      </c>
      <c r="Z675" s="12">
        <f t="shared" si="84"/>
        <v>0</v>
      </c>
      <c r="AB675" s="13">
        <f t="shared" si="80"/>
        <v>0</v>
      </c>
      <c r="AF675" s="13">
        <f t="shared" si="85"/>
        <v>0</v>
      </c>
      <c r="AK675" s="33">
        <v>30300</v>
      </c>
      <c r="AM675" s="12">
        <f t="shared" si="86"/>
        <v>30300</v>
      </c>
      <c r="AN675" s="13">
        <f t="shared" si="87"/>
        <v>-30300</v>
      </c>
    </row>
    <row r="676" spans="1:40" x14ac:dyDescent="0.25">
      <c r="A676">
        <v>671</v>
      </c>
      <c r="B676" t="s">
        <v>668</v>
      </c>
      <c r="D676" t="s">
        <v>16</v>
      </c>
      <c r="F676" s="514">
        <f>+'29'!F676+'30'!F676+'31'!F676</f>
        <v>2</v>
      </c>
      <c r="G676" s="12">
        <f>+'29'!G676+'30'!G676+'31'!G676</f>
        <v>140</v>
      </c>
      <c r="H676" s="12">
        <f>+'29'!H676+'30'!H676+'31'!H676</f>
        <v>14</v>
      </c>
      <c r="I676" s="271"/>
      <c r="J676" s="514">
        <f>+'29'!J676+'30'!J676+'31'!J676</f>
        <v>0</v>
      </c>
      <c r="K676" s="12">
        <f>+'29'!K676+'30'!K676+'31'!K676</f>
        <v>0</v>
      </c>
      <c r="L676" s="12">
        <f>+'29'!L676+'30'!L676+'31'!L676</f>
        <v>0</v>
      </c>
      <c r="M676" s="271"/>
      <c r="N676" s="514">
        <f>+'29'!N676+'30'!N676+'31'!N676</f>
        <v>2</v>
      </c>
      <c r="O676" s="12">
        <f>+'29'!O676+'30'!O676+'31'!O676</f>
        <v>140</v>
      </c>
      <c r="P676" s="12">
        <f>+'29'!P676+'30'!P676+'31'!P676</f>
        <v>14</v>
      </c>
      <c r="Q676" s="532"/>
      <c r="R676" s="270">
        <v>0</v>
      </c>
      <c r="S676" s="12">
        <v>0</v>
      </c>
      <c r="T676" s="12">
        <v>0</v>
      </c>
      <c r="U676" s="271"/>
      <c r="V676" s="533">
        <f t="shared" si="81"/>
        <v>2</v>
      </c>
      <c r="W676" s="533">
        <f t="shared" si="82"/>
        <v>140</v>
      </c>
      <c r="X676" s="257"/>
      <c r="Y676" s="261">
        <f t="shared" si="83"/>
        <v>2</v>
      </c>
      <c r="Z676" s="12">
        <f t="shared" si="84"/>
        <v>140</v>
      </c>
      <c r="AB676" s="13">
        <f t="shared" si="80"/>
        <v>140</v>
      </c>
      <c r="AF676" s="13">
        <f t="shared" si="85"/>
        <v>140</v>
      </c>
      <c r="AM676" s="12">
        <f t="shared" si="86"/>
        <v>0</v>
      </c>
      <c r="AN676" s="13">
        <f t="shared" si="87"/>
        <v>140</v>
      </c>
    </row>
    <row r="677" spans="1:40" x14ac:dyDescent="0.25">
      <c r="A677">
        <v>672</v>
      </c>
      <c r="B677" t="s">
        <v>669</v>
      </c>
      <c r="D677" t="s">
        <v>16</v>
      </c>
      <c r="F677" s="514">
        <f>+'29'!F677+'30'!F677+'31'!F677</f>
        <v>0</v>
      </c>
      <c r="G677" s="12">
        <f>+'29'!G677+'30'!G677+'31'!G677</f>
        <v>0</v>
      </c>
      <c r="H677" s="12">
        <f>+'29'!H677+'30'!H677+'31'!H677</f>
        <v>0</v>
      </c>
      <c r="I677" s="271"/>
      <c r="J677" s="514">
        <f>+'29'!J677+'30'!J677+'31'!J677</f>
        <v>0</v>
      </c>
      <c r="K677" s="12">
        <f>+'29'!K677+'30'!K677+'31'!K677</f>
        <v>0</v>
      </c>
      <c r="L677" s="12">
        <f>+'29'!L677+'30'!L677+'31'!L677</f>
        <v>0</v>
      </c>
      <c r="M677" s="271"/>
      <c r="N677" s="514">
        <f>+'29'!N677+'30'!N677+'31'!N677</f>
        <v>0</v>
      </c>
      <c r="O677" s="12">
        <f>+'29'!O677+'30'!O677+'31'!O677</f>
        <v>0</v>
      </c>
      <c r="P677" s="12">
        <f>+'29'!P677+'30'!P677+'31'!P677</f>
        <v>0</v>
      </c>
      <c r="Q677" s="532"/>
      <c r="R677" s="270">
        <v>0</v>
      </c>
      <c r="S677" s="12">
        <v>0</v>
      </c>
      <c r="T677" s="12">
        <v>0</v>
      </c>
      <c r="U677" s="271"/>
      <c r="V677" s="533">
        <f t="shared" si="81"/>
        <v>0</v>
      </c>
      <c r="W677" s="533">
        <f t="shared" si="82"/>
        <v>0</v>
      </c>
      <c r="X677" s="257"/>
      <c r="Y677" s="261">
        <f t="shared" si="83"/>
        <v>0</v>
      </c>
      <c r="Z677" s="12">
        <f t="shared" si="84"/>
        <v>0</v>
      </c>
      <c r="AB677" s="13">
        <f t="shared" si="80"/>
        <v>0</v>
      </c>
      <c r="AF677" s="13">
        <f t="shared" si="85"/>
        <v>0</v>
      </c>
      <c r="AM677" s="12">
        <f t="shared" si="86"/>
        <v>0</v>
      </c>
      <c r="AN677" s="13">
        <f t="shared" si="87"/>
        <v>0</v>
      </c>
    </row>
    <row r="678" spans="1:40" x14ac:dyDescent="0.25">
      <c r="A678">
        <v>673</v>
      </c>
      <c r="B678" t="s">
        <v>670</v>
      </c>
      <c r="D678" t="s">
        <v>16</v>
      </c>
      <c r="F678" s="514">
        <f>+'29'!F678+'30'!F678+'31'!F678</f>
        <v>0</v>
      </c>
      <c r="G678" s="12">
        <f>+'29'!G678+'30'!G678+'31'!G678</f>
        <v>0</v>
      </c>
      <c r="H678" s="12">
        <f>+'29'!H678+'30'!H678+'31'!H678</f>
        <v>0</v>
      </c>
      <c r="I678" s="271"/>
      <c r="J678" s="514">
        <f>+'29'!J678+'30'!J678+'31'!J678</f>
        <v>0</v>
      </c>
      <c r="K678" s="12">
        <f>+'29'!K678+'30'!K678+'31'!K678</f>
        <v>0</v>
      </c>
      <c r="L678" s="12">
        <f>+'29'!L678+'30'!L678+'31'!L678</f>
        <v>0</v>
      </c>
      <c r="M678" s="271"/>
      <c r="N678" s="514">
        <f>+'29'!N678+'30'!N678+'31'!N678</f>
        <v>0</v>
      </c>
      <c r="O678" s="12">
        <f>+'29'!O678+'30'!O678+'31'!O678</f>
        <v>0</v>
      </c>
      <c r="P678" s="12">
        <f>+'29'!P678+'30'!P678+'31'!P678</f>
        <v>0</v>
      </c>
      <c r="Q678" s="532"/>
      <c r="R678" s="270">
        <v>0</v>
      </c>
      <c r="S678" s="12">
        <v>0</v>
      </c>
      <c r="T678" s="12">
        <v>0</v>
      </c>
      <c r="U678" s="271"/>
      <c r="V678" s="533">
        <f t="shared" si="81"/>
        <v>0</v>
      </c>
      <c r="W678" s="533">
        <f t="shared" si="82"/>
        <v>0</v>
      </c>
      <c r="X678" s="257"/>
      <c r="Y678" s="261">
        <f t="shared" si="83"/>
        <v>0</v>
      </c>
      <c r="Z678" s="12">
        <f t="shared" si="84"/>
        <v>0</v>
      </c>
      <c r="AB678" s="13">
        <f t="shared" si="80"/>
        <v>0</v>
      </c>
      <c r="AD678" s="16"/>
      <c r="AF678" s="13">
        <f t="shared" si="85"/>
        <v>0</v>
      </c>
      <c r="AG678" s="16"/>
      <c r="AM678" s="12">
        <f t="shared" si="86"/>
        <v>0</v>
      </c>
      <c r="AN678" s="13">
        <f t="shared" si="87"/>
        <v>0</v>
      </c>
    </row>
    <row r="679" spans="1:40" x14ac:dyDescent="0.25">
      <c r="A679">
        <v>674</v>
      </c>
      <c r="B679" t="s">
        <v>671</v>
      </c>
      <c r="D679" t="s">
        <v>16</v>
      </c>
      <c r="F679" s="514">
        <f>+'29'!F679+'30'!F679+'31'!F679</f>
        <v>0</v>
      </c>
      <c r="G679" s="12">
        <f>+'29'!G679+'30'!G679+'31'!G679</f>
        <v>0</v>
      </c>
      <c r="H679" s="12">
        <f>+'29'!H679+'30'!H679+'31'!H679</f>
        <v>0</v>
      </c>
      <c r="I679" s="271"/>
      <c r="J679" s="514">
        <f>+'29'!J679+'30'!J679+'31'!J679</f>
        <v>0</v>
      </c>
      <c r="K679" s="12">
        <f>+'29'!K679+'30'!K679+'31'!K679</f>
        <v>0</v>
      </c>
      <c r="L679" s="12">
        <f>+'29'!L679+'30'!L679+'31'!L679</f>
        <v>0</v>
      </c>
      <c r="M679" s="271"/>
      <c r="N679" s="514">
        <f>+'29'!N679+'30'!N679+'31'!N679</f>
        <v>0</v>
      </c>
      <c r="O679" s="12">
        <f>+'29'!O679+'30'!O679+'31'!O679</f>
        <v>0</v>
      </c>
      <c r="P679" s="12">
        <f>+'29'!P679+'30'!P679+'31'!P679</f>
        <v>0</v>
      </c>
      <c r="Q679" s="532"/>
      <c r="R679" s="270">
        <v>0</v>
      </c>
      <c r="S679" s="12">
        <v>0</v>
      </c>
      <c r="T679" s="12">
        <v>0</v>
      </c>
      <c r="U679" s="271"/>
      <c r="V679" s="533">
        <f t="shared" si="81"/>
        <v>0</v>
      </c>
      <c r="W679" s="533">
        <f t="shared" si="82"/>
        <v>0</v>
      </c>
      <c r="X679" s="257"/>
      <c r="Y679" s="261">
        <f t="shared" si="83"/>
        <v>0</v>
      </c>
      <c r="Z679" s="12">
        <f t="shared" si="84"/>
        <v>0</v>
      </c>
      <c r="AB679" s="13">
        <f t="shared" si="80"/>
        <v>0</v>
      </c>
      <c r="AF679" s="13">
        <f t="shared" si="85"/>
        <v>0</v>
      </c>
      <c r="AM679" s="12">
        <f t="shared" si="86"/>
        <v>0</v>
      </c>
      <c r="AN679" s="13">
        <f t="shared" si="87"/>
        <v>0</v>
      </c>
    </row>
    <row r="680" spans="1:40" x14ac:dyDescent="0.25">
      <c r="A680">
        <v>675</v>
      </c>
      <c r="B680" t="s">
        <v>672</v>
      </c>
      <c r="D680" t="s">
        <v>16</v>
      </c>
      <c r="F680" s="514">
        <f>+'29'!F680+'30'!F680+'31'!F680</f>
        <v>0</v>
      </c>
      <c r="G680" s="12">
        <f>+'29'!G680+'30'!G680+'31'!G680</f>
        <v>0</v>
      </c>
      <c r="H680" s="12">
        <f>+'29'!H680+'30'!H680+'31'!H680</f>
        <v>0</v>
      </c>
      <c r="I680" s="271"/>
      <c r="J680" s="514">
        <f>+'29'!J680+'30'!J680+'31'!J680</f>
        <v>0</v>
      </c>
      <c r="K680" s="12">
        <f>+'29'!K680+'30'!K680+'31'!K680</f>
        <v>0</v>
      </c>
      <c r="L680" s="12">
        <f>+'29'!L680+'30'!L680+'31'!L680</f>
        <v>0</v>
      </c>
      <c r="M680" s="271"/>
      <c r="N680" s="514">
        <f>+'29'!N680+'30'!N680+'31'!N680</f>
        <v>0</v>
      </c>
      <c r="O680" s="12">
        <f>+'29'!O680+'30'!O680+'31'!O680</f>
        <v>0</v>
      </c>
      <c r="P680" s="12">
        <f>+'29'!P680+'30'!P680+'31'!P680</f>
        <v>0</v>
      </c>
      <c r="Q680" s="532"/>
      <c r="R680" s="270">
        <v>0</v>
      </c>
      <c r="S680" s="12">
        <v>0</v>
      </c>
      <c r="T680" s="12">
        <v>0</v>
      </c>
      <c r="U680" s="271"/>
      <c r="V680" s="533">
        <f t="shared" si="81"/>
        <v>0</v>
      </c>
      <c r="W680" s="533">
        <f t="shared" si="82"/>
        <v>0</v>
      </c>
      <c r="X680" s="257"/>
      <c r="Y680" s="261">
        <f t="shared" si="83"/>
        <v>0</v>
      </c>
      <c r="Z680" s="12">
        <f t="shared" si="84"/>
        <v>0</v>
      </c>
      <c r="AB680" s="13">
        <f t="shared" si="80"/>
        <v>0</v>
      </c>
      <c r="AD680" s="16"/>
      <c r="AF680" s="13">
        <f t="shared" si="85"/>
        <v>0</v>
      </c>
      <c r="AM680" s="12">
        <f t="shared" si="86"/>
        <v>0</v>
      </c>
      <c r="AN680" s="13">
        <f t="shared" si="87"/>
        <v>0</v>
      </c>
    </row>
    <row r="681" spans="1:40" x14ac:dyDescent="0.25">
      <c r="A681">
        <v>676</v>
      </c>
      <c r="B681" t="s">
        <v>673</v>
      </c>
      <c r="D681" t="s">
        <v>16</v>
      </c>
      <c r="F681" s="514">
        <f>+'29'!F681+'30'!F681+'31'!F681</f>
        <v>0</v>
      </c>
      <c r="G681" s="12">
        <f>+'29'!G681+'30'!G681+'31'!G681</f>
        <v>0</v>
      </c>
      <c r="H681" s="12">
        <f>+'29'!H681+'30'!H681+'31'!H681</f>
        <v>0</v>
      </c>
      <c r="I681" s="271"/>
      <c r="J681" s="514">
        <f>+'29'!J681+'30'!J681+'31'!J681</f>
        <v>0</v>
      </c>
      <c r="K681" s="12">
        <f>+'29'!K681+'30'!K681+'31'!K681</f>
        <v>0</v>
      </c>
      <c r="L681" s="12">
        <f>+'29'!L681+'30'!L681+'31'!L681</f>
        <v>0</v>
      </c>
      <c r="M681" s="271"/>
      <c r="N681" s="514">
        <f>+'29'!N681+'30'!N681+'31'!N681</f>
        <v>0</v>
      </c>
      <c r="O681" s="12">
        <f>+'29'!O681+'30'!O681+'31'!O681</f>
        <v>0</v>
      </c>
      <c r="P681" s="12">
        <f>+'29'!P681+'30'!P681+'31'!P681</f>
        <v>0</v>
      </c>
      <c r="Q681" s="532"/>
      <c r="R681" s="270">
        <v>0</v>
      </c>
      <c r="S681" s="12">
        <v>0</v>
      </c>
      <c r="T681" s="12">
        <v>0</v>
      </c>
      <c r="U681" s="271"/>
      <c r="V681" s="533">
        <f t="shared" si="81"/>
        <v>0</v>
      </c>
      <c r="W681" s="533">
        <f t="shared" si="82"/>
        <v>0</v>
      </c>
      <c r="X681" s="257"/>
      <c r="Y681" s="261">
        <f t="shared" si="83"/>
        <v>0</v>
      </c>
      <c r="Z681" s="12">
        <f t="shared" si="84"/>
        <v>0</v>
      </c>
      <c r="AB681" s="13">
        <f t="shared" si="80"/>
        <v>0</v>
      </c>
      <c r="AF681" s="13">
        <f t="shared" si="85"/>
        <v>0</v>
      </c>
      <c r="AM681" s="12">
        <f t="shared" si="86"/>
        <v>0</v>
      </c>
      <c r="AN681" s="13">
        <f t="shared" si="87"/>
        <v>0</v>
      </c>
    </row>
    <row r="682" spans="1:40" x14ac:dyDescent="0.25">
      <c r="A682">
        <v>677</v>
      </c>
      <c r="B682" t="s">
        <v>674</v>
      </c>
      <c r="D682" t="s">
        <v>16</v>
      </c>
      <c r="F682" s="514">
        <f>+'29'!F682+'30'!F682+'31'!F682</f>
        <v>0</v>
      </c>
      <c r="G682" s="12">
        <f>+'29'!G682+'30'!G682+'31'!G682</f>
        <v>0</v>
      </c>
      <c r="H682" s="12">
        <f>+'29'!H682+'30'!H682+'31'!H682</f>
        <v>0</v>
      </c>
      <c r="I682" s="271"/>
      <c r="J682" s="514">
        <f>+'29'!J682+'30'!J682+'31'!J682</f>
        <v>0</v>
      </c>
      <c r="K682" s="12">
        <f>+'29'!K682+'30'!K682+'31'!K682</f>
        <v>0</v>
      </c>
      <c r="L682" s="12">
        <f>+'29'!L682+'30'!L682+'31'!L682</f>
        <v>0</v>
      </c>
      <c r="M682" s="271"/>
      <c r="N682" s="514">
        <f>+'29'!N682+'30'!N682+'31'!N682</f>
        <v>0</v>
      </c>
      <c r="O682" s="12">
        <f>+'29'!O682+'30'!O682+'31'!O682</f>
        <v>0</v>
      </c>
      <c r="P682" s="12">
        <f>+'29'!P682+'30'!P682+'31'!P682</f>
        <v>0</v>
      </c>
      <c r="Q682" s="532"/>
      <c r="R682" s="270">
        <v>0</v>
      </c>
      <c r="S682" s="12">
        <v>0</v>
      </c>
      <c r="T682" s="12">
        <v>0</v>
      </c>
      <c r="U682" s="271"/>
      <c r="V682" s="533">
        <f t="shared" si="81"/>
        <v>0</v>
      </c>
      <c r="W682" s="533">
        <f t="shared" si="82"/>
        <v>0</v>
      </c>
      <c r="X682" s="257"/>
      <c r="Y682" s="261">
        <f t="shared" si="83"/>
        <v>0</v>
      </c>
      <c r="Z682" s="12">
        <f t="shared" si="84"/>
        <v>0</v>
      </c>
      <c r="AB682" s="13">
        <f t="shared" si="80"/>
        <v>0</v>
      </c>
      <c r="AF682" s="13">
        <f t="shared" si="85"/>
        <v>0</v>
      </c>
      <c r="AM682" s="12">
        <f t="shared" si="86"/>
        <v>0</v>
      </c>
      <c r="AN682" s="13">
        <f t="shared" si="87"/>
        <v>0</v>
      </c>
    </row>
    <row r="683" spans="1:40" x14ac:dyDescent="0.25">
      <c r="A683">
        <v>678</v>
      </c>
      <c r="B683" t="s">
        <v>675</v>
      </c>
      <c r="D683" t="s">
        <v>16</v>
      </c>
      <c r="F683" s="514">
        <f>+'29'!F683+'30'!F683+'31'!F683</f>
        <v>1990</v>
      </c>
      <c r="G683" s="12">
        <f>+'29'!G683+'30'!G683+'31'!G683</f>
        <v>235752663.09</v>
      </c>
      <c r="H683" s="12">
        <f>+'29'!H683+'30'!H683+'31'!H683</f>
        <v>52915</v>
      </c>
      <c r="I683" s="271"/>
      <c r="J683" s="514">
        <f>+'29'!J683+'30'!J683+'31'!J683</f>
        <v>0</v>
      </c>
      <c r="K683" s="12">
        <f>+'29'!K683+'30'!K683+'31'!K683</f>
        <v>0</v>
      </c>
      <c r="L683" s="12">
        <f>+'29'!L683+'30'!L683+'31'!L683</f>
        <v>0</v>
      </c>
      <c r="M683" s="271"/>
      <c r="N683" s="514">
        <f>+'29'!N683+'30'!N683+'31'!N683</f>
        <v>1990</v>
      </c>
      <c r="O683" s="12">
        <f>+'29'!O683+'30'!O683+'31'!O683</f>
        <v>235752663.09</v>
      </c>
      <c r="P683" s="12">
        <f>+'29'!P683+'30'!P683+'31'!P683</f>
        <v>52915</v>
      </c>
      <c r="Q683" s="532"/>
      <c r="R683" s="270">
        <v>0</v>
      </c>
      <c r="S683" s="12">
        <v>0</v>
      </c>
      <c r="T683" s="12">
        <v>0</v>
      </c>
      <c r="U683" s="271"/>
      <c r="V683" s="533">
        <f t="shared" si="81"/>
        <v>1990</v>
      </c>
      <c r="W683" s="533">
        <f t="shared" si="82"/>
        <v>235752663.09</v>
      </c>
      <c r="X683" s="257"/>
      <c r="Y683" s="261">
        <f t="shared" si="83"/>
        <v>1990</v>
      </c>
      <c r="Z683" s="12">
        <f t="shared" si="84"/>
        <v>235752663.09</v>
      </c>
      <c r="AB683" s="13">
        <f t="shared" si="80"/>
        <v>235752663.09</v>
      </c>
      <c r="AF683" s="13">
        <f t="shared" si="85"/>
        <v>235752663.09</v>
      </c>
      <c r="AK683" s="33">
        <v>12491947.200000001</v>
      </c>
      <c r="AM683" s="12">
        <f t="shared" si="86"/>
        <v>12491947.200000001</v>
      </c>
      <c r="AN683" s="13">
        <f t="shared" si="87"/>
        <v>223260715.89000002</v>
      </c>
    </row>
    <row r="684" spans="1:40" x14ac:dyDescent="0.25">
      <c r="A684">
        <v>679</v>
      </c>
      <c r="B684" t="s">
        <v>676</v>
      </c>
      <c r="D684" t="s">
        <v>16</v>
      </c>
      <c r="F684" s="514">
        <f>+'29'!F684+'30'!F684+'31'!F684</f>
        <v>0</v>
      </c>
      <c r="G684" s="12">
        <f>+'29'!G684+'30'!G684+'31'!G684</f>
        <v>0</v>
      </c>
      <c r="H684" s="12">
        <f>+'29'!H684+'30'!H684+'31'!H684</f>
        <v>0</v>
      </c>
      <c r="I684" s="271"/>
      <c r="J684" s="514">
        <f>+'29'!J684+'30'!J684+'31'!J684</f>
        <v>0</v>
      </c>
      <c r="K684" s="12">
        <f>+'29'!K684+'30'!K684+'31'!K684</f>
        <v>0</v>
      </c>
      <c r="L684" s="12">
        <f>+'29'!L684+'30'!L684+'31'!L684</f>
        <v>0</v>
      </c>
      <c r="M684" s="271"/>
      <c r="N684" s="514">
        <f>+'29'!N684+'30'!N684+'31'!N684</f>
        <v>0</v>
      </c>
      <c r="O684" s="12">
        <f>+'29'!O684+'30'!O684+'31'!O684</f>
        <v>0</v>
      </c>
      <c r="P684" s="12">
        <f>+'29'!P684+'30'!P684+'31'!P684</f>
        <v>0</v>
      </c>
      <c r="Q684" s="532"/>
      <c r="R684" s="270">
        <v>0</v>
      </c>
      <c r="S684" s="12">
        <v>0</v>
      </c>
      <c r="T684" s="12">
        <v>0</v>
      </c>
      <c r="U684" s="271"/>
      <c r="V684" s="533">
        <f t="shared" si="81"/>
        <v>0</v>
      </c>
      <c r="W684" s="533">
        <f t="shared" si="82"/>
        <v>0</v>
      </c>
      <c r="X684" s="257"/>
      <c r="Y684" s="261">
        <f t="shared" si="83"/>
        <v>0</v>
      </c>
      <c r="Z684" s="12">
        <f t="shared" si="84"/>
        <v>0</v>
      </c>
      <c r="AB684" s="13">
        <f t="shared" si="80"/>
        <v>0</v>
      </c>
      <c r="AF684" s="13">
        <f t="shared" si="85"/>
        <v>0</v>
      </c>
      <c r="AM684" s="12">
        <f t="shared" si="86"/>
        <v>0</v>
      </c>
      <c r="AN684" s="13">
        <f t="shared" si="87"/>
        <v>0</v>
      </c>
    </row>
    <row r="685" spans="1:40" x14ac:dyDescent="0.25">
      <c r="A685">
        <v>680</v>
      </c>
      <c r="B685" t="s">
        <v>677</v>
      </c>
      <c r="D685" t="s">
        <v>16</v>
      </c>
      <c r="F685" s="514">
        <f>+'29'!F685+'30'!F685+'31'!F685</f>
        <v>0</v>
      </c>
      <c r="G685" s="12">
        <f>+'29'!G685+'30'!G685+'31'!G685</f>
        <v>0</v>
      </c>
      <c r="H685" s="12">
        <f>+'29'!H685+'30'!H685+'31'!H685</f>
        <v>0</v>
      </c>
      <c r="I685" s="271"/>
      <c r="J685" s="514">
        <f>+'29'!J685+'30'!J685+'31'!J685</f>
        <v>0</v>
      </c>
      <c r="K685" s="12">
        <f>+'29'!K685+'30'!K685+'31'!K685</f>
        <v>0</v>
      </c>
      <c r="L685" s="12">
        <f>+'29'!L685+'30'!L685+'31'!L685</f>
        <v>0</v>
      </c>
      <c r="M685" s="271"/>
      <c r="N685" s="514">
        <f>+'29'!N685+'30'!N685+'31'!N685</f>
        <v>0</v>
      </c>
      <c r="O685" s="12">
        <f>+'29'!O685+'30'!O685+'31'!O685</f>
        <v>0</v>
      </c>
      <c r="P685" s="12">
        <f>+'29'!P685+'30'!P685+'31'!P685</f>
        <v>0</v>
      </c>
      <c r="Q685" s="532"/>
      <c r="R685" s="270">
        <v>0</v>
      </c>
      <c r="S685" s="12">
        <v>0</v>
      </c>
      <c r="T685" s="12">
        <v>0</v>
      </c>
      <c r="U685" s="271"/>
      <c r="V685" s="533">
        <f t="shared" si="81"/>
        <v>0</v>
      </c>
      <c r="W685" s="533">
        <f t="shared" si="82"/>
        <v>0</v>
      </c>
      <c r="X685" s="257"/>
      <c r="Y685" s="261">
        <f t="shared" si="83"/>
        <v>0</v>
      </c>
      <c r="Z685" s="12">
        <f t="shared" si="84"/>
        <v>0</v>
      </c>
      <c r="AB685" s="13">
        <f t="shared" si="80"/>
        <v>0</v>
      </c>
      <c r="AF685" s="13">
        <f t="shared" si="85"/>
        <v>0</v>
      </c>
      <c r="AM685" s="12">
        <f t="shared" si="86"/>
        <v>0</v>
      </c>
      <c r="AN685" s="13">
        <f t="shared" si="87"/>
        <v>0</v>
      </c>
    </row>
    <row r="686" spans="1:40" x14ac:dyDescent="0.25">
      <c r="A686">
        <v>681</v>
      </c>
      <c r="B686" t="s">
        <v>678</v>
      </c>
      <c r="D686" t="s">
        <v>16</v>
      </c>
      <c r="F686" s="514">
        <f>+'29'!F686+'30'!F686+'31'!F686</f>
        <v>0</v>
      </c>
      <c r="G686" s="12">
        <f>+'29'!G686+'30'!G686+'31'!G686</f>
        <v>0</v>
      </c>
      <c r="H686" s="12">
        <f>+'29'!H686+'30'!H686+'31'!H686</f>
        <v>0</v>
      </c>
      <c r="I686" s="271"/>
      <c r="J686" s="514">
        <f>+'29'!J686+'30'!J686+'31'!J686</f>
        <v>0</v>
      </c>
      <c r="K686" s="12">
        <f>+'29'!K686+'30'!K686+'31'!K686</f>
        <v>0</v>
      </c>
      <c r="L686" s="12">
        <f>+'29'!L686+'30'!L686+'31'!L686</f>
        <v>0</v>
      </c>
      <c r="M686" s="271"/>
      <c r="N686" s="514">
        <f>+'29'!N686+'30'!N686+'31'!N686</f>
        <v>0</v>
      </c>
      <c r="O686" s="12">
        <f>+'29'!O686+'30'!O686+'31'!O686</f>
        <v>0</v>
      </c>
      <c r="P686" s="12">
        <f>+'29'!P686+'30'!P686+'31'!P686</f>
        <v>0</v>
      </c>
      <c r="Q686" s="532"/>
      <c r="R686" s="270">
        <v>0</v>
      </c>
      <c r="S686" s="12">
        <v>0</v>
      </c>
      <c r="T686" s="12">
        <v>0</v>
      </c>
      <c r="U686" s="271"/>
      <c r="V686" s="533">
        <f t="shared" si="81"/>
        <v>0</v>
      </c>
      <c r="W686" s="533">
        <f t="shared" si="82"/>
        <v>0</v>
      </c>
      <c r="X686" s="257"/>
      <c r="Y686" s="261">
        <f t="shared" si="83"/>
        <v>0</v>
      </c>
      <c r="Z686" s="12">
        <f t="shared" si="84"/>
        <v>0</v>
      </c>
      <c r="AB686" s="13">
        <f t="shared" si="80"/>
        <v>0</v>
      </c>
      <c r="AF686" s="13">
        <f t="shared" si="85"/>
        <v>0</v>
      </c>
      <c r="AL686" s="33"/>
      <c r="AM686" s="12">
        <f t="shared" si="86"/>
        <v>0</v>
      </c>
      <c r="AN686" s="13">
        <f t="shared" si="87"/>
        <v>0</v>
      </c>
    </row>
    <row r="687" spans="1:40" x14ac:dyDescent="0.25">
      <c r="A687">
        <v>682</v>
      </c>
      <c r="B687" t="s">
        <v>679</v>
      </c>
      <c r="D687" t="s">
        <v>16</v>
      </c>
      <c r="F687" s="514">
        <f>+'29'!F687+'30'!F687+'31'!F687</f>
        <v>0</v>
      </c>
      <c r="G687" s="12">
        <f>+'29'!G687+'30'!G687+'31'!G687</f>
        <v>0</v>
      </c>
      <c r="H687" s="12">
        <f>+'29'!H687+'30'!H687+'31'!H687</f>
        <v>0</v>
      </c>
      <c r="I687" s="271"/>
      <c r="J687" s="514">
        <f>+'29'!J687+'30'!J687+'31'!J687</f>
        <v>0</v>
      </c>
      <c r="K687" s="12">
        <f>+'29'!K687+'30'!K687+'31'!K687</f>
        <v>0</v>
      </c>
      <c r="L687" s="12">
        <f>+'29'!L687+'30'!L687+'31'!L687</f>
        <v>0</v>
      </c>
      <c r="M687" s="271"/>
      <c r="N687" s="514">
        <f>+'29'!N687+'30'!N687+'31'!N687</f>
        <v>0</v>
      </c>
      <c r="O687" s="12">
        <f>+'29'!O687+'30'!O687+'31'!O687</f>
        <v>0</v>
      </c>
      <c r="P687" s="12">
        <f>+'29'!P687+'30'!P687+'31'!P687</f>
        <v>0</v>
      </c>
      <c r="Q687" s="532"/>
      <c r="R687" s="270">
        <v>0</v>
      </c>
      <c r="S687" s="12">
        <v>0</v>
      </c>
      <c r="T687" s="12">
        <v>0</v>
      </c>
      <c r="U687" s="271"/>
      <c r="V687" s="533">
        <f t="shared" si="81"/>
        <v>0</v>
      </c>
      <c r="W687" s="533">
        <f t="shared" si="82"/>
        <v>0</v>
      </c>
      <c r="X687" s="257"/>
      <c r="Y687" s="261">
        <f t="shared" si="83"/>
        <v>0</v>
      </c>
      <c r="Z687" s="12">
        <f t="shared" si="84"/>
        <v>0</v>
      </c>
      <c r="AB687" s="13">
        <f t="shared" si="80"/>
        <v>0</v>
      </c>
      <c r="AF687" s="13">
        <f t="shared" si="85"/>
        <v>0</v>
      </c>
      <c r="AM687" s="12">
        <f t="shared" si="86"/>
        <v>0</v>
      </c>
      <c r="AN687" s="13">
        <f t="shared" si="87"/>
        <v>0</v>
      </c>
    </row>
    <row r="688" spans="1:40" x14ac:dyDescent="0.25">
      <c r="A688">
        <v>683</v>
      </c>
      <c r="B688" t="s">
        <v>680</v>
      </c>
      <c r="D688" t="s">
        <v>16</v>
      </c>
      <c r="F688" s="514">
        <f>+'29'!F688+'30'!F688+'31'!F688</f>
        <v>0</v>
      </c>
      <c r="G688" s="12">
        <f>+'29'!G688+'30'!G688+'31'!G688</f>
        <v>0</v>
      </c>
      <c r="H688" s="12">
        <f>+'29'!H688+'30'!H688+'31'!H688</f>
        <v>0</v>
      </c>
      <c r="I688" s="271"/>
      <c r="J688" s="514">
        <f>+'29'!J688+'30'!J688+'31'!J688</f>
        <v>0</v>
      </c>
      <c r="K688" s="12">
        <f>+'29'!K688+'30'!K688+'31'!K688</f>
        <v>0</v>
      </c>
      <c r="L688" s="12">
        <f>+'29'!L688+'30'!L688+'31'!L688</f>
        <v>0</v>
      </c>
      <c r="M688" s="271"/>
      <c r="N688" s="514">
        <f>+'29'!N688+'30'!N688+'31'!N688</f>
        <v>0</v>
      </c>
      <c r="O688" s="12">
        <f>+'29'!O688+'30'!O688+'31'!O688</f>
        <v>0</v>
      </c>
      <c r="P688" s="12">
        <f>+'29'!P688+'30'!P688+'31'!P688</f>
        <v>0</v>
      </c>
      <c r="Q688" s="532"/>
      <c r="R688" s="270">
        <v>0</v>
      </c>
      <c r="S688" s="12">
        <v>0</v>
      </c>
      <c r="T688" s="12">
        <v>0</v>
      </c>
      <c r="U688" s="271"/>
      <c r="V688" s="533">
        <f t="shared" si="81"/>
        <v>0</v>
      </c>
      <c r="W688" s="533">
        <f t="shared" si="82"/>
        <v>0</v>
      </c>
      <c r="X688" s="257"/>
      <c r="Y688" s="261">
        <f t="shared" si="83"/>
        <v>0</v>
      </c>
      <c r="Z688" s="12">
        <f t="shared" si="84"/>
        <v>0</v>
      </c>
      <c r="AB688" s="13">
        <f t="shared" si="80"/>
        <v>0</v>
      </c>
      <c r="AF688" s="13">
        <f t="shared" si="85"/>
        <v>0</v>
      </c>
      <c r="AM688" s="12">
        <f t="shared" si="86"/>
        <v>0</v>
      </c>
      <c r="AN688" s="13">
        <f t="shared" si="87"/>
        <v>0</v>
      </c>
    </row>
    <row r="689" spans="1:40" x14ac:dyDescent="0.25">
      <c r="A689">
        <v>684</v>
      </c>
      <c r="B689" t="s">
        <v>681</v>
      </c>
      <c r="D689" t="s">
        <v>16</v>
      </c>
      <c r="F689" s="514">
        <f>+'29'!F689+'30'!F689+'31'!F689</f>
        <v>0</v>
      </c>
      <c r="G689" s="12">
        <f>+'29'!G689+'30'!G689+'31'!G689</f>
        <v>0</v>
      </c>
      <c r="H689" s="12">
        <f>+'29'!H689+'30'!H689+'31'!H689</f>
        <v>0</v>
      </c>
      <c r="I689" s="271"/>
      <c r="J689" s="514">
        <f>+'29'!J689+'30'!J689+'31'!J689</f>
        <v>0</v>
      </c>
      <c r="K689" s="12">
        <f>+'29'!K689+'30'!K689+'31'!K689</f>
        <v>0</v>
      </c>
      <c r="L689" s="12">
        <f>+'29'!L689+'30'!L689+'31'!L689</f>
        <v>0</v>
      </c>
      <c r="M689" s="271"/>
      <c r="N689" s="514">
        <f>+'29'!N689+'30'!N689+'31'!N689</f>
        <v>0</v>
      </c>
      <c r="O689" s="12">
        <f>+'29'!O689+'30'!O689+'31'!O689</f>
        <v>0</v>
      </c>
      <c r="P689" s="12">
        <f>+'29'!P689+'30'!P689+'31'!P689</f>
        <v>0</v>
      </c>
      <c r="Q689" s="532"/>
      <c r="R689" s="270">
        <v>0</v>
      </c>
      <c r="S689" s="12">
        <v>0</v>
      </c>
      <c r="T689" s="12">
        <v>0</v>
      </c>
      <c r="U689" s="271"/>
      <c r="V689" s="533">
        <f t="shared" si="81"/>
        <v>0</v>
      </c>
      <c r="W689" s="533">
        <f t="shared" si="82"/>
        <v>0</v>
      </c>
      <c r="X689" s="257"/>
      <c r="Y689" s="261">
        <f t="shared" si="83"/>
        <v>0</v>
      </c>
      <c r="Z689" s="12">
        <f t="shared" si="84"/>
        <v>0</v>
      </c>
      <c r="AB689" s="13">
        <f t="shared" si="80"/>
        <v>0</v>
      </c>
      <c r="AF689" s="13">
        <f t="shared" si="85"/>
        <v>0</v>
      </c>
      <c r="AL689" s="33"/>
      <c r="AM689" s="12">
        <f t="shared" si="86"/>
        <v>0</v>
      </c>
      <c r="AN689" s="13">
        <f t="shared" si="87"/>
        <v>0</v>
      </c>
    </row>
    <row r="690" spans="1:40" x14ac:dyDescent="0.25">
      <c r="A690">
        <v>685</v>
      </c>
      <c r="B690" t="s">
        <v>682</v>
      </c>
      <c r="D690" t="s">
        <v>16</v>
      </c>
      <c r="F690" s="514">
        <f>+'29'!F690+'30'!F690+'31'!F690</f>
        <v>133</v>
      </c>
      <c r="G690" s="12">
        <f>+'29'!G690+'30'!G690+'31'!G690</f>
        <v>3855206.29</v>
      </c>
      <c r="H690" s="12">
        <f>+'29'!H690+'30'!H690+'31'!H690</f>
        <v>13300</v>
      </c>
      <c r="I690" s="271"/>
      <c r="J690" s="514">
        <f>+'29'!J690+'30'!J690+'31'!J690</f>
        <v>0</v>
      </c>
      <c r="K690" s="12">
        <f>+'29'!K690+'30'!K690+'31'!K690</f>
        <v>0</v>
      </c>
      <c r="L690" s="12">
        <f>+'29'!L690+'30'!L690+'31'!L690</f>
        <v>0</v>
      </c>
      <c r="M690" s="271"/>
      <c r="N690" s="514">
        <f>+'29'!N690+'30'!N690+'31'!N690</f>
        <v>133</v>
      </c>
      <c r="O690" s="12">
        <f>+'29'!O690+'30'!O690+'31'!O690</f>
        <v>3855206.29</v>
      </c>
      <c r="P690" s="12">
        <f>+'29'!P690+'30'!P690+'31'!P690</f>
        <v>13300</v>
      </c>
      <c r="Q690" s="532"/>
      <c r="R690" s="270">
        <v>0</v>
      </c>
      <c r="S690" s="12">
        <v>0</v>
      </c>
      <c r="T690" s="12">
        <v>0</v>
      </c>
      <c r="U690" s="271"/>
      <c r="V690" s="533">
        <f t="shared" si="81"/>
        <v>133</v>
      </c>
      <c r="W690" s="533">
        <f t="shared" si="82"/>
        <v>3855206.29</v>
      </c>
      <c r="X690" s="257"/>
      <c r="Y690" s="261">
        <f t="shared" si="83"/>
        <v>133</v>
      </c>
      <c r="Z690" s="12">
        <f t="shared" si="84"/>
        <v>3855206.29</v>
      </c>
      <c r="AB690" s="13">
        <f t="shared" si="80"/>
        <v>3855206.29</v>
      </c>
      <c r="AF690" s="13">
        <f t="shared" si="85"/>
        <v>3855206.29</v>
      </c>
      <c r="AK690" s="33">
        <v>1722339.98</v>
      </c>
      <c r="AL690" s="33"/>
      <c r="AM690" s="12">
        <f t="shared" si="86"/>
        <v>1722339.98</v>
      </c>
      <c r="AN690" s="13">
        <f t="shared" si="87"/>
        <v>2132866.31</v>
      </c>
    </row>
    <row r="691" spans="1:40" x14ac:dyDescent="0.25">
      <c r="A691">
        <v>686</v>
      </c>
      <c r="B691" t="s">
        <v>683</v>
      </c>
      <c r="D691" t="s">
        <v>16</v>
      </c>
      <c r="F691" s="514">
        <f>+'29'!F691+'30'!F691+'31'!F691</f>
        <v>0</v>
      </c>
      <c r="G691" s="12">
        <f>+'29'!G691+'30'!G691+'31'!G691</f>
        <v>0</v>
      </c>
      <c r="H691" s="12">
        <f>+'29'!H691+'30'!H691+'31'!H691</f>
        <v>0</v>
      </c>
      <c r="I691" s="271"/>
      <c r="J691" s="514">
        <f>+'29'!J691+'30'!J691+'31'!J691</f>
        <v>0</v>
      </c>
      <c r="K691" s="12">
        <f>+'29'!K691+'30'!K691+'31'!K691</f>
        <v>0</v>
      </c>
      <c r="L691" s="12">
        <f>+'29'!L691+'30'!L691+'31'!L691</f>
        <v>0</v>
      </c>
      <c r="M691" s="271"/>
      <c r="N691" s="514">
        <f>+'29'!N691+'30'!N691+'31'!N691</f>
        <v>0</v>
      </c>
      <c r="O691" s="12">
        <f>+'29'!O691+'30'!O691+'31'!O691</f>
        <v>0</v>
      </c>
      <c r="P691" s="12">
        <f>+'29'!P691+'30'!P691+'31'!P691</f>
        <v>0</v>
      </c>
      <c r="Q691" s="532"/>
      <c r="R691" s="270">
        <v>0</v>
      </c>
      <c r="S691" s="12">
        <v>0</v>
      </c>
      <c r="T691" s="12">
        <v>0</v>
      </c>
      <c r="U691" s="271"/>
      <c r="V691" s="533">
        <f t="shared" si="81"/>
        <v>0</v>
      </c>
      <c r="W691" s="533">
        <f t="shared" si="82"/>
        <v>0</v>
      </c>
      <c r="X691" s="257"/>
      <c r="Y691" s="261">
        <f t="shared" si="83"/>
        <v>0</v>
      </c>
      <c r="Z691" s="12">
        <f t="shared" si="84"/>
        <v>0</v>
      </c>
      <c r="AB691" s="13">
        <f t="shared" si="80"/>
        <v>0</v>
      </c>
      <c r="AD691" s="16"/>
      <c r="AF691" s="13">
        <f t="shared" si="85"/>
        <v>0</v>
      </c>
      <c r="AG691" s="16"/>
      <c r="AM691" s="12">
        <f t="shared" si="86"/>
        <v>0</v>
      </c>
      <c r="AN691" s="13">
        <f t="shared" si="87"/>
        <v>0</v>
      </c>
    </row>
    <row r="692" spans="1:40" x14ac:dyDescent="0.25">
      <c r="A692">
        <v>687</v>
      </c>
      <c r="B692" t="s">
        <v>684</v>
      </c>
      <c r="D692" t="s">
        <v>16</v>
      </c>
      <c r="F692" s="514">
        <f>+'29'!F692+'30'!F692+'31'!F692</f>
        <v>1</v>
      </c>
      <c r="G692" s="12">
        <f>+'29'!G692+'30'!G692+'31'!G692</f>
        <v>189474.8</v>
      </c>
      <c r="H692" s="12">
        <f>+'29'!H692+'30'!H692+'31'!H692</f>
        <v>50</v>
      </c>
      <c r="I692" s="271"/>
      <c r="J692" s="514">
        <f>+'29'!J692+'30'!J692+'31'!J692</f>
        <v>0</v>
      </c>
      <c r="K692" s="12">
        <f>+'29'!K692+'30'!K692+'31'!K692</f>
        <v>0</v>
      </c>
      <c r="L692" s="12">
        <f>+'29'!L692+'30'!L692+'31'!L692</f>
        <v>0</v>
      </c>
      <c r="M692" s="271"/>
      <c r="N692" s="514">
        <f>+'29'!N692+'30'!N692+'31'!N692</f>
        <v>1</v>
      </c>
      <c r="O692" s="12">
        <f>+'29'!O692+'30'!O692+'31'!O692</f>
        <v>189474.8</v>
      </c>
      <c r="P692" s="12">
        <f>+'29'!P692+'30'!P692+'31'!P692</f>
        <v>50</v>
      </c>
      <c r="Q692" s="532"/>
      <c r="R692" s="270">
        <v>0</v>
      </c>
      <c r="S692" s="12">
        <v>0</v>
      </c>
      <c r="T692" s="12">
        <v>0</v>
      </c>
      <c r="U692" s="271"/>
      <c r="V692" s="533">
        <f t="shared" si="81"/>
        <v>1</v>
      </c>
      <c r="W692" s="533">
        <f t="shared" si="82"/>
        <v>189474.8</v>
      </c>
      <c r="X692" s="257"/>
      <c r="Y692" s="261">
        <f t="shared" si="83"/>
        <v>1</v>
      </c>
      <c r="Z692" s="12">
        <f t="shared" si="84"/>
        <v>189474.8</v>
      </c>
      <c r="AB692" s="13">
        <f t="shared" si="80"/>
        <v>189474.8</v>
      </c>
      <c r="AD692" s="16"/>
      <c r="AF692" s="13">
        <f t="shared" si="85"/>
        <v>189474.8</v>
      </c>
      <c r="AG692" s="16"/>
      <c r="AL692" s="33"/>
      <c r="AM692" s="12">
        <f t="shared" si="86"/>
        <v>0</v>
      </c>
      <c r="AN692" s="13">
        <f t="shared" si="87"/>
        <v>189474.8</v>
      </c>
    </row>
    <row r="693" spans="1:40" x14ac:dyDescent="0.25">
      <c r="A693">
        <v>688</v>
      </c>
      <c r="B693" t="s">
        <v>685</v>
      </c>
      <c r="D693" t="s">
        <v>16</v>
      </c>
      <c r="F693" s="514">
        <f>+'29'!F693+'30'!F693+'31'!F693</f>
        <v>29</v>
      </c>
      <c r="G693" s="12">
        <f>+'29'!G693+'30'!G693+'31'!G693</f>
        <v>349635.48</v>
      </c>
      <c r="H693" s="12">
        <f>+'29'!H693+'30'!H693+'31'!H693</f>
        <v>0</v>
      </c>
      <c r="I693" s="271"/>
      <c r="J693" s="514">
        <f>+'29'!J693+'30'!J693+'31'!J693</f>
        <v>0</v>
      </c>
      <c r="K693" s="12">
        <f>+'29'!K693+'30'!K693+'31'!K693</f>
        <v>0</v>
      </c>
      <c r="L693" s="12">
        <f>+'29'!L693+'30'!L693+'31'!L693</f>
        <v>0</v>
      </c>
      <c r="M693" s="271"/>
      <c r="N693" s="514">
        <f>+'29'!N693+'30'!N693+'31'!N693</f>
        <v>29</v>
      </c>
      <c r="O693" s="12">
        <f>+'29'!O693+'30'!O693+'31'!O693</f>
        <v>349635.48</v>
      </c>
      <c r="P693" s="12">
        <f>+'29'!P693+'30'!P693+'31'!P693</f>
        <v>0</v>
      </c>
      <c r="Q693" s="532"/>
      <c r="R693" s="270">
        <v>0</v>
      </c>
      <c r="S693" s="12">
        <v>0</v>
      </c>
      <c r="T693" s="12">
        <v>0</v>
      </c>
      <c r="U693" s="271"/>
      <c r="V693" s="533">
        <f t="shared" si="81"/>
        <v>29</v>
      </c>
      <c r="W693" s="533">
        <f t="shared" si="82"/>
        <v>349635.48</v>
      </c>
      <c r="X693" s="257"/>
      <c r="Y693" s="261">
        <f t="shared" si="83"/>
        <v>29</v>
      </c>
      <c r="Z693" s="12">
        <f t="shared" si="84"/>
        <v>349635.48</v>
      </c>
      <c r="AB693" s="13">
        <f t="shared" si="80"/>
        <v>349635.48</v>
      </c>
      <c r="AF693" s="13">
        <f t="shared" si="85"/>
        <v>349635.48</v>
      </c>
      <c r="AM693" s="12">
        <f t="shared" si="86"/>
        <v>0</v>
      </c>
      <c r="AN693" s="13">
        <f t="shared" si="87"/>
        <v>349635.48</v>
      </c>
    </row>
    <row r="694" spans="1:40" x14ac:dyDescent="0.25">
      <c r="A694">
        <v>689</v>
      </c>
      <c r="B694" t="s">
        <v>686</v>
      </c>
      <c r="D694" t="s">
        <v>16</v>
      </c>
      <c r="F694" s="514">
        <f>+'29'!F694+'30'!F694+'31'!F694</f>
        <v>0</v>
      </c>
      <c r="G694" s="12">
        <f>+'29'!G694+'30'!G694+'31'!G694</f>
        <v>0</v>
      </c>
      <c r="H694" s="12">
        <f>+'29'!H694+'30'!H694+'31'!H694</f>
        <v>0</v>
      </c>
      <c r="I694" s="271"/>
      <c r="J694" s="514">
        <f>+'29'!J694+'30'!J694+'31'!J694</f>
        <v>0</v>
      </c>
      <c r="K694" s="12">
        <f>+'29'!K694+'30'!K694+'31'!K694</f>
        <v>0</v>
      </c>
      <c r="L694" s="12">
        <f>+'29'!L694+'30'!L694+'31'!L694</f>
        <v>0</v>
      </c>
      <c r="M694" s="271"/>
      <c r="N694" s="514">
        <f>+'29'!N694+'30'!N694+'31'!N694</f>
        <v>0</v>
      </c>
      <c r="O694" s="12">
        <f>+'29'!O694+'30'!O694+'31'!O694</f>
        <v>0</v>
      </c>
      <c r="P694" s="12">
        <f>+'29'!P694+'30'!P694+'31'!P694</f>
        <v>0</v>
      </c>
      <c r="Q694" s="532"/>
      <c r="R694" s="270">
        <v>0</v>
      </c>
      <c r="S694" s="12">
        <v>0</v>
      </c>
      <c r="T694" s="12">
        <v>0</v>
      </c>
      <c r="U694" s="271"/>
      <c r="V694" s="533">
        <f t="shared" si="81"/>
        <v>0</v>
      </c>
      <c r="W694" s="533">
        <f t="shared" si="82"/>
        <v>0</v>
      </c>
      <c r="X694" s="257"/>
      <c r="Y694" s="261">
        <f t="shared" si="83"/>
        <v>0</v>
      </c>
      <c r="Z694" s="12">
        <f t="shared" si="84"/>
        <v>0</v>
      </c>
      <c r="AB694" s="13">
        <f t="shared" si="80"/>
        <v>0</v>
      </c>
      <c r="AF694" s="13">
        <f t="shared" si="85"/>
        <v>0</v>
      </c>
      <c r="AM694" s="12">
        <f t="shared" si="86"/>
        <v>0</v>
      </c>
      <c r="AN694" s="13">
        <f t="shared" si="87"/>
        <v>0</v>
      </c>
    </row>
    <row r="695" spans="1:40" ht="14.25" customHeight="1" x14ac:dyDescent="0.25">
      <c r="A695">
        <v>690</v>
      </c>
      <c r="B695" t="s">
        <v>687</v>
      </c>
      <c r="D695" t="s">
        <v>16</v>
      </c>
      <c r="F695" s="514">
        <f>+'29'!F695+'30'!F695+'31'!F695</f>
        <v>0</v>
      </c>
      <c r="G695" s="12">
        <f>+'29'!G695+'30'!G695+'31'!G695</f>
        <v>0</v>
      </c>
      <c r="H695" s="12">
        <f>+'29'!H695+'30'!H695+'31'!H695</f>
        <v>0</v>
      </c>
      <c r="I695" s="271"/>
      <c r="J695" s="514">
        <f>+'29'!J695+'30'!J695+'31'!J695</f>
        <v>0</v>
      </c>
      <c r="K695" s="12">
        <f>+'29'!K695+'30'!K695+'31'!K695</f>
        <v>0</v>
      </c>
      <c r="L695" s="12">
        <f>+'29'!L695+'30'!L695+'31'!L695</f>
        <v>0</v>
      </c>
      <c r="M695" s="271"/>
      <c r="N695" s="514">
        <f>+'29'!N695+'30'!N695+'31'!N695</f>
        <v>0</v>
      </c>
      <c r="O695" s="12">
        <f>+'29'!O695+'30'!O695+'31'!O695</f>
        <v>0</v>
      </c>
      <c r="P695" s="12">
        <f>+'29'!P695+'30'!P695+'31'!P695</f>
        <v>0</v>
      </c>
      <c r="Q695" s="532"/>
      <c r="R695" s="270">
        <v>0</v>
      </c>
      <c r="S695" s="12">
        <v>0</v>
      </c>
      <c r="T695" s="12">
        <v>0</v>
      </c>
      <c r="U695" s="271"/>
      <c r="V695" s="533">
        <f t="shared" si="81"/>
        <v>0</v>
      </c>
      <c r="W695" s="533">
        <f t="shared" si="82"/>
        <v>0</v>
      </c>
      <c r="X695" s="257"/>
      <c r="Y695" s="261">
        <f t="shared" si="83"/>
        <v>0</v>
      </c>
      <c r="Z695" s="12">
        <f t="shared" si="84"/>
        <v>0</v>
      </c>
      <c r="AB695" s="13">
        <f t="shared" si="80"/>
        <v>0</v>
      </c>
      <c r="AF695" s="13">
        <f t="shared" si="85"/>
        <v>0</v>
      </c>
      <c r="AI695" s="33"/>
      <c r="AJ695" s="13"/>
      <c r="AL695" s="33"/>
      <c r="AM695" s="12">
        <f t="shared" si="86"/>
        <v>0</v>
      </c>
      <c r="AN695" s="13">
        <f t="shared" si="87"/>
        <v>0</v>
      </c>
    </row>
    <row r="696" spans="1:40" x14ac:dyDescent="0.25">
      <c r="A696">
        <v>691</v>
      </c>
      <c r="B696" t="s">
        <v>688</v>
      </c>
      <c r="D696" t="s">
        <v>16</v>
      </c>
      <c r="F696" s="514">
        <f>+'29'!F696+'30'!F696+'31'!F696</f>
        <v>1778</v>
      </c>
      <c r="G696" s="12">
        <f>+'29'!G696+'30'!G696+'31'!G696</f>
        <v>29278913.850000001</v>
      </c>
      <c r="H696" s="12">
        <f>+'29'!H696+'30'!H696+'31'!H696</f>
        <v>71120</v>
      </c>
      <c r="I696" s="271"/>
      <c r="J696" s="514">
        <f>+'29'!J696+'30'!J696+'31'!J696</f>
        <v>0</v>
      </c>
      <c r="K696" s="12">
        <f>+'29'!K696+'30'!K696+'31'!K696</f>
        <v>0</v>
      </c>
      <c r="L696" s="12">
        <f>+'29'!L696+'30'!L696+'31'!L696</f>
        <v>0</v>
      </c>
      <c r="M696" s="271"/>
      <c r="N696" s="514">
        <f>+'29'!N696+'30'!N696+'31'!N696</f>
        <v>1778</v>
      </c>
      <c r="O696" s="12">
        <f>+'29'!O696+'30'!O696+'31'!O696</f>
        <v>29278913.850000001</v>
      </c>
      <c r="P696" s="12">
        <f>+'29'!P696+'30'!P696+'31'!P696</f>
        <v>71120</v>
      </c>
      <c r="Q696" s="532"/>
      <c r="R696" s="270">
        <v>0</v>
      </c>
      <c r="S696" s="12">
        <v>0</v>
      </c>
      <c r="T696" s="12">
        <v>0</v>
      </c>
      <c r="U696" s="271"/>
      <c r="V696" s="533">
        <f t="shared" si="81"/>
        <v>1778</v>
      </c>
      <c r="W696" s="533">
        <f t="shared" si="82"/>
        <v>29278913.850000001</v>
      </c>
      <c r="X696" s="257"/>
      <c r="Y696" s="261">
        <f t="shared" si="83"/>
        <v>1778</v>
      </c>
      <c r="Z696" s="12">
        <f t="shared" si="84"/>
        <v>29278913.850000001</v>
      </c>
      <c r="AB696" s="13">
        <f t="shared" si="80"/>
        <v>29278913.850000001</v>
      </c>
      <c r="AD696" s="16">
        <v>8570100</v>
      </c>
      <c r="AF696" s="13">
        <f t="shared" si="85"/>
        <v>20708813.850000001</v>
      </c>
      <c r="AG696" s="16">
        <v>4167625</v>
      </c>
      <c r="AK696" s="33">
        <v>3219444.4400000009</v>
      </c>
      <c r="AM696" s="12">
        <f t="shared" si="86"/>
        <v>7387069.4400000013</v>
      </c>
      <c r="AN696" s="13">
        <f t="shared" si="87"/>
        <v>13321744.41</v>
      </c>
    </row>
    <row r="697" spans="1:40" x14ac:dyDescent="0.25">
      <c r="A697">
        <v>692</v>
      </c>
      <c r="B697" t="s">
        <v>689</v>
      </c>
      <c r="D697" t="s">
        <v>16</v>
      </c>
      <c r="F697" s="514">
        <f>+'29'!F697+'30'!F697+'31'!F697</f>
        <v>3</v>
      </c>
      <c r="G697" s="12">
        <f>+'29'!G697+'30'!G697+'31'!G697</f>
        <v>32460</v>
      </c>
      <c r="H697" s="12">
        <f>+'29'!H697+'30'!H697+'31'!H697</f>
        <v>300</v>
      </c>
      <c r="I697" s="271"/>
      <c r="J697" s="514">
        <f>+'29'!J697+'30'!J697+'31'!J697</f>
        <v>0</v>
      </c>
      <c r="K697" s="12">
        <f>+'29'!K697+'30'!K697+'31'!K697</f>
        <v>0</v>
      </c>
      <c r="L697" s="12">
        <f>+'29'!L697+'30'!L697+'31'!L697</f>
        <v>0</v>
      </c>
      <c r="M697" s="271"/>
      <c r="N697" s="514">
        <f>+'29'!N697+'30'!N697+'31'!N697</f>
        <v>3</v>
      </c>
      <c r="O697" s="12">
        <f>+'29'!O697+'30'!O697+'31'!O697</f>
        <v>32460</v>
      </c>
      <c r="P697" s="12">
        <f>+'29'!P697+'30'!P697+'31'!P697</f>
        <v>300</v>
      </c>
      <c r="Q697" s="532"/>
      <c r="R697" s="270">
        <v>0</v>
      </c>
      <c r="S697" s="12">
        <v>0</v>
      </c>
      <c r="T697" s="12">
        <v>0</v>
      </c>
      <c r="U697" s="271"/>
      <c r="V697" s="533">
        <f t="shared" si="81"/>
        <v>3</v>
      </c>
      <c r="W697" s="533">
        <f t="shared" si="82"/>
        <v>32460</v>
      </c>
      <c r="X697" s="257"/>
      <c r="Y697" s="261">
        <f t="shared" si="83"/>
        <v>3</v>
      </c>
      <c r="Z697" s="12">
        <f t="shared" si="84"/>
        <v>32460</v>
      </c>
      <c r="AB697" s="13">
        <f t="shared" si="80"/>
        <v>32460</v>
      </c>
      <c r="AF697" s="13">
        <f t="shared" si="85"/>
        <v>32460</v>
      </c>
      <c r="AK697" s="33">
        <v>435474</v>
      </c>
      <c r="AM697" s="12">
        <f t="shared" si="86"/>
        <v>435474</v>
      </c>
      <c r="AN697" s="13">
        <f t="shared" si="87"/>
        <v>-403014</v>
      </c>
    </row>
    <row r="698" spans="1:40" x14ac:dyDescent="0.25">
      <c r="A698">
        <v>693</v>
      </c>
      <c r="B698" t="s">
        <v>690</v>
      </c>
      <c r="D698" t="s">
        <v>40</v>
      </c>
      <c r="F698" s="514">
        <f>+'29'!F698+'30'!F698+'31'!F698</f>
        <v>2</v>
      </c>
      <c r="G698" s="12">
        <f>+'29'!G698+'30'!G698+'31'!G698</f>
        <v>1679970.3699999999</v>
      </c>
      <c r="H698" s="12">
        <f>+'29'!H698+'30'!H698+'31'!H698</f>
        <v>0</v>
      </c>
      <c r="I698" s="271"/>
      <c r="J698" s="514">
        <f>+'29'!J698+'30'!J698+'31'!J698</f>
        <v>0</v>
      </c>
      <c r="K698" s="12">
        <f>+'29'!K698+'30'!K698+'31'!K698</f>
        <v>0</v>
      </c>
      <c r="L698" s="12">
        <f>+'29'!L698+'30'!L698+'31'!L698</f>
        <v>0</v>
      </c>
      <c r="M698" s="271"/>
      <c r="N698" s="514">
        <f>+'29'!N698+'30'!N698+'31'!N698</f>
        <v>2</v>
      </c>
      <c r="O698" s="12">
        <f>+'29'!O698+'30'!O698+'31'!O698</f>
        <v>1679970.3699999999</v>
      </c>
      <c r="P698" s="12">
        <f>+'29'!P698+'30'!P698+'31'!P698</f>
        <v>0</v>
      </c>
      <c r="Q698" s="532"/>
      <c r="R698" s="270">
        <v>0</v>
      </c>
      <c r="S698" s="12">
        <v>0</v>
      </c>
      <c r="T698" s="12">
        <v>0</v>
      </c>
      <c r="U698" s="271"/>
      <c r="V698" s="533">
        <f t="shared" si="81"/>
        <v>2</v>
      </c>
      <c r="W698" s="533">
        <f t="shared" si="82"/>
        <v>1679970.3699999999</v>
      </c>
      <c r="X698" s="257"/>
      <c r="Y698" s="261">
        <f t="shared" si="83"/>
        <v>2</v>
      </c>
      <c r="Z698" s="12">
        <f t="shared" si="84"/>
        <v>1679970.3699999999</v>
      </c>
      <c r="AB698" s="13">
        <f t="shared" si="80"/>
        <v>1679970.3699999999</v>
      </c>
      <c r="AF698" s="13">
        <f t="shared" si="85"/>
        <v>1679970.3699999999</v>
      </c>
      <c r="AM698" s="12">
        <f t="shared" si="86"/>
        <v>0</v>
      </c>
      <c r="AN698" s="13">
        <f t="shared" si="87"/>
        <v>1679970.3699999999</v>
      </c>
    </row>
    <row r="699" spans="1:40" x14ac:dyDescent="0.25">
      <c r="A699">
        <v>694</v>
      </c>
      <c r="B699" t="s">
        <v>3309</v>
      </c>
      <c r="D699" t="s">
        <v>16</v>
      </c>
      <c r="F699" s="514">
        <f>+'29'!F699+'30'!F699+'31'!F699</f>
        <v>0</v>
      </c>
      <c r="G699" s="12">
        <f>+'29'!G699+'30'!G699+'31'!G699</f>
        <v>0</v>
      </c>
      <c r="H699" s="12">
        <f>+'29'!H699+'30'!H699+'31'!H699</f>
        <v>0</v>
      </c>
      <c r="I699" s="271"/>
      <c r="J699" s="514">
        <f>+'29'!J699+'30'!J699+'31'!J699</f>
        <v>0</v>
      </c>
      <c r="K699" s="12">
        <f>+'29'!K699+'30'!K699+'31'!K699</f>
        <v>0</v>
      </c>
      <c r="L699" s="12">
        <f>+'29'!L699+'30'!L699+'31'!L699</f>
        <v>0</v>
      </c>
      <c r="M699" s="271"/>
      <c r="N699" s="514">
        <f>+'29'!N699+'30'!N699+'31'!N699</f>
        <v>0</v>
      </c>
      <c r="O699" s="12">
        <f>+'29'!O699+'30'!O699+'31'!O699</f>
        <v>0</v>
      </c>
      <c r="P699" s="12">
        <f>+'29'!P699+'30'!P699+'31'!P699</f>
        <v>0</v>
      </c>
      <c r="Q699" s="532"/>
      <c r="R699" s="270">
        <v>0</v>
      </c>
      <c r="S699" s="12">
        <v>0</v>
      </c>
      <c r="T699" s="12">
        <v>0</v>
      </c>
      <c r="U699" s="271"/>
      <c r="V699" s="533">
        <f t="shared" si="81"/>
        <v>0</v>
      </c>
      <c r="W699" s="533">
        <f t="shared" si="82"/>
        <v>0</v>
      </c>
      <c r="X699" s="257"/>
      <c r="Y699" s="261">
        <f t="shared" si="83"/>
        <v>0</v>
      </c>
      <c r="Z699" s="12">
        <f t="shared" si="84"/>
        <v>0</v>
      </c>
      <c r="AB699" s="13">
        <f t="shared" si="80"/>
        <v>0</v>
      </c>
      <c r="AF699" s="13">
        <f t="shared" si="85"/>
        <v>0</v>
      </c>
      <c r="AM699" s="12">
        <f t="shared" si="86"/>
        <v>0</v>
      </c>
      <c r="AN699" s="13">
        <f t="shared" si="87"/>
        <v>0</v>
      </c>
    </row>
    <row r="700" spans="1:40" x14ac:dyDescent="0.25">
      <c r="A700">
        <v>695</v>
      </c>
      <c r="B700" t="s">
        <v>3297</v>
      </c>
      <c r="F700" s="514">
        <f>+'29'!F770+'30'!F770+'31'!F770</f>
        <v>0</v>
      </c>
      <c r="G700" s="12">
        <f>+'29'!G770+'30'!G770+'31'!G770</f>
        <v>0</v>
      </c>
      <c r="H700" s="12">
        <f>+'29'!H770+'30'!H770+'31'!H770</f>
        <v>0</v>
      </c>
      <c r="I700" s="271"/>
      <c r="J700" s="514">
        <v>0</v>
      </c>
      <c r="K700" s="12">
        <v>0</v>
      </c>
      <c r="L700" s="12">
        <v>0</v>
      </c>
      <c r="M700" s="271"/>
      <c r="N700" s="514">
        <v>0</v>
      </c>
      <c r="O700" s="12">
        <v>0</v>
      </c>
      <c r="P700" s="12">
        <v>0</v>
      </c>
      <c r="Q700" s="271"/>
      <c r="R700" s="514">
        <v>0</v>
      </c>
      <c r="S700" s="12">
        <v>0</v>
      </c>
      <c r="T700" s="12">
        <v>0</v>
      </c>
      <c r="U700" s="271"/>
      <c r="V700" s="533">
        <f t="shared" si="81"/>
        <v>0</v>
      </c>
      <c r="W700" s="533">
        <f t="shared" si="82"/>
        <v>0</v>
      </c>
      <c r="X700" s="257"/>
      <c r="Y700" s="261">
        <f t="shared" si="83"/>
        <v>0</v>
      </c>
      <c r="Z700" s="12">
        <f t="shared" si="84"/>
        <v>0</v>
      </c>
      <c r="AB700" s="13">
        <f t="shared" si="80"/>
        <v>0</v>
      </c>
      <c r="AD700" s="16"/>
      <c r="AF700" s="13"/>
      <c r="AL700" s="33">
        <v>1570.87</v>
      </c>
      <c r="AM700" s="12">
        <f t="shared" ref="AM700:AM703" si="88">SUM(AG700:AL700)</f>
        <v>1570.87</v>
      </c>
      <c r="AN700" s="13">
        <f t="shared" ref="AN700:AN703" si="89">AF700-AM700</f>
        <v>-1570.87</v>
      </c>
    </row>
    <row r="701" spans="1:40" x14ac:dyDescent="0.25">
      <c r="A701">
        <v>696</v>
      </c>
      <c r="B701" t="s">
        <v>2087</v>
      </c>
      <c r="F701" s="514">
        <f>+'29'!F771+'30'!F771+'31'!F771</f>
        <v>0</v>
      </c>
      <c r="G701" s="12">
        <f>+'29'!G771+'30'!G771+'31'!G771</f>
        <v>0</v>
      </c>
      <c r="H701" s="12">
        <f>+'29'!H771+'30'!H771+'31'!H771</f>
        <v>0</v>
      </c>
      <c r="I701" s="271"/>
      <c r="J701" s="514">
        <f>+'29'!J701+'30'!J701+'31'!J701</f>
        <v>0</v>
      </c>
      <c r="K701" s="12">
        <f>+'29'!K701+'30'!K701+'31'!K701</f>
        <v>0</v>
      </c>
      <c r="L701" s="12">
        <f>+'29'!L701+'30'!L701+'31'!L701</f>
        <v>0</v>
      </c>
      <c r="M701" s="271"/>
      <c r="N701" s="514">
        <f>+'29'!N701+'30'!N701+'31'!N701</f>
        <v>0</v>
      </c>
      <c r="O701" s="12">
        <f>+'29'!O701+'30'!O701+'31'!O701</f>
        <v>0</v>
      </c>
      <c r="P701" s="12">
        <f>+'29'!P701+'30'!P701+'31'!P701</f>
        <v>0</v>
      </c>
      <c r="Q701" s="271"/>
      <c r="R701" s="514">
        <v>0</v>
      </c>
      <c r="S701" s="12">
        <v>0</v>
      </c>
      <c r="T701" s="12">
        <v>0</v>
      </c>
      <c r="U701" s="271"/>
      <c r="V701" s="533">
        <f t="shared" si="81"/>
        <v>0</v>
      </c>
      <c r="W701" s="533">
        <f t="shared" si="82"/>
        <v>0</v>
      </c>
      <c r="X701" s="257"/>
      <c r="Y701" s="261">
        <f t="shared" si="83"/>
        <v>0</v>
      </c>
      <c r="Z701" s="12">
        <f t="shared" si="84"/>
        <v>0</v>
      </c>
      <c r="AB701" s="13">
        <f t="shared" si="80"/>
        <v>0</v>
      </c>
      <c r="AF701" s="13">
        <f t="shared" ref="AF701:AF705" si="90">AB701-AD701</f>
        <v>0</v>
      </c>
      <c r="AL701" s="33">
        <v>9852.2900000000009</v>
      </c>
      <c r="AM701" s="12">
        <f t="shared" si="88"/>
        <v>9852.2900000000009</v>
      </c>
      <c r="AN701" s="13">
        <f t="shared" si="89"/>
        <v>-9852.2900000000009</v>
      </c>
    </row>
    <row r="702" spans="1:40" x14ac:dyDescent="0.25">
      <c r="A702">
        <v>697</v>
      </c>
      <c r="B702" t="s">
        <v>952</v>
      </c>
      <c r="F702" s="514">
        <f>+'29'!F772+'30'!F772+'31'!F772</f>
        <v>0</v>
      </c>
      <c r="G702" s="12">
        <f>+'29'!G772+'30'!G772+'31'!G772</f>
        <v>0</v>
      </c>
      <c r="H702" s="12">
        <f>+'29'!H772+'30'!H772+'31'!H772</f>
        <v>0</v>
      </c>
      <c r="I702" s="271"/>
      <c r="J702" s="514">
        <f>+'29'!J702+'30'!J702+'31'!J702</f>
        <v>0</v>
      </c>
      <c r="K702" s="12">
        <f>+'29'!K702+'30'!K702+'31'!K702</f>
        <v>0</v>
      </c>
      <c r="L702" s="12">
        <f>+'29'!L702+'30'!L702+'31'!L702</f>
        <v>0</v>
      </c>
      <c r="M702" s="271"/>
      <c r="N702" s="514">
        <f>+'29'!N702+'30'!N702+'31'!N702</f>
        <v>0</v>
      </c>
      <c r="O702" s="12">
        <f>+'29'!O702+'30'!O702+'31'!O702</f>
        <v>0</v>
      </c>
      <c r="P702" s="12">
        <f>+'29'!P702+'30'!P702+'31'!P702</f>
        <v>0</v>
      </c>
      <c r="Q702" s="271"/>
      <c r="R702" s="514">
        <v>0</v>
      </c>
      <c r="S702" s="12">
        <v>0</v>
      </c>
      <c r="T702" s="12">
        <v>0</v>
      </c>
      <c r="U702" s="271"/>
      <c r="V702" s="533">
        <f t="shared" si="81"/>
        <v>0</v>
      </c>
      <c r="W702" s="533">
        <f t="shared" si="82"/>
        <v>0</v>
      </c>
      <c r="X702" s="257"/>
      <c r="Y702" s="261">
        <f t="shared" si="83"/>
        <v>0</v>
      </c>
      <c r="Z702" s="12">
        <f t="shared" si="84"/>
        <v>0</v>
      </c>
      <c r="AB702" s="13">
        <f t="shared" si="80"/>
        <v>0</v>
      </c>
      <c r="AF702" s="13">
        <f t="shared" si="90"/>
        <v>0</v>
      </c>
      <c r="AJ702" s="13">
        <v>100</v>
      </c>
      <c r="AM702" s="12">
        <f t="shared" si="88"/>
        <v>100</v>
      </c>
      <c r="AN702" s="13">
        <f t="shared" si="89"/>
        <v>-100</v>
      </c>
    </row>
    <row r="703" spans="1:40" x14ac:dyDescent="0.25">
      <c r="A703">
        <v>698</v>
      </c>
      <c r="B703" t="s">
        <v>404</v>
      </c>
      <c r="F703" s="514">
        <f>+'29'!F773+'30'!F773+'31'!F773</f>
        <v>0</v>
      </c>
      <c r="G703" s="12">
        <f>+'29'!G773+'30'!G773+'31'!G773</f>
        <v>0</v>
      </c>
      <c r="H703" s="12">
        <f>+'29'!H773+'30'!H773+'31'!H773</f>
        <v>0</v>
      </c>
      <c r="I703" s="271"/>
      <c r="J703" s="514">
        <f>+'29'!J703+'30'!J703+'31'!J703</f>
        <v>0</v>
      </c>
      <c r="K703" s="12">
        <f>+'29'!K703+'30'!K703+'31'!K703</f>
        <v>0</v>
      </c>
      <c r="L703" s="12">
        <f>+'29'!L703+'30'!L703+'31'!L703</f>
        <v>0</v>
      </c>
      <c r="M703" s="271"/>
      <c r="N703" s="514">
        <f>+'29'!N703+'30'!N703+'31'!N703</f>
        <v>0</v>
      </c>
      <c r="O703" s="12">
        <f>+'29'!O703+'30'!O703+'31'!O703</f>
        <v>0</v>
      </c>
      <c r="P703" s="12">
        <f>+'29'!P703+'30'!P703+'31'!P703</f>
        <v>0</v>
      </c>
      <c r="Q703" s="271"/>
      <c r="R703" s="514">
        <v>0</v>
      </c>
      <c r="S703" s="12">
        <v>0</v>
      </c>
      <c r="T703" s="12">
        <v>0</v>
      </c>
      <c r="U703" s="271"/>
      <c r="V703" s="533">
        <f t="shared" si="81"/>
        <v>0</v>
      </c>
      <c r="W703" s="533">
        <f t="shared" si="82"/>
        <v>0</v>
      </c>
      <c r="X703" s="257"/>
      <c r="Y703" s="261">
        <f t="shared" si="83"/>
        <v>0</v>
      </c>
      <c r="Z703" s="12">
        <f t="shared" si="84"/>
        <v>0</v>
      </c>
      <c r="AB703" s="13">
        <f t="shared" si="80"/>
        <v>0</v>
      </c>
      <c r="AF703" s="13"/>
      <c r="AI703" s="33">
        <v>4560</v>
      </c>
      <c r="AJ703" s="13"/>
      <c r="AM703" s="12">
        <f t="shared" si="88"/>
        <v>4560</v>
      </c>
      <c r="AN703" s="13">
        <f t="shared" si="89"/>
        <v>-4560</v>
      </c>
    </row>
    <row r="704" spans="1:40" ht="14.25" customHeight="1" x14ac:dyDescent="0.25">
      <c r="A704">
        <v>699</v>
      </c>
      <c r="B704" t="s">
        <v>2441</v>
      </c>
      <c r="F704" s="514">
        <f>+'29'!F774+'30'!F774+'31'!F774</f>
        <v>0</v>
      </c>
      <c r="G704" s="12">
        <f>+'29'!G774+'30'!G774+'31'!G774</f>
        <v>0</v>
      </c>
      <c r="H704" s="12">
        <f>+'29'!H774+'30'!H774+'31'!H774</f>
        <v>0</v>
      </c>
      <c r="I704" s="271"/>
      <c r="J704" s="514">
        <f>+'29'!J704+'30'!J704+'31'!J704</f>
        <v>0</v>
      </c>
      <c r="K704" s="12">
        <f>+'29'!K704+'30'!K704+'31'!K704</f>
        <v>0</v>
      </c>
      <c r="L704" s="12">
        <f>+'29'!L704+'30'!L704+'31'!L704</f>
        <v>0</v>
      </c>
      <c r="M704" s="271"/>
      <c r="N704" s="514">
        <f>+'29'!N704+'30'!N704+'31'!N704</f>
        <v>0</v>
      </c>
      <c r="O704" s="12">
        <f>+'29'!O704+'30'!O704+'31'!O704</f>
        <v>0</v>
      </c>
      <c r="P704" s="12">
        <f>+'29'!P704+'30'!P704+'31'!P704</f>
        <v>0</v>
      </c>
      <c r="Q704" s="271"/>
      <c r="R704" s="514">
        <v>0</v>
      </c>
      <c r="S704" s="12">
        <v>0</v>
      </c>
      <c r="T704" s="12">
        <v>0</v>
      </c>
      <c r="U704" s="271"/>
      <c r="V704" s="533">
        <f t="shared" si="81"/>
        <v>0</v>
      </c>
      <c r="W704" s="533">
        <f t="shared" si="82"/>
        <v>0</v>
      </c>
      <c r="X704" s="257"/>
      <c r="Y704" s="261">
        <f t="shared" si="83"/>
        <v>0</v>
      </c>
      <c r="Z704" s="12">
        <f t="shared" si="84"/>
        <v>0</v>
      </c>
      <c r="AB704" s="13">
        <f t="shared" si="80"/>
        <v>0</v>
      </c>
      <c r="AF704" s="13">
        <f t="shared" si="90"/>
        <v>0</v>
      </c>
      <c r="AJ704" s="13">
        <v>10000</v>
      </c>
      <c r="AL704" s="33">
        <v>17418</v>
      </c>
      <c r="AM704" s="12">
        <f t="shared" ref="AM704:AM712" si="91">SUM(AG704:AL704)</f>
        <v>27418</v>
      </c>
      <c r="AN704" s="13">
        <f t="shared" ref="AN704:AN712" si="92">AF704-AM704</f>
        <v>-27418</v>
      </c>
    </row>
    <row r="705" spans="1:40" x14ac:dyDescent="0.25">
      <c r="A705">
        <v>700</v>
      </c>
      <c r="B705" t="s">
        <v>2442</v>
      </c>
      <c r="F705" s="514">
        <f>+'29'!F775+'30'!F775+'31'!F775</f>
        <v>0</v>
      </c>
      <c r="G705" s="12">
        <f>+'29'!G775+'30'!G775+'31'!G775</f>
        <v>0</v>
      </c>
      <c r="H705" s="12">
        <f>+'29'!H775+'30'!H775+'31'!H775</f>
        <v>0</v>
      </c>
      <c r="I705" s="271"/>
      <c r="J705" s="514">
        <f>+'29'!J705+'30'!J705+'31'!J705</f>
        <v>0</v>
      </c>
      <c r="K705" s="12">
        <f>+'29'!K705+'30'!K705+'31'!K705</f>
        <v>0</v>
      </c>
      <c r="L705" s="12">
        <f>+'29'!L705+'30'!L705+'31'!L705</f>
        <v>0</v>
      </c>
      <c r="M705" s="271"/>
      <c r="N705" s="514">
        <f>+'29'!N705+'30'!N705+'31'!N705</f>
        <v>0</v>
      </c>
      <c r="O705" s="12">
        <f>+'29'!O705+'30'!O705+'31'!O705</f>
        <v>0</v>
      </c>
      <c r="P705" s="12">
        <f>+'29'!P705+'30'!P705+'31'!P705</f>
        <v>0</v>
      </c>
      <c r="Q705" s="271"/>
      <c r="R705" s="514">
        <v>0</v>
      </c>
      <c r="S705" s="12">
        <v>0</v>
      </c>
      <c r="T705" s="12">
        <v>0</v>
      </c>
      <c r="U705" s="271"/>
      <c r="V705" s="533">
        <f t="shared" si="81"/>
        <v>0</v>
      </c>
      <c r="W705" s="533">
        <f t="shared" si="82"/>
        <v>0</v>
      </c>
      <c r="X705" s="257"/>
      <c r="Y705" s="261">
        <f t="shared" si="83"/>
        <v>0</v>
      </c>
      <c r="Z705" s="12">
        <f t="shared" si="84"/>
        <v>0</v>
      </c>
      <c r="AB705" s="13">
        <f t="shared" si="80"/>
        <v>0</v>
      </c>
      <c r="AF705" s="13">
        <f t="shared" si="90"/>
        <v>0</v>
      </c>
      <c r="AJ705" s="13">
        <v>50</v>
      </c>
      <c r="AM705" s="12">
        <f t="shared" si="91"/>
        <v>50</v>
      </c>
      <c r="AN705" s="13">
        <f t="shared" si="92"/>
        <v>-50</v>
      </c>
    </row>
    <row r="706" spans="1:40" x14ac:dyDescent="0.25">
      <c r="A706">
        <v>701</v>
      </c>
      <c r="B706" t="s">
        <v>49</v>
      </c>
      <c r="F706" s="514">
        <f>+'29'!F776+'30'!F776+'31'!F776</f>
        <v>0</v>
      </c>
      <c r="G706" s="12">
        <f>+'29'!G776+'30'!G776+'31'!G776</f>
        <v>0</v>
      </c>
      <c r="H706" s="12">
        <f>+'29'!H776+'30'!H776+'31'!H776</f>
        <v>0</v>
      </c>
      <c r="I706" s="271"/>
      <c r="J706" s="514">
        <f>+'29'!J706+'30'!J706+'31'!J706</f>
        <v>0</v>
      </c>
      <c r="K706" s="12">
        <f>+'29'!K706+'30'!K706+'31'!K706</f>
        <v>0</v>
      </c>
      <c r="L706" s="12">
        <f>+'29'!L706+'30'!L706+'31'!L706</f>
        <v>0</v>
      </c>
      <c r="M706" s="271"/>
      <c r="N706" s="514">
        <f>+'29'!N706+'30'!N706+'31'!N706</f>
        <v>0</v>
      </c>
      <c r="O706" s="12">
        <f>+'29'!O706+'30'!O706+'31'!O706</f>
        <v>0</v>
      </c>
      <c r="P706" s="12">
        <f>+'29'!P706+'30'!P706+'31'!P706</f>
        <v>0</v>
      </c>
      <c r="Q706" s="271"/>
      <c r="R706" s="514">
        <v>0</v>
      </c>
      <c r="S706" s="12">
        <v>0</v>
      </c>
      <c r="T706" s="12">
        <v>0</v>
      </c>
      <c r="U706" s="271"/>
      <c r="V706" s="533">
        <f t="shared" si="81"/>
        <v>0</v>
      </c>
      <c r="W706" s="533">
        <f t="shared" si="82"/>
        <v>0</v>
      </c>
      <c r="X706" s="257"/>
      <c r="Y706" s="261">
        <f t="shared" si="83"/>
        <v>0</v>
      </c>
      <c r="Z706" s="12">
        <f t="shared" si="84"/>
        <v>0</v>
      </c>
      <c r="AB706" s="13">
        <f t="shared" si="80"/>
        <v>0</v>
      </c>
      <c r="AF706" s="13">
        <f t="shared" ref="AF706:AF712" si="93">AB706-AD706</f>
        <v>0</v>
      </c>
      <c r="AJ706" s="13">
        <v>40777</v>
      </c>
      <c r="AM706" s="12">
        <f t="shared" si="91"/>
        <v>40777</v>
      </c>
      <c r="AN706" s="13">
        <f t="shared" si="92"/>
        <v>-40777</v>
      </c>
    </row>
    <row r="707" spans="1:40" x14ac:dyDescent="0.25">
      <c r="A707">
        <v>702</v>
      </c>
      <c r="B707" t="s">
        <v>960</v>
      </c>
      <c r="F707" s="514">
        <f>+'29'!F777+'30'!F777+'31'!F777</f>
        <v>0</v>
      </c>
      <c r="G707" s="12">
        <f>+'29'!G777+'30'!G777+'31'!G777</f>
        <v>0</v>
      </c>
      <c r="H707" s="12">
        <f>+'29'!H777+'30'!H777+'31'!H777</f>
        <v>0</v>
      </c>
      <c r="I707" s="271"/>
      <c r="J707" s="514">
        <f>+'29'!J707+'30'!J707+'31'!J707</f>
        <v>0</v>
      </c>
      <c r="K707" s="12">
        <f>+'29'!K707+'30'!K707+'31'!K707</f>
        <v>0</v>
      </c>
      <c r="L707" s="12">
        <f>+'29'!L707+'30'!L707+'31'!L707</f>
        <v>0</v>
      </c>
      <c r="M707" s="271"/>
      <c r="N707" s="514">
        <f>+'29'!N707+'30'!N707+'31'!N707</f>
        <v>0</v>
      </c>
      <c r="O707" s="12">
        <f>+'29'!O707+'30'!O707+'31'!O707</f>
        <v>0</v>
      </c>
      <c r="P707" s="12">
        <f>+'29'!P707+'30'!P707+'31'!P707</f>
        <v>0</v>
      </c>
      <c r="Q707" s="271"/>
      <c r="R707" s="514">
        <v>0</v>
      </c>
      <c r="S707" s="12">
        <v>0</v>
      </c>
      <c r="T707" s="12">
        <v>0</v>
      </c>
      <c r="U707" s="271"/>
      <c r="V707" s="533">
        <f t="shared" si="81"/>
        <v>0</v>
      </c>
      <c r="W707" s="533">
        <f t="shared" si="82"/>
        <v>0</v>
      </c>
      <c r="X707" s="257"/>
      <c r="Y707" s="261">
        <f t="shared" si="83"/>
        <v>0</v>
      </c>
      <c r="Z707" s="12">
        <f t="shared" si="84"/>
        <v>0</v>
      </c>
      <c r="AB707" s="13">
        <f t="shared" si="80"/>
        <v>0</v>
      </c>
      <c r="AF707" s="13">
        <f t="shared" si="93"/>
        <v>0</v>
      </c>
      <c r="AJ707" s="13">
        <v>150</v>
      </c>
      <c r="AM707" s="12">
        <f t="shared" si="91"/>
        <v>150</v>
      </c>
      <c r="AN707" s="13">
        <f t="shared" si="92"/>
        <v>-150</v>
      </c>
    </row>
    <row r="708" spans="1:40" x14ac:dyDescent="0.25">
      <c r="A708">
        <v>703</v>
      </c>
      <c r="B708" t="s">
        <v>973</v>
      </c>
      <c r="F708" s="514">
        <f>+'29'!F778+'30'!F778+'31'!F778</f>
        <v>0</v>
      </c>
      <c r="G708" s="12">
        <f>+'29'!G778+'30'!G778+'31'!G778</f>
        <v>0</v>
      </c>
      <c r="H708" s="12">
        <f>+'29'!H778+'30'!H778+'31'!H778</f>
        <v>0</v>
      </c>
      <c r="I708" s="271"/>
      <c r="J708" s="514">
        <f>+'29'!J708+'30'!J708+'31'!J708</f>
        <v>0</v>
      </c>
      <c r="K708" s="12">
        <f>+'29'!K708+'30'!K708+'31'!K708</f>
        <v>0</v>
      </c>
      <c r="L708" s="12">
        <f>+'29'!L708+'30'!L708+'31'!L708</f>
        <v>0</v>
      </c>
      <c r="M708" s="271"/>
      <c r="N708" s="514">
        <f>+'29'!N708+'30'!N708+'31'!N708</f>
        <v>0</v>
      </c>
      <c r="O708" s="12">
        <f>+'29'!O708+'30'!O708+'31'!O708</f>
        <v>0</v>
      </c>
      <c r="P708" s="12">
        <f>+'29'!P708+'30'!P708+'31'!P708</f>
        <v>0</v>
      </c>
      <c r="Q708" s="271"/>
      <c r="R708" s="514">
        <v>0</v>
      </c>
      <c r="S708" s="12">
        <v>0</v>
      </c>
      <c r="T708" s="12">
        <v>0</v>
      </c>
      <c r="U708" s="271"/>
      <c r="V708" s="533">
        <f t="shared" si="81"/>
        <v>0</v>
      </c>
      <c r="W708" s="533">
        <f t="shared" si="82"/>
        <v>0</v>
      </c>
      <c r="X708" s="257"/>
      <c r="Y708" s="261">
        <f t="shared" si="83"/>
        <v>0</v>
      </c>
      <c r="Z708" s="12">
        <f t="shared" si="84"/>
        <v>0</v>
      </c>
      <c r="AB708" s="13">
        <f t="shared" si="80"/>
        <v>0</v>
      </c>
      <c r="AF708" s="13">
        <f t="shared" si="93"/>
        <v>0</v>
      </c>
      <c r="AJ708" s="13">
        <v>3500</v>
      </c>
      <c r="AL708" s="33">
        <v>3500</v>
      </c>
      <c r="AM708" s="12">
        <f t="shared" si="91"/>
        <v>7000</v>
      </c>
      <c r="AN708" s="13">
        <f t="shared" si="92"/>
        <v>-7000</v>
      </c>
    </row>
    <row r="709" spans="1:40" x14ac:dyDescent="0.25">
      <c r="A709">
        <v>704</v>
      </c>
      <c r="B709" t="s">
        <v>975</v>
      </c>
      <c r="F709" s="514">
        <f>+'29'!F779+'30'!F779+'31'!F779</f>
        <v>0</v>
      </c>
      <c r="G709" s="12">
        <f>+'29'!G779+'30'!G779+'31'!G779</f>
        <v>0</v>
      </c>
      <c r="H709" s="12">
        <f>+'29'!H779+'30'!H779+'31'!H779</f>
        <v>0</v>
      </c>
      <c r="I709" s="271"/>
      <c r="J709" s="514">
        <f>+'29'!J709+'30'!J709+'31'!J709</f>
        <v>0</v>
      </c>
      <c r="K709" s="12">
        <f>+'29'!K709+'30'!K709+'31'!K709</f>
        <v>0</v>
      </c>
      <c r="L709" s="12">
        <f>+'29'!L709+'30'!L709+'31'!L709</f>
        <v>0</v>
      </c>
      <c r="M709" s="271"/>
      <c r="N709" s="514">
        <f>+'29'!N709+'30'!N709+'31'!N709</f>
        <v>0</v>
      </c>
      <c r="O709" s="12">
        <f>+'29'!O709+'30'!O709+'31'!O709</f>
        <v>0</v>
      </c>
      <c r="P709" s="12">
        <f>+'29'!P709+'30'!P709+'31'!P709</f>
        <v>0</v>
      </c>
      <c r="Q709" s="271"/>
      <c r="R709" s="514">
        <v>0</v>
      </c>
      <c r="S709" s="12">
        <v>0</v>
      </c>
      <c r="T709" s="12">
        <v>0</v>
      </c>
      <c r="U709" s="271"/>
      <c r="V709" s="533">
        <f t="shared" si="81"/>
        <v>0</v>
      </c>
      <c r="W709" s="533">
        <f t="shared" si="82"/>
        <v>0</v>
      </c>
      <c r="X709" s="257"/>
      <c r="Y709" s="261">
        <f t="shared" si="83"/>
        <v>0</v>
      </c>
      <c r="Z709" s="12">
        <f t="shared" si="84"/>
        <v>0</v>
      </c>
      <c r="AB709" s="13">
        <f t="shared" si="80"/>
        <v>0</v>
      </c>
      <c r="AF709" s="13">
        <f t="shared" si="93"/>
        <v>0</v>
      </c>
      <c r="AJ709" s="13">
        <v>980</v>
      </c>
      <c r="AM709" s="12">
        <f t="shared" si="91"/>
        <v>980</v>
      </c>
      <c r="AN709" s="13">
        <f t="shared" si="92"/>
        <v>-980</v>
      </c>
    </row>
    <row r="710" spans="1:40" x14ac:dyDescent="0.25">
      <c r="A710">
        <v>705</v>
      </c>
      <c r="B710" t="s">
        <v>453</v>
      </c>
      <c r="F710" s="514">
        <f>+'29'!F780+'30'!F780+'31'!F780</f>
        <v>0</v>
      </c>
      <c r="G710" s="12">
        <f>+'29'!G780+'30'!G780+'31'!G780</f>
        <v>0</v>
      </c>
      <c r="H710" s="12">
        <f>+'29'!H780+'30'!H780+'31'!H780</f>
        <v>0</v>
      </c>
      <c r="I710" s="271"/>
      <c r="J710" s="514">
        <f>+'29'!J710+'30'!J710+'31'!J710</f>
        <v>0</v>
      </c>
      <c r="K710" s="12">
        <f>+'29'!K710+'30'!K710+'31'!K710</f>
        <v>0</v>
      </c>
      <c r="L710" s="12">
        <f>+'29'!L710+'30'!L710+'31'!L710</f>
        <v>0</v>
      </c>
      <c r="M710" s="271"/>
      <c r="N710" s="514">
        <f>+'29'!N710+'30'!N710+'31'!N710</f>
        <v>0</v>
      </c>
      <c r="O710" s="12">
        <f>+'29'!O710+'30'!O710+'31'!O710</f>
        <v>0</v>
      </c>
      <c r="P710" s="12">
        <f>+'29'!P710+'30'!P710+'31'!P710</f>
        <v>0</v>
      </c>
      <c r="Q710" s="271"/>
      <c r="R710" s="514">
        <v>0</v>
      </c>
      <c r="S710" s="12">
        <v>0</v>
      </c>
      <c r="T710" s="12">
        <v>0</v>
      </c>
      <c r="U710" s="271"/>
      <c r="V710" s="533">
        <f t="shared" si="81"/>
        <v>0</v>
      </c>
      <c r="W710" s="533">
        <f t="shared" si="82"/>
        <v>0</v>
      </c>
      <c r="X710" s="257"/>
      <c r="Y710" s="261">
        <f t="shared" si="83"/>
        <v>0</v>
      </c>
      <c r="Z710" s="12">
        <f t="shared" si="84"/>
        <v>0</v>
      </c>
      <c r="AB710" s="13">
        <f t="shared" si="80"/>
        <v>0</v>
      </c>
      <c r="AF710" s="13">
        <f t="shared" si="93"/>
        <v>0</v>
      </c>
      <c r="AJ710" s="13">
        <v>3500</v>
      </c>
      <c r="AM710" s="12">
        <f t="shared" si="91"/>
        <v>3500</v>
      </c>
      <c r="AN710" s="13">
        <f t="shared" si="92"/>
        <v>-3500</v>
      </c>
    </row>
    <row r="711" spans="1:40" x14ac:dyDescent="0.25">
      <c r="A711">
        <v>706</v>
      </c>
      <c r="B711" t="s">
        <v>3435</v>
      </c>
      <c r="F711" s="514"/>
      <c r="I711" s="271"/>
      <c r="J711" s="514"/>
      <c r="M711" s="271"/>
      <c r="N711" s="514">
        <f>+'29'!N711+'30'!N711+'31'!N711</f>
        <v>0</v>
      </c>
      <c r="O711" s="12">
        <f>+'29'!O711+'30'!O711+'31'!O711</f>
        <v>0</v>
      </c>
      <c r="P711" s="12">
        <f>+'29'!P711+'30'!P711+'31'!P711</f>
        <v>0</v>
      </c>
      <c r="Q711" s="271"/>
      <c r="R711" s="514"/>
      <c r="U711" s="271"/>
      <c r="V711" s="533"/>
      <c r="W711" s="533"/>
      <c r="X711" s="257"/>
      <c r="Y711" s="261"/>
      <c r="Z711" s="12"/>
      <c r="AB711" s="13"/>
      <c r="AF711" s="13"/>
      <c r="AJ711" s="13"/>
      <c r="AL711">
        <v>500</v>
      </c>
      <c r="AM711" s="12"/>
      <c r="AN711" s="13"/>
    </row>
    <row r="712" spans="1:40" x14ac:dyDescent="0.25">
      <c r="A712">
        <v>707</v>
      </c>
      <c r="B712" t="s">
        <v>931</v>
      </c>
      <c r="F712" s="514">
        <f>+'29'!F781+'30'!F781+'31'!F781</f>
        <v>0</v>
      </c>
      <c r="G712" s="12">
        <f>+'29'!G781+'30'!G781+'31'!G781</f>
        <v>0</v>
      </c>
      <c r="H712" s="12">
        <f>+'29'!H781+'30'!H781+'31'!H781</f>
        <v>0</v>
      </c>
      <c r="I712" s="271"/>
      <c r="J712" s="514">
        <f>+'29'!J711+'30'!J711+'31'!J711</f>
        <v>0</v>
      </c>
      <c r="K712" s="12">
        <f>+'29'!K711+'30'!K711+'31'!K711</f>
        <v>0</v>
      </c>
      <c r="L712" s="12">
        <f>+'29'!L711+'30'!L711+'31'!L711</f>
        <v>0</v>
      </c>
      <c r="M712" s="271"/>
      <c r="N712" s="514">
        <f>+'29'!N711+'30'!N711+'31'!N711</f>
        <v>0</v>
      </c>
      <c r="O712" s="12">
        <f>+'29'!O711+'30'!O711+'31'!O711</f>
        <v>0</v>
      </c>
      <c r="P712" s="12">
        <f>+'29'!P711+'30'!P711+'31'!P711</f>
        <v>0</v>
      </c>
      <c r="Q712" s="271"/>
      <c r="R712" s="514">
        <v>0</v>
      </c>
      <c r="S712" s="12">
        <v>0</v>
      </c>
      <c r="T712" s="12">
        <v>0</v>
      </c>
      <c r="U712" s="271"/>
      <c r="V712" s="533">
        <f t="shared" ref="V712:W712" si="94">N712-R712</f>
        <v>0</v>
      </c>
      <c r="W712" s="533">
        <f t="shared" si="94"/>
        <v>0</v>
      </c>
      <c r="X712" s="257"/>
      <c r="Y712" s="261">
        <f t="shared" ref="Y712:Z712" si="95">V712</f>
        <v>0</v>
      </c>
      <c r="Z712" s="12">
        <f t="shared" si="95"/>
        <v>0</v>
      </c>
      <c r="AB712" s="13">
        <f t="shared" si="80"/>
        <v>0</v>
      </c>
      <c r="AF712" s="13">
        <f t="shared" si="93"/>
        <v>0</v>
      </c>
      <c r="AI712" s="33"/>
      <c r="AJ712" s="13">
        <v>779675.07</v>
      </c>
      <c r="AL712" s="33"/>
      <c r="AM712" s="12">
        <f t="shared" si="91"/>
        <v>779675.07</v>
      </c>
      <c r="AN712" s="13">
        <f t="shared" si="92"/>
        <v>-779675.07</v>
      </c>
    </row>
    <row r="713" spans="1:40" ht="15.75" thickBot="1" x14ac:dyDescent="0.3">
      <c r="B713" s="68" t="s">
        <v>691</v>
      </c>
      <c r="F713" s="349">
        <f>SUM(F6:F712)</f>
        <v>95974</v>
      </c>
      <c r="G713" s="350">
        <f>SUM(G6:G712)</f>
        <v>1345152229.2199993</v>
      </c>
      <c r="H713" s="350">
        <f>SUM(H6:H712)</f>
        <v>1628177</v>
      </c>
      <c r="I713" s="351">
        <f>SUM(I6:I712)</f>
        <v>0</v>
      </c>
      <c r="J713" s="349">
        <f>SUM(J6:J712)</f>
        <v>-11</v>
      </c>
      <c r="K713" s="350">
        <f>SUM(K6:K712)</f>
        <v>-474041.14</v>
      </c>
      <c r="L713" s="350">
        <f>SUM(L6:L712)</f>
        <v>-1010</v>
      </c>
      <c r="M713" s="351">
        <f>SUM(M6:M712)</f>
        <v>0</v>
      </c>
      <c r="N713" s="349">
        <f>SUM(N6:N712)</f>
        <v>95963</v>
      </c>
      <c r="O713" s="350">
        <f>SUM(O6:O712)</f>
        <v>1344678188.0799994</v>
      </c>
      <c r="P713" s="350">
        <f>SUM(P6:P712)</f>
        <v>1627167</v>
      </c>
      <c r="Q713" s="356">
        <f>SUM(Q6:Q712)</f>
        <v>0</v>
      </c>
      <c r="R713" s="349">
        <f>SUM(R6:R712)</f>
        <v>91543</v>
      </c>
      <c r="S713" s="350">
        <f>SUM(S6:S712)</f>
        <v>1222402085.114285</v>
      </c>
      <c r="T713" s="350">
        <f>SUM(T6:T712)</f>
        <v>263204.64571428567</v>
      </c>
      <c r="U713" s="351">
        <f>SUM(U6:U712)</f>
        <v>0</v>
      </c>
      <c r="V713" s="349">
        <f>SUM(V6:V712)</f>
        <v>4420</v>
      </c>
      <c r="W713" s="350">
        <f>SUM(W6:W712)</f>
        <v>122276102.96571425</v>
      </c>
      <c r="X713" s="257">
        <f>SUM(X6:X705)</f>
        <v>0</v>
      </c>
      <c r="Y713" s="261">
        <f>SUM(Y6:Y705)</f>
        <v>4420</v>
      </c>
      <c r="Z713" s="12">
        <f>SUM(Z6:Z705)</f>
        <v>122276102.96571425</v>
      </c>
      <c r="AB713" s="14">
        <f>SUM(AB6:AB712)</f>
        <v>1344678188.0799994</v>
      </c>
      <c r="AC713" s="267"/>
      <c r="AD713" s="273">
        <f>SUM(AD6:AD712)</f>
        <v>14517793.135714285</v>
      </c>
      <c r="AE713" s="267"/>
      <c r="AF713" s="267">
        <f>SUM(AF6:AF712)</f>
        <v>1330160394.9442852</v>
      </c>
      <c r="AG713" s="273">
        <f>SUM(AG6:AG712)</f>
        <v>20245992.112946425</v>
      </c>
      <c r="AH713" s="267">
        <f>SUM(AH6:AH712)</f>
        <v>24599</v>
      </c>
      <c r="AI713" s="267">
        <f>SUM(AI6:AI712)</f>
        <v>136469.38</v>
      </c>
      <c r="AJ713" s="267">
        <f>SUM(AJ6:AJ712)</f>
        <v>853969.2699999999</v>
      </c>
      <c r="AK713" s="267">
        <f>SUM(AK6:AK712)</f>
        <v>17967115.620000001</v>
      </c>
      <c r="AL713" s="267">
        <f>SUM(AL6:AL712)</f>
        <v>114470.16</v>
      </c>
      <c r="AM713" s="267">
        <f>SUM(AM6:AM712)</f>
        <v>39342115.542946421</v>
      </c>
      <c r="AN713" s="267">
        <f>SUM(AN6:AN712)</f>
        <v>1290818279.4013391</v>
      </c>
    </row>
    <row r="714" spans="1:40" ht="15.75" thickTop="1" x14ac:dyDescent="0.25">
      <c r="F714" s="270"/>
      <c r="I714" s="271"/>
      <c r="J714" s="270"/>
      <c r="M714" s="271"/>
      <c r="N714" s="270"/>
      <c r="R714" s="270"/>
      <c r="U714" s="271"/>
      <c r="V714" s="270"/>
      <c r="X714" s="257"/>
      <c r="Y714" s="261"/>
      <c r="Z714" s="261"/>
    </row>
    <row r="715" spans="1:40" x14ac:dyDescent="0.25">
      <c r="F715" s="270"/>
      <c r="I715" s="271"/>
      <c r="J715" s="270"/>
      <c r="M715" s="271"/>
      <c r="N715" s="270"/>
      <c r="R715" s="270"/>
      <c r="U715" s="271"/>
      <c r="V715" s="270"/>
      <c r="X715" s="257"/>
      <c r="Y715" s="261"/>
      <c r="Z715" s="12"/>
      <c r="AI715" s="13"/>
    </row>
    <row r="716" spans="1:40" x14ac:dyDescent="0.25">
      <c r="F716" s="270"/>
      <c r="I716" s="271"/>
      <c r="J716" s="270"/>
      <c r="M716" s="271"/>
      <c r="N716" s="270"/>
      <c r="R716" s="270"/>
      <c r="U716" s="271"/>
      <c r="V716" s="270"/>
      <c r="X716" s="257"/>
      <c r="Y716" s="261"/>
      <c r="Z716" s="12"/>
      <c r="AG716" s="16"/>
    </row>
    <row r="717" spans="1:40" x14ac:dyDescent="0.25">
      <c r="F717" s="270"/>
      <c r="I717" s="271"/>
      <c r="J717" s="270"/>
      <c r="M717" s="271"/>
      <c r="N717" s="270"/>
      <c r="R717" s="270"/>
      <c r="U717" s="271"/>
      <c r="V717" s="270"/>
      <c r="X717" s="257"/>
      <c r="Y717" s="261"/>
      <c r="Z717" s="12"/>
    </row>
    <row r="718" spans="1:40" x14ac:dyDescent="0.25">
      <c r="F718" s="270"/>
      <c r="I718" s="271"/>
      <c r="J718" s="270"/>
      <c r="M718" s="271"/>
      <c r="N718" s="270"/>
      <c r="R718" s="270"/>
      <c r="U718" s="271"/>
      <c r="V718" s="270"/>
      <c r="X718" s="257"/>
      <c r="Y718" s="261"/>
      <c r="Z718" s="12"/>
    </row>
    <row r="719" spans="1:40" x14ac:dyDescent="0.25">
      <c r="F719" s="270"/>
      <c r="I719" s="271"/>
      <c r="J719" s="270"/>
      <c r="M719" s="271"/>
      <c r="N719" s="270"/>
      <c r="R719" s="270"/>
      <c r="U719" s="271"/>
      <c r="V719" s="270"/>
      <c r="X719" s="257"/>
      <c r="Y719" s="261"/>
      <c r="Z719" s="12"/>
      <c r="AD719" s="16"/>
    </row>
    <row r="720" spans="1:40" x14ac:dyDescent="0.25">
      <c r="F720" s="270"/>
      <c r="I720" s="271"/>
      <c r="J720" s="270"/>
      <c r="M720" s="271"/>
      <c r="N720" s="270"/>
      <c r="R720" s="270"/>
      <c r="U720" s="271"/>
      <c r="V720" s="270"/>
      <c r="X720" s="257"/>
      <c r="Y720" s="261"/>
      <c r="Z720" s="12"/>
    </row>
    <row r="721" spans="6:26" x14ac:dyDescent="0.25">
      <c r="F721" s="270"/>
      <c r="I721" s="271"/>
      <c r="J721" s="270"/>
      <c r="M721" s="271"/>
      <c r="N721" s="270"/>
      <c r="R721" s="270"/>
      <c r="U721" s="271"/>
      <c r="V721" s="270"/>
      <c r="X721" s="257"/>
      <c r="Y721" s="261"/>
      <c r="Z721" s="12"/>
    </row>
    <row r="722" spans="6:26" x14ac:dyDescent="0.25">
      <c r="F722" s="270"/>
      <c r="I722" s="271"/>
      <c r="J722" s="270"/>
      <c r="M722" s="271"/>
      <c r="N722" s="270"/>
      <c r="R722" s="270"/>
      <c r="U722" s="271"/>
      <c r="V722" s="270"/>
      <c r="X722" s="257"/>
      <c r="Y722" s="261"/>
      <c r="Z722" s="12"/>
    </row>
    <row r="723" spans="6:26" x14ac:dyDescent="0.25">
      <c r="F723" s="270"/>
      <c r="I723" s="271"/>
      <c r="J723" s="270"/>
      <c r="M723" s="271"/>
      <c r="N723" s="270"/>
      <c r="R723" s="270"/>
      <c r="U723" s="271"/>
      <c r="V723" s="270"/>
      <c r="X723" s="257"/>
      <c r="Y723" s="261"/>
      <c r="Z723" s="12"/>
    </row>
    <row r="724" spans="6:26" x14ac:dyDescent="0.25">
      <c r="F724" s="261"/>
      <c r="I724" s="257"/>
      <c r="J724" s="261"/>
      <c r="M724" s="257"/>
      <c r="N724" s="261"/>
      <c r="R724" s="261"/>
      <c r="U724" s="257"/>
      <c r="V724" s="261"/>
    </row>
  </sheetData>
  <mergeCells count="6">
    <mergeCell ref="Y4:Z4"/>
    <mergeCell ref="F4:H4"/>
    <mergeCell ref="J4:L4"/>
    <mergeCell ref="N4:P4"/>
    <mergeCell ref="R4:T4"/>
    <mergeCell ref="V4:W4"/>
  </mergeCells>
  <conditionalFormatting sqref="D6:E712">
    <cfRule type="containsText" dxfId="191" priority="1" operator="containsText" text="false">
      <formula>NOT(ISERROR(SEARCH("false",D6)))</formula>
    </cfRule>
  </conditionalFormatting>
  <conditionalFormatting sqref="J713:L723">
    <cfRule type="cellIs" dxfId="190" priority="27" operator="lessThan">
      <formula>0</formula>
    </cfRule>
    <cfRule type="cellIs" dxfId="189" priority="28" operator="lessThan">
      <formula>0</formula>
    </cfRule>
  </conditionalFormatting>
  <conditionalFormatting sqref="AA6:AA712 X6:X722 I6:I723 U6:U723 M7:M723">
    <cfRule type="containsText" dxfId="188" priority="2" operator="containsText" text="false">
      <formula>NOT(ISERROR(SEARCH("false",I6)))</formula>
    </cfRule>
  </conditionalFormatting>
  <conditionalFormatting sqref="AD5:AG5">
    <cfRule type="containsText" dxfId="187" priority="57" operator="containsText" text="*-">
      <formula>NOT(ISERROR(SEARCH("*-",AD5)))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2"/>
  <sheetViews>
    <sheetView topLeftCell="A34" workbookViewId="0">
      <selection activeCell="B67" sqref="B67"/>
    </sheetView>
  </sheetViews>
  <sheetFormatPr defaultRowHeight="15" x14ac:dyDescent="0.25"/>
  <cols>
    <col min="1" max="1" width="27.7109375" customWidth="1"/>
    <col min="2" max="2" width="15.5703125" style="254" customWidth="1"/>
    <col min="3" max="3" width="30.42578125" customWidth="1"/>
    <col min="5" max="5" width="13.28515625" bestFit="1" customWidth="1"/>
  </cols>
  <sheetData>
    <row r="1" spans="1:8" x14ac:dyDescent="0.25">
      <c r="A1" s="240" t="s">
        <v>2139</v>
      </c>
      <c r="B1" s="241"/>
      <c r="C1" s="240"/>
    </row>
    <row r="2" spans="1:8" x14ac:dyDescent="0.25">
      <c r="A2" s="242" t="s">
        <v>3314</v>
      </c>
      <c r="B2" s="243"/>
      <c r="C2" s="242"/>
    </row>
    <row r="3" spans="1:8" x14ac:dyDescent="0.25">
      <c r="A3" s="240"/>
      <c r="B3" s="241"/>
      <c r="C3" s="240"/>
      <c r="D3" s="469"/>
      <c r="E3" s="469"/>
      <c r="F3" s="469"/>
      <c r="G3" s="469"/>
      <c r="H3" s="469"/>
    </row>
    <row r="4" spans="1:8" ht="20.25" customHeight="1" x14ac:dyDescent="0.25">
      <c r="B4" s="554" t="s">
        <v>3315</v>
      </c>
      <c r="C4" s="555"/>
    </row>
    <row r="5" spans="1:8" ht="12.75" customHeight="1" x14ac:dyDescent="0.25">
      <c r="B5" s="244" t="s">
        <v>704</v>
      </c>
      <c r="C5" s="245" t="s">
        <v>2140</v>
      </c>
    </row>
    <row r="6" spans="1:8" x14ac:dyDescent="0.25">
      <c r="A6" s="246" t="s">
        <v>3080</v>
      </c>
      <c r="B6" s="247">
        <v>0</v>
      </c>
      <c r="C6" s="248"/>
    </row>
    <row r="7" spans="1:8" x14ac:dyDescent="0.25">
      <c r="A7" s="246" t="s">
        <v>712</v>
      </c>
      <c r="B7" s="247">
        <v>0</v>
      </c>
      <c r="C7" s="249"/>
    </row>
    <row r="8" spans="1:8" x14ac:dyDescent="0.25">
      <c r="A8" s="246" t="s">
        <v>713</v>
      </c>
      <c r="B8" s="247">
        <v>0</v>
      </c>
      <c r="C8" s="471"/>
    </row>
    <row r="9" spans="1:8" x14ac:dyDescent="0.25">
      <c r="A9" s="246" t="s">
        <v>714</v>
      </c>
      <c r="B9" s="247">
        <v>0</v>
      </c>
      <c r="C9" s="249"/>
    </row>
    <row r="10" spans="1:8" x14ac:dyDescent="0.25">
      <c r="A10" s="34" t="s">
        <v>2226</v>
      </c>
      <c r="B10" s="247">
        <v>0</v>
      </c>
      <c r="C10" s="248"/>
    </row>
    <row r="11" spans="1:8" x14ac:dyDescent="0.25">
      <c r="A11" s="246" t="s">
        <v>715</v>
      </c>
      <c r="B11" s="247">
        <v>25638.839285714286</v>
      </c>
      <c r="C11" s="249" t="s">
        <v>3234</v>
      </c>
    </row>
    <row r="12" spans="1:8" x14ac:dyDescent="0.25">
      <c r="A12" s="246" t="s">
        <v>718</v>
      </c>
      <c r="B12" s="247">
        <v>4964.7321428571431</v>
      </c>
      <c r="C12" s="249" t="s">
        <v>3234</v>
      </c>
    </row>
    <row r="13" spans="1:8" x14ac:dyDescent="0.25">
      <c r="A13" s="251" t="s">
        <v>719</v>
      </c>
      <c r="B13" s="247">
        <v>2254.0178571428573</v>
      </c>
      <c r="C13" s="249" t="s">
        <v>3234</v>
      </c>
    </row>
    <row r="14" spans="1:8" x14ac:dyDescent="0.25">
      <c r="A14" s="246" t="s">
        <v>716</v>
      </c>
      <c r="B14" s="247">
        <v>37468.75</v>
      </c>
      <c r="C14" s="249" t="s">
        <v>3234</v>
      </c>
    </row>
    <row r="15" spans="1:8" x14ac:dyDescent="0.25">
      <c r="A15" s="251" t="s">
        <v>717</v>
      </c>
      <c r="B15" s="247">
        <v>5112.0535714285716</v>
      </c>
      <c r="C15" s="249" t="s">
        <v>3234</v>
      </c>
    </row>
    <row r="16" spans="1:8" x14ac:dyDescent="0.25">
      <c r="A16" s="246" t="s">
        <v>720</v>
      </c>
      <c r="B16" s="247">
        <v>3221.4285714285716</v>
      </c>
      <c r="C16" s="249" t="s">
        <v>3234</v>
      </c>
    </row>
    <row r="17" spans="1:5" x14ac:dyDescent="0.25">
      <c r="A17" s="246" t="s">
        <v>467</v>
      </c>
      <c r="B17" s="247">
        <v>0</v>
      </c>
      <c r="C17" s="249"/>
      <c r="E17" s="33"/>
    </row>
    <row r="18" spans="1:5" x14ac:dyDescent="0.25">
      <c r="A18" s="251" t="s">
        <v>721</v>
      </c>
      <c r="B18" s="247">
        <v>474.48</v>
      </c>
      <c r="C18" s="249" t="s">
        <v>3316</v>
      </c>
      <c r="E18" s="33"/>
    </row>
    <row r="19" spans="1:5" x14ac:dyDescent="0.25">
      <c r="A19" s="246" t="s">
        <v>724</v>
      </c>
      <c r="B19" s="247">
        <v>4611.16</v>
      </c>
      <c r="C19" s="249" t="s">
        <v>3317</v>
      </c>
    </row>
    <row r="20" spans="1:5" x14ac:dyDescent="0.25">
      <c r="A20" s="251" t="s">
        <v>725</v>
      </c>
      <c r="B20" s="247">
        <v>0</v>
      </c>
      <c r="C20" s="249"/>
    </row>
    <row r="21" spans="1:5" x14ac:dyDescent="0.25">
      <c r="A21" s="246" t="s">
        <v>726</v>
      </c>
      <c r="B21" s="247">
        <v>2003.57</v>
      </c>
      <c r="C21" s="250" t="s">
        <v>3235</v>
      </c>
    </row>
    <row r="22" spans="1:5" x14ac:dyDescent="0.25">
      <c r="A22" s="251" t="s">
        <v>727</v>
      </c>
      <c r="B22" s="247">
        <v>0</v>
      </c>
      <c r="C22" s="471"/>
      <c r="E22" s="33"/>
    </row>
    <row r="23" spans="1:5" x14ac:dyDescent="0.25">
      <c r="A23" s="251" t="s">
        <v>728</v>
      </c>
      <c r="B23" s="247">
        <v>0</v>
      </c>
      <c r="C23" s="248"/>
      <c r="E23" s="33"/>
    </row>
    <row r="24" spans="1:5" x14ac:dyDescent="0.25">
      <c r="A24" s="246" t="s">
        <v>729</v>
      </c>
      <c r="B24" s="247">
        <v>207664.28571428571</v>
      </c>
      <c r="C24" s="250" t="s">
        <v>3191</v>
      </c>
      <c r="E24" s="33"/>
    </row>
    <row r="25" spans="1:5" x14ac:dyDescent="0.25">
      <c r="A25" s="251" t="s">
        <v>227</v>
      </c>
      <c r="B25" s="247">
        <v>0</v>
      </c>
      <c r="C25" s="249"/>
    </row>
    <row r="26" spans="1:5" x14ac:dyDescent="0.25">
      <c r="A26" s="251" t="s">
        <v>576</v>
      </c>
      <c r="B26" s="247">
        <v>0</v>
      </c>
      <c r="C26" s="249"/>
    </row>
    <row r="27" spans="1:5" x14ac:dyDescent="0.25">
      <c r="A27" s="246" t="s">
        <v>730</v>
      </c>
      <c r="B27" s="247">
        <v>0</v>
      </c>
      <c r="C27" s="249"/>
    </row>
    <row r="28" spans="1:5" x14ac:dyDescent="0.25">
      <c r="A28" s="251" t="s">
        <v>637</v>
      </c>
      <c r="B28" s="247">
        <v>0</v>
      </c>
      <c r="C28" s="249"/>
    </row>
    <row r="29" spans="1:5" x14ac:dyDescent="0.25">
      <c r="A29" s="246" t="s">
        <v>731</v>
      </c>
      <c r="B29" s="247">
        <v>0</v>
      </c>
      <c r="C29" s="249"/>
    </row>
    <row r="30" spans="1:5" x14ac:dyDescent="0.25">
      <c r="A30" s="251" t="s">
        <v>36</v>
      </c>
      <c r="B30" s="247">
        <v>1866.0714285714287</v>
      </c>
      <c r="C30" s="250" t="s">
        <v>3191</v>
      </c>
    </row>
    <row r="31" spans="1:5" x14ac:dyDescent="0.25">
      <c r="A31" s="251" t="s">
        <v>732</v>
      </c>
      <c r="B31" s="247">
        <v>0</v>
      </c>
      <c r="C31" s="274"/>
    </row>
    <row r="32" spans="1:5" x14ac:dyDescent="0.25">
      <c r="A32" s="246" t="s">
        <v>733</v>
      </c>
      <c r="B32" s="247">
        <v>699305.36</v>
      </c>
      <c r="C32" s="249" t="s">
        <v>3318</v>
      </c>
    </row>
    <row r="33" spans="1:3" x14ac:dyDescent="0.25">
      <c r="A33" s="246" t="s">
        <v>734</v>
      </c>
      <c r="B33" s="247">
        <v>156042.85999999999</v>
      </c>
      <c r="C33" s="249" t="s">
        <v>3318</v>
      </c>
    </row>
    <row r="34" spans="1:3" x14ac:dyDescent="0.25">
      <c r="A34" s="246" t="s">
        <v>735</v>
      </c>
      <c r="B34" s="247">
        <v>70596.429999999993</v>
      </c>
      <c r="C34" s="249" t="s">
        <v>3318</v>
      </c>
    </row>
    <row r="35" spans="1:3" x14ac:dyDescent="0.25">
      <c r="A35" s="251" t="s">
        <v>736</v>
      </c>
      <c r="B35" s="247">
        <v>486.16</v>
      </c>
      <c r="C35" s="249" t="s">
        <v>3318</v>
      </c>
    </row>
    <row r="36" spans="1:3" x14ac:dyDescent="0.25">
      <c r="A36" s="251" t="s">
        <v>737</v>
      </c>
      <c r="B36" s="247">
        <v>61708.035714285717</v>
      </c>
      <c r="C36" s="249" t="s">
        <v>3234</v>
      </c>
    </row>
    <row r="37" spans="1:3" x14ac:dyDescent="0.25">
      <c r="A37" s="251" t="s">
        <v>738</v>
      </c>
      <c r="B37" s="247">
        <v>810.27</v>
      </c>
      <c r="C37" s="249" t="s">
        <v>3235</v>
      </c>
    </row>
    <row r="38" spans="1:3" x14ac:dyDescent="0.25">
      <c r="A38" s="246" t="s">
        <v>739</v>
      </c>
      <c r="B38" s="247">
        <v>21852.68</v>
      </c>
      <c r="C38" s="249" t="s">
        <v>3235</v>
      </c>
    </row>
    <row r="39" spans="1:3" x14ac:dyDescent="0.25">
      <c r="A39" s="246" t="s">
        <v>740</v>
      </c>
      <c r="B39" s="247">
        <v>0</v>
      </c>
      <c r="C39" s="249"/>
    </row>
    <row r="40" spans="1:3" x14ac:dyDescent="0.25">
      <c r="A40" s="246" t="s">
        <v>741</v>
      </c>
      <c r="B40" s="247">
        <v>1943275.71</v>
      </c>
      <c r="C40" s="249" t="s">
        <v>3321</v>
      </c>
    </row>
    <row r="41" spans="1:3" x14ac:dyDescent="0.25">
      <c r="A41" s="154" t="s">
        <v>742</v>
      </c>
      <c r="B41" s="247">
        <v>0</v>
      </c>
      <c r="C41" s="249"/>
    </row>
    <row r="42" spans="1:3" x14ac:dyDescent="0.25">
      <c r="A42" s="154" t="s">
        <v>688</v>
      </c>
      <c r="B42" s="247">
        <v>8570100</v>
      </c>
      <c r="C42" s="249" t="s">
        <v>3319</v>
      </c>
    </row>
    <row r="43" spans="1:3" x14ac:dyDescent="0.25">
      <c r="A43" s="252" t="s">
        <v>743</v>
      </c>
      <c r="B43" s="247">
        <v>101082.14285714286</v>
      </c>
      <c r="C43" s="249" t="s">
        <v>3320</v>
      </c>
    </row>
    <row r="44" spans="1:3" x14ac:dyDescent="0.25">
      <c r="A44" s="252" t="s">
        <v>2220</v>
      </c>
      <c r="B44" s="247">
        <v>14.732142857142858</v>
      </c>
      <c r="C44" s="249" t="s">
        <v>3320</v>
      </c>
    </row>
    <row r="45" spans="1:3" x14ac:dyDescent="0.25">
      <c r="A45" s="252" t="s">
        <v>2449</v>
      </c>
      <c r="B45" s="247">
        <v>1944.6428571428571</v>
      </c>
      <c r="C45" s="249" t="s">
        <v>3320</v>
      </c>
    </row>
    <row r="46" spans="1:3" x14ac:dyDescent="0.25">
      <c r="A46" s="252" t="s">
        <v>2450</v>
      </c>
      <c r="B46" s="247">
        <v>3152.6785714285716</v>
      </c>
      <c r="C46" s="249" t="s">
        <v>3320</v>
      </c>
    </row>
    <row r="47" spans="1:3" x14ac:dyDescent="0.25">
      <c r="A47" s="252" t="s">
        <v>2451</v>
      </c>
      <c r="B47" s="247">
        <v>117.85714285714286</v>
      </c>
      <c r="C47" s="249" t="s">
        <v>3320</v>
      </c>
    </row>
    <row r="48" spans="1:3" x14ac:dyDescent="0.25">
      <c r="A48" s="252" t="s">
        <v>3091</v>
      </c>
      <c r="B48" s="247">
        <v>0</v>
      </c>
      <c r="C48" s="253"/>
    </row>
    <row r="49" spans="1:3" x14ac:dyDescent="0.25">
      <c r="A49" s="252" t="s">
        <v>2433</v>
      </c>
      <c r="B49" s="247">
        <v>13141.071428571429</v>
      </c>
      <c r="C49" s="249" t="s">
        <v>3320</v>
      </c>
    </row>
    <row r="50" spans="1:3" x14ac:dyDescent="0.25">
      <c r="A50" s="252" t="s">
        <v>481</v>
      </c>
      <c r="B50" s="247">
        <v>1070.5357142857142</v>
      </c>
      <c r="C50" s="249" t="s">
        <v>3320</v>
      </c>
    </row>
    <row r="51" spans="1:3" x14ac:dyDescent="0.25">
      <c r="A51" s="252" t="s">
        <v>745</v>
      </c>
      <c r="B51" s="247">
        <v>98.214285714285708</v>
      </c>
      <c r="C51" s="249" t="s">
        <v>3320</v>
      </c>
    </row>
    <row r="52" spans="1:3" x14ac:dyDescent="0.25">
      <c r="A52" s="252" t="s">
        <v>2452</v>
      </c>
      <c r="B52" s="247">
        <v>2475</v>
      </c>
      <c r="C52" s="249" t="s">
        <v>3320</v>
      </c>
    </row>
    <row r="53" spans="1:3" x14ac:dyDescent="0.25">
      <c r="A53" s="252" t="s">
        <v>3220</v>
      </c>
      <c r="B53" s="247">
        <v>3624.11</v>
      </c>
      <c r="C53" s="249" t="s">
        <v>3322</v>
      </c>
    </row>
    <row r="54" spans="1:3" x14ac:dyDescent="0.25">
      <c r="A54" s="252" t="s">
        <v>2990</v>
      </c>
      <c r="B54" s="247">
        <v>7866.9642857142853</v>
      </c>
      <c r="C54" s="249" t="s">
        <v>3320</v>
      </c>
    </row>
    <row r="55" spans="1:3" x14ac:dyDescent="0.25">
      <c r="A55" s="252" t="s">
        <v>2434</v>
      </c>
      <c r="B55" s="247">
        <v>46671.428571428572</v>
      </c>
      <c r="C55" s="249" t="s">
        <v>3320</v>
      </c>
    </row>
    <row r="56" spans="1:3" x14ac:dyDescent="0.25">
      <c r="A56" s="252" t="s">
        <v>2435</v>
      </c>
      <c r="B56" s="247">
        <v>11991.964285714286</v>
      </c>
      <c r="C56" s="249" t="s">
        <v>3320</v>
      </c>
    </row>
    <row r="57" spans="1:3" x14ac:dyDescent="0.25">
      <c r="A57" s="252" t="s">
        <v>2453</v>
      </c>
      <c r="B57" s="247">
        <v>1237.5</v>
      </c>
      <c r="C57" s="249" t="s">
        <v>3320</v>
      </c>
    </row>
    <row r="58" spans="1:3" x14ac:dyDescent="0.25">
      <c r="A58" s="252" t="s">
        <v>2436</v>
      </c>
      <c r="B58" s="247">
        <v>21096.428571428572</v>
      </c>
      <c r="C58" s="249" t="s">
        <v>3320</v>
      </c>
    </row>
    <row r="59" spans="1:3" x14ac:dyDescent="0.25">
      <c r="A59" s="252" t="s">
        <v>2454</v>
      </c>
      <c r="B59" s="247">
        <v>10725</v>
      </c>
      <c r="C59" s="249" t="s">
        <v>3320</v>
      </c>
    </row>
    <row r="60" spans="1:3" x14ac:dyDescent="0.25">
      <c r="A60" s="252" t="s">
        <v>3221</v>
      </c>
      <c r="B60" s="247">
        <v>0</v>
      </c>
      <c r="C60" s="249"/>
    </row>
    <row r="61" spans="1:3" x14ac:dyDescent="0.25">
      <c r="A61" s="252" t="s">
        <v>744</v>
      </c>
      <c r="B61" s="247">
        <v>0</v>
      </c>
      <c r="C61" s="253"/>
    </row>
    <row r="62" spans="1:3" x14ac:dyDescent="0.25">
      <c r="A62" s="252" t="s">
        <v>746</v>
      </c>
      <c r="B62" s="247">
        <v>2322.77</v>
      </c>
      <c r="C62" s="248" t="s">
        <v>3323</v>
      </c>
    </row>
    <row r="63" spans="1:3" x14ac:dyDescent="0.25">
      <c r="A63" s="252" t="s">
        <v>747</v>
      </c>
      <c r="B63" s="247">
        <v>6811.16</v>
      </c>
      <c r="C63" s="248" t="s">
        <v>3325</v>
      </c>
    </row>
    <row r="64" spans="1:3" x14ac:dyDescent="0.25">
      <c r="A64" s="252" t="s">
        <v>748</v>
      </c>
      <c r="B64" s="247">
        <v>398263.84</v>
      </c>
      <c r="C64" s="248" t="s">
        <v>3323</v>
      </c>
    </row>
    <row r="65" spans="1:3" x14ac:dyDescent="0.25">
      <c r="A65" s="252" t="s">
        <v>749</v>
      </c>
      <c r="B65" s="247">
        <v>142.41071428571428</v>
      </c>
      <c r="C65" s="248" t="s">
        <v>3324</v>
      </c>
    </row>
    <row r="66" spans="1:3" x14ac:dyDescent="0.25">
      <c r="A66" s="252" t="s">
        <v>665</v>
      </c>
      <c r="B66" s="247">
        <v>291401.78999999998</v>
      </c>
      <c r="C66" s="253" t="s">
        <v>3326</v>
      </c>
    </row>
    <row r="67" spans="1:3" x14ac:dyDescent="0.25">
      <c r="A67" s="252" t="s">
        <v>750</v>
      </c>
      <c r="B67" s="247">
        <v>1773084</v>
      </c>
      <c r="C67" s="253" t="s">
        <v>3327</v>
      </c>
    </row>
    <row r="68" spans="1:3" x14ac:dyDescent="0.25">
      <c r="A68" s="252" t="s">
        <v>751</v>
      </c>
      <c r="B68" s="247">
        <v>0</v>
      </c>
      <c r="C68" s="253"/>
    </row>
    <row r="69" spans="1:3" x14ac:dyDescent="0.25">
      <c r="A69" s="68" t="s">
        <v>1001</v>
      </c>
      <c r="B69" s="269">
        <f>SUM(B6:B68)</f>
        <v>14517793.135714285</v>
      </c>
    </row>
    <row r="71" spans="1:3" x14ac:dyDescent="0.25">
      <c r="C71" s="155"/>
    </row>
    <row r="72" spans="1:3" x14ac:dyDescent="0.25">
      <c r="C72" s="155"/>
    </row>
  </sheetData>
  <mergeCells count="1">
    <mergeCell ref="B4:C4"/>
  </mergeCells>
  <phoneticPr fontId="8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7"/>
  <sheetViews>
    <sheetView workbookViewId="0">
      <pane ySplit="5" topLeftCell="A45" activePane="bottomLeft" state="frozen"/>
      <selection activeCell="D4" sqref="D4"/>
      <selection pane="bottomLeft" activeCell="B70" sqref="B70"/>
    </sheetView>
  </sheetViews>
  <sheetFormatPr defaultRowHeight="15" x14ac:dyDescent="0.25"/>
  <cols>
    <col min="1" max="1" width="27.5703125" customWidth="1"/>
    <col min="2" max="2" width="18.7109375" customWidth="1"/>
    <col min="3" max="3" width="24.85546875" hidden="1" customWidth="1"/>
    <col min="4" max="4" width="19.85546875" customWidth="1"/>
    <col min="5" max="8" width="15.7109375" customWidth="1"/>
    <col min="9" max="9" width="26" bestFit="1" customWidth="1"/>
    <col min="10" max="10" width="10.5703125" bestFit="1" customWidth="1"/>
    <col min="11" max="11" width="8.85546875" customWidth="1"/>
  </cols>
  <sheetData>
    <row r="1" spans="1:11" ht="15.75" x14ac:dyDescent="0.25">
      <c r="A1" s="15" t="s">
        <v>701</v>
      </c>
      <c r="B1" s="16"/>
    </row>
    <row r="2" spans="1:11" x14ac:dyDescent="0.25">
      <c r="A2" s="17" t="s">
        <v>3314</v>
      </c>
      <c r="B2" s="16"/>
    </row>
    <row r="3" spans="1:11" x14ac:dyDescent="0.25">
      <c r="B3" s="16"/>
      <c r="D3" s="18">
        <v>45870</v>
      </c>
      <c r="E3" s="18">
        <v>45839</v>
      </c>
      <c r="F3" s="18">
        <v>45809</v>
      </c>
      <c r="G3" s="18">
        <v>45778</v>
      </c>
      <c r="H3" s="18">
        <v>45748</v>
      </c>
      <c r="I3" s="18" t="s">
        <v>3328</v>
      </c>
    </row>
    <row r="4" spans="1:11" x14ac:dyDescent="0.25">
      <c r="A4" s="19"/>
      <c r="B4" s="468"/>
      <c r="C4" s="20"/>
      <c r="E4" s="22"/>
      <c r="F4" s="22" t="s">
        <v>702</v>
      </c>
      <c r="G4" s="21"/>
      <c r="H4" s="21"/>
      <c r="I4" s="21"/>
    </row>
    <row r="5" spans="1:11" s="27" customFormat="1" ht="17.25" customHeight="1" x14ac:dyDescent="0.25">
      <c r="A5" s="23" t="s">
        <v>703</v>
      </c>
      <c r="B5" s="24" t="s">
        <v>704</v>
      </c>
      <c r="C5" s="25" t="s">
        <v>705</v>
      </c>
      <c r="D5" s="26" t="s">
        <v>706</v>
      </c>
      <c r="E5" s="26" t="s">
        <v>707</v>
      </c>
      <c r="F5" s="26" t="s">
        <v>708</v>
      </c>
      <c r="G5" s="26" t="s">
        <v>709</v>
      </c>
      <c r="H5" s="26" t="s">
        <v>710</v>
      </c>
      <c r="I5" s="26" t="s">
        <v>711</v>
      </c>
    </row>
    <row r="6" spans="1:11" x14ac:dyDescent="0.25">
      <c r="A6" s="28" t="s">
        <v>3077</v>
      </c>
      <c r="B6" s="29">
        <f>SUM(D6:I6)</f>
        <v>10017.857142857143</v>
      </c>
      <c r="C6" s="30"/>
      <c r="D6" s="31">
        <v>2916.9642857142858</v>
      </c>
      <c r="E6" s="31">
        <v>3908.9285714285716</v>
      </c>
      <c r="F6" s="31">
        <v>3191.9642857142858</v>
      </c>
      <c r="G6" s="31">
        <v>0</v>
      </c>
      <c r="H6" s="31">
        <v>0</v>
      </c>
      <c r="I6" s="32">
        <v>0</v>
      </c>
    </row>
    <row r="7" spans="1:11" x14ac:dyDescent="0.25">
      <c r="A7" s="34" t="s">
        <v>713</v>
      </c>
      <c r="B7" s="37">
        <f t="shared" ref="B7:B70" si="0">SUM(D7:I7)</f>
        <v>110687.50000000006</v>
      </c>
      <c r="C7" s="35"/>
      <c r="D7" s="36">
        <v>13897.321428571429</v>
      </c>
      <c r="E7" s="36">
        <v>14241.071428571429</v>
      </c>
      <c r="F7" s="36">
        <v>13062.5</v>
      </c>
      <c r="G7" s="36">
        <v>12767.857142857143</v>
      </c>
      <c r="H7" s="36">
        <v>12227.678571428571</v>
      </c>
      <c r="I7" s="36">
        <f>29857.1428571429+14633.9285714286</f>
        <v>44491.0714285715</v>
      </c>
    </row>
    <row r="8" spans="1:11" x14ac:dyDescent="0.25">
      <c r="A8" s="28" t="s">
        <v>714</v>
      </c>
      <c r="B8" s="29">
        <f t="shared" si="0"/>
        <v>1178.5714285714287</v>
      </c>
      <c r="C8" s="30"/>
      <c r="D8" s="31">
        <v>495</v>
      </c>
      <c r="E8" s="31">
        <v>361.42857142857144</v>
      </c>
      <c r="F8" s="31">
        <v>322.14285714285717</v>
      </c>
      <c r="G8" s="31">
        <v>0</v>
      </c>
      <c r="H8" s="31">
        <v>0</v>
      </c>
      <c r="I8" s="32">
        <v>0</v>
      </c>
      <c r="J8" s="33"/>
    </row>
    <row r="9" spans="1:11" x14ac:dyDescent="0.25">
      <c r="A9" s="34" t="s">
        <v>2226</v>
      </c>
      <c r="B9" s="37">
        <f t="shared" si="0"/>
        <v>0</v>
      </c>
      <c r="C9" s="35"/>
      <c r="D9" s="36">
        <v>0</v>
      </c>
      <c r="E9" s="36">
        <v>0</v>
      </c>
      <c r="F9" s="36">
        <v>0</v>
      </c>
      <c r="G9" s="36">
        <v>0</v>
      </c>
      <c r="H9" s="36">
        <v>0</v>
      </c>
      <c r="I9" s="36">
        <v>0</v>
      </c>
    </row>
    <row r="10" spans="1:11" x14ac:dyDescent="0.25">
      <c r="A10" s="28" t="s">
        <v>715</v>
      </c>
      <c r="B10" s="29">
        <f t="shared" si="0"/>
        <v>19917.857142857141</v>
      </c>
      <c r="C10" s="30"/>
      <c r="D10" s="31">
        <v>19917.857142857141</v>
      </c>
      <c r="E10" s="31">
        <v>0</v>
      </c>
      <c r="F10" s="31">
        <v>0</v>
      </c>
      <c r="G10" s="31">
        <v>0</v>
      </c>
      <c r="H10" s="31">
        <v>0</v>
      </c>
      <c r="I10" s="32">
        <v>0</v>
      </c>
    </row>
    <row r="11" spans="1:11" x14ac:dyDescent="0.25">
      <c r="A11" s="34" t="s">
        <v>718</v>
      </c>
      <c r="B11" s="37">
        <f>SUM(D11:I11)</f>
        <v>3378.5714285714284</v>
      </c>
      <c r="C11" s="35"/>
      <c r="D11" s="36">
        <v>3378.5714285714284</v>
      </c>
      <c r="E11" s="36">
        <v>0</v>
      </c>
      <c r="F11" s="36">
        <v>0</v>
      </c>
      <c r="G11" s="36">
        <v>0</v>
      </c>
      <c r="H11" s="36">
        <v>0</v>
      </c>
      <c r="I11" s="36">
        <v>0</v>
      </c>
    </row>
    <row r="12" spans="1:11" x14ac:dyDescent="0.25">
      <c r="A12" s="28" t="s">
        <v>719</v>
      </c>
      <c r="B12" s="29">
        <f>SUM(D12:I12)</f>
        <v>1738.3928571428571</v>
      </c>
      <c r="C12" s="30"/>
      <c r="D12" s="31">
        <v>1738.3928571428571</v>
      </c>
      <c r="E12" s="31">
        <v>0</v>
      </c>
      <c r="F12" s="31">
        <v>0</v>
      </c>
      <c r="G12" s="31">
        <v>0</v>
      </c>
      <c r="H12" s="31">
        <v>0</v>
      </c>
      <c r="I12" s="32">
        <v>0</v>
      </c>
    </row>
    <row r="13" spans="1:11" x14ac:dyDescent="0.25">
      <c r="A13" s="34" t="s">
        <v>716</v>
      </c>
      <c r="B13" s="37">
        <f t="shared" si="0"/>
        <v>30657.589285714286</v>
      </c>
      <c r="C13" s="35"/>
      <c r="D13" s="36">
        <v>30657.589285714286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K13" s="33"/>
    </row>
    <row r="14" spans="1:11" x14ac:dyDescent="0.25">
      <c r="A14" s="28" t="s">
        <v>717</v>
      </c>
      <c r="B14" s="29">
        <f t="shared" si="0"/>
        <v>4144.6428571428569</v>
      </c>
      <c r="C14" s="30"/>
      <c r="D14" s="31">
        <v>4144.6428571428569</v>
      </c>
      <c r="E14" s="31">
        <v>0</v>
      </c>
      <c r="F14" s="31">
        <v>0</v>
      </c>
      <c r="G14" s="31">
        <v>0</v>
      </c>
      <c r="H14" s="31">
        <v>0</v>
      </c>
      <c r="I14" s="32">
        <v>0</v>
      </c>
    </row>
    <row r="15" spans="1:11" x14ac:dyDescent="0.25">
      <c r="A15" s="34" t="s">
        <v>720</v>
      </c>
      <c r="B15" s="37">
        <f t="shared" si="0"/>
        <v>4566.9642857142853</v>
      </c>
      <c r="C15" s="35"/>
      <c r="D15" s="36">
        <v>4566.9642857142853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</row>
    <row r="16" spans="1:11" x14ac:dyDescent="0.25">
      <c r="A16" s="28" t="s">
        <v>467</v>
      </c>
      <c r="B16" s="29">
        <f t="shared" si="0"/>
        <v>39737.5</v>
      </c>
      <c r="C16" s="30"/>
      <c r="D16" s="31">
        <v>29336.607142857141</v>
      </c>
      <c r="E16" s="31">
        <v>3211.6071428571427</v>
      </c>
      <c r="F16" s="31">
        <v>5136.6071428571431</v>
      </c>
      <c r="G16" s="31"/>
      <c r="H16" s="31">
        <v>1021.4285714285714</v>
      </c>
      <c r="I16" s="32">
        <v>1031.25</v>
      </c>
    </row>
    <row r="17" spans="1:11" x14ac:dyDescent="0.25">
      <c r="A17" s="34" t="s">
        <v>721</v>
      </c>
      <c r="B17" s="37">
        <f t="shared" si="0"/>
        <v>137.5</v>
      </c>
      <c r="C17" s="35"/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137.5</v>
      </c>
      <c r="J17" s="33"/>
      <c r="K17" s="33"/>
    </row>
    <row r="18" spans="1:11" x14ac:dyDescent="0.25">
      <c r="A18" s="28" t="s">
        <v>722</v>
      </c>
      <c r="B18" s="29">
        <f t="shared" si="0"/>
        <v>55</v>
      </c>
      <c r="C18" s="30"/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2">
        <v>55</v>
      </c>
    </row>
    <row r="19" spans="1:11" x14ac:dyDescent="0.25">
      <c r="A19" s="34" t="s">
        <v>723</v>
      </c>
      <c r="B19" s="37">
        <f t="shared" si="0"/>
        <v>2667.5</v>
      </c>
      <c r="C19" s="35"/>
      <c r="D19" s="36">
        <v>2667.5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K19" s="33"/>
    </row>
    <row r="20" spans="1:11" x14ac:dyDescent="0.25">
      <c r="A20" s="28" t="s">
        <v>724</v>
      </c>
      <c r="B20" s="29">
        <f t="shared" si="0"/>
        <v>2003.5714285714284</v>
      </c>
      <c r="C20" s="30"/>
      <c r="D20" s="31">
        <v>987.05357142857144</v>
      </c>
      <c r="E20" s="31">
        <v>1016.5178571428571</v>
      </c>
      <c r="F20" s="31">
        <v>0</v>
      </c>
      <c r="G20" s="31">
        <v>0</v>
      </c>
      <c r="H20" s="31">
        <v>0</v>
      </c>
      <c r="I20" s="32">
        <v>0</v>
      </c>
    </row>
    <row r="21" spans="1:11" x14ac:dyDescent="0.25">
      <c r="A21" s="34" t="s">
        <v>725</v>
      </c>
      <c r="B21" s="37">
        <f t="shared" si="0"/>
        <v>10675</v>
      </c>
      <c r="C21" s="35"/>
      <c r="D21" s="566">
        <v>4950</v>
      </c>
      <c r="E21" s="566">
        <v>5725</v>
      </c>
      <c r="F21" s="36">
        <v>0</v>
      </c>
      <c r="G21" s="36">
        <v>0</v>
      </c>
      <c r="H21" s="36">
        <v>0</v>
      </c>
      <c r="I21" s="36">
        <v>0</v>
      </c>
    </row>
    <row r="22" spans="1:11" x14ac:dyDescent="0.25">
      <c r="A22" s="28" t="s">
        <v>726</v>
      </c>
      <c r="B22" s="29">
        <f t="shared" si="0"/>
        <v>2003.5714285714284</v>
      </c>
      <c r="C22" s="30"/>
      <c r="D22" s="31">
        <v>1031.25</v>
      </c>
      <c r="E22" s="31">
        <v>972.32142857142856</v>
      </c>
      <c r="F22" s="31">
        <v>0</v>
      </c>
      <c r="G22" s="31">
        <v>0</v>
      </c>
      <c r="H22" s="31">
        <v>0</v>
      </c>
      <c r="I22" s="32">
        <v>0</v>
      </c>
      <c r="K22" s="33"/>
    </row>
    <row r="23" spans="1:11" x14ac:dyDescent="0.25">
      <c r="A23" s="34" t="s">
        <v>727</v>
      </c>
      <c r="B23" s="37">
        <f t="shared" si="0"/>
        <v>2645843.75</v>
      </c>
      <c r="C23" s="35"/>
      <c r="D23" s="36">
        <v>1313223.2142857143</v>
      </c>
      <c r="E23" s="36">
        <v>1332620.5357142857</v>
      </c>
      <c r="F23" s="36">
        <v>0</v>
      </c>
      <c r="G23" s="36">
        <v>0</v>
      </c>
      <c r="H23" s="36">
        <v>0</v>
      </c>
      <c r="I23" s="36">
        <v>0</v>
      </c>
    </row>
    <row r="24" spans="1:11" x14ac:dyDescent="0.25">
      <c r="A24" s="28" t="s">
        <v>728</v>
      </c>
      <c r="B24" s="29">
        <f t="shared" si="0"/>
        <v>98.214285714285708</v>
      </c>
      <c r="C24" s="30"/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2">
        <v>98.214285714285708</v>
      </c>
    </row>
    <row r="25" spans="1:11" x14ac:dyDescent="0.25">
      <c r="A25" s="34" t="s">
        <v>729</v>
      </c>
      <c r="B25" s="37">
        <f t="shared" si="0"/>
        <v>637151.42857142864</v>
      </c>
      <c r="C25" s="35"/>
      <c r="D25" s="36">
        <v>208120</v>
      </c>
      <c r="E25" s="36">
        <v>211922.85714285713</v>
      </c>
      <c r="F25" s="36">
        <v>0</v>
      </c>
      <c r="G25" s="36">
        <v>217108.57142857142</v>
      </c>
      <c r="H25" s="36">
        <v>0</v>
      </c>
      <c r="I25" s="36">
        <v>0</v>
      </c>
    </row>
    <row r="26" spans="1:11" x14ac:dyDescent="0.25">
      <c r="A26" s="28" t="s">
        <v>227</v>
      </c>
      <c r="B26" s="29">
        <f t="shared" si="0"/>
        <v>1147.1428571428571</v>
      </c>
      <c r="C26" s="30"/>
      <c r="D26" s="31">
        <v>110</v>
      </c>
      <c r="E26" s="31">
        <v>235.71428571428572</v>
      </c>
      <c r="F26" s="31">
        <v>251.42857142857142</v>
      </c>
      <c r="G26" s="31">
        <v>0</v>
      </c>
      <c r="H26" s="31">
        <v>330</v>
      </c>
      <c r="I26" s="32">
        <v>220</v>
      </c>
    </row>
    <row r="27" spans="1:11" x14ac:dyDescent="0.25">
      <c r="A27" s="34" t="s">
        <v>576</v>
      </c>
      <c r="B27" s="37">
        <f t="shared" si="0"/>
        <v>68.599999999999994</v>
      </c>
      <c r="C27" s="35"/>
      <c r="D27" s="36">
        <v>14.7</v>
      </c>
      <c r="E27" s="36">
        <v>14.7</v>
      </c>
      <c r="F27" s="36">
        <v>19.600000000000001</v>
      </c>
      <c r="G27" s="36">
        <v>19.600000000000001</v>
      </c>
      <c r="H27" s="36">
        <v>0</v>
      </c>
      <c r="I27" s="36">
        <v>0</v>
      </c>
    </row>
    <row r="28" spans="1:11" x14ac:dyDescent="0.25">
      <c r="A28" s="28" t="s">
        <v>730</v>
      </c>
      <c r="B28" s="29">
        <f t="shared" si="0"/>
        <v>103974.55357142858</v>
      </c>
      <c r="C28" s="30"/>
      <c r="D28" s="31">
        <v>33770.982142857145</v>
      </c>
      <c r="E28" s="31">
        <v>35853.125</v>
      </c>
      <c r="F28" s="31">
        <v>34350.446428571428</v>
      </c>
      <c r="G28" s="31">
        <v>0</v>
      </c>
      <c r="H28" s="31">
        <v>0</v>
      </c>
      <c r="I28" s="32">
        <v>0</v>
      </c>
    </row>
    <row r="29" spans="1:11" x14ac:dyDescent="0.25">
      <c r="A29" s="34" t="s">
        <v>637</v>
      </c>
      <c r="B29" s="37">
        <f t="shared" si="0"/>
        <v>925664.73214285728</v>
      </c>
      <c r="C29" s="35"/>
      <c r="D29" s="36">
        <v>301886.16071428574</v>
      </c>
      <c r="E29" s="36">
        <v>314649.10714285716</v>
      </c>
      <c r="F29" s="36">
        <v>309129.46428571426</v>
      </c>
      <c r="G29" s="36">
        <v>0</v>
      </c>
      <c r="H29" s="36">
        <v>0</v>
      </c>
      <c r="I29" s="36">
        <v>0</v>
      </c>
    </row>
    <row r="30" spans="1:11" x14ac:dyDescent="0.25">
      <c r="A30" s="28" t="s">
        <v>731</v>
      </c>
      <c r="B30" s="29">
        <f t="shared" si="0"/>
        <v>12016.517857142857</v>
      </c>
      <c r="C30" s="30"/>
      <c r="D30" s="31">
        <v>3805.8035714285716</v>
      </c>
      <c r="E30" s="31">
        <v>4134.8214285714284</v>
      </c>
      <c r="F30" s="31">
        <v>4075.8928571428573</v>
      </c>
      <c r="G30" s="31">
        <v>0</v>
      </c>
      <c r="H30" s="31">
        <v>0</v>
      </c>
      <c r="I30" s="32">
        <v>0</v>
      </c>
    </row>
    <row r="31" spans="1:11" x14ac:dyDescent="0.25">
      <c r="A31" s="34" t="s">
        <v>36</v>
      </c>
      <c r="B31" s="37">
        <f t="shared" si="0"/>
        <v>4169.1964285714284</v>
      </c>
      <c r="C31" s="35"/>
      <c r="D31" s="36">
        <v>1581.25</v>
      </c>
      <c r="E31" s="36">
        <v>1939.7321428571429</v>
      </c>
      <c r="F31" s="36">
        <v>0</v>
      </c>
      <c r="G31" s="36">
        <v>0</v>
      </c>
      <c r="H31" s="36">
        <v>0</v>
      </c>
      <c r="I31" s="36">
        <v>648.21428571428567</v>
      </c>
    </row>
    <row r="32" spans="1:11" x14ac:dyDescent="0.25">
      <c r="A32" s="28" t="s">
        <v>732</v>
      </c>
      <c r="B32" s="29">
        <f t="shared" si="0"/>
        <v>58.928571428571431</v>
      </c>
      <c r="C32" s="30"/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2">
        <v>58.928571428571431</v>
      </c>
    </row>
    <row r="33" spans="1:9" x14ac:dyDescent="0.25">
      <c r="A33" s="34" t="s">
        <v>733</v>
      </c>
      <c r="B33" s="37">
        <f t="shared" si="0"/>
        <v>369865.17857142858</v>
      </c>
      <c r="C33" s="35"/>
      <c r="D33" s="36">
        <v>369865.17857142858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</row>
    <row r="34" spans="1:9" x14ac:dyDescent="0.25">
      <c r="A34" s="28" t="s">
        <v>734</v>
      </c>
      <c r="B34" s="29">
        <f t="shared" si="0"/>
        <v>83442.857142857145</v>
      </c>
      <c r="C34" s="30"/>
      <c r="D34" s="31">
        <v>83442.857142857145</v>
      </c>
      <c r="E34" s="31">
        <v>0</v>
      </c>
      <c r="F34" s="31">
        <v>0</v>
      </c>
      <c r="G34" s="31">
        <v>0</v>
      </c>
      <c r="H34" s="31">
        <v>0</v>
      </c>
      <c r="I34" s="32">
        <v>0</v>
      </c>
    </row>
    <row r="35" spans="1:9" x14ac:dyDescent="0.25">
      <c r="A35" s="34" t="s">
        <v>735</v>
      </c>
      <c r="B35" s="37">
        <f t="shared" si="0"/>
        <v>35091.964285714283</v>
      </c>
      <c r="C35" s="35"/>
      <c r="D35" s="36">
        <v>35091.964285714283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</row>
    <row r="36" spans="1:9" x14ac:dyDescent="0.25">
      <c r="A36" s="28" t="s">
        <v>736</v>
      </c>
      <c r="B36" s="29">
        <f t="shared" si="0"/>
        <v>279.91071428571428</v>
      </c>
      <c r="C36" s="30"/>
      <c r="D36" s="31">
        <v>279.91071428571428</v>
      </c>
      <c r="E36" s="31">
        <v>0</v>
      </c>
      <c r="F36" s="31">
        <v>0</v>
      </c>
      <c r="G36" s="31">
        <v>0</v>
      </c>
      <c r="H36" s="31">
        <v>0</v>
      </c>
      <c r="I36" s="32">
        <v>0</v>
      </c>
    </row>
    <row r="37" spans="1:9" x14ac:dyDescent="0.25">
      <c r="A37" s="34" t="s">
        <v>737</v>
      </c>
      <c r="B37" s="37">
        <f t="shared" si="0"/>
        <v>55108.035714285717</v>
      </c>
      <c r="C37" s="35"/>
      <c r="D37" s="36">
        <v>55108.035714285717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</row>
    <row r="38" spans="1:9" x14ac:dyDescent="0.25">
      <c r="A38" s="28" t="s">
        <v>738</v>
      </c>
      <c r="B38" s="29">
        <f t="shared" si="0"/>
        <v>687.5</v>
      </c>
      <c r="C38" s="30"/>
      <c r="D38" s="31">
        <v>319.19642857142856</v>
      </c>
      <c r="E38" s="31">
        <v>368.30357142857144</v>
      </c>
      <c r="F38" s="31">
        <v>0</v>
      </c>
      <c r="G38" s="31">
        <v>0</v>
      </c>
      <c r="H38" s="31">
        <v>0</v>
      </c>
      <c r="I38" s="32">
        <v>0</v>
      </c>
    </row>
    <row r="39" spans="1:9" x14ac:dyDescent="0.25">
      <c r="A39" s="34" t="s">
        <v>739</v>
      </c>
      <c r="B39" s="37">
        <f t="shared" si="0"/>
        <v>20993.303571428572</v>
      </c>
      <c r="C39" s="35"/>
      <c r="D39" s="36">
        <v>11196.428571428571</v>
      </c>
      <c r="E39" s="36">
        <v>9796.875</v>
      </c>
      <c r="F39" s="36">
        <v>0</v>
      </c>
      <c r="G39" s="36">
        <v>0</v>
      </c>
      <c r="H39" s="36">
        <v>0</v>
      </c>
      <c r="I39" s="36">
        <v>0</v>
      </c>
    </row>
    <row r="40" spans="1:9" x14ac:dyDescent="0.25">
      <c r="A40" s="28" t="s">
        <v>740</v>
      </c>
      <c r="B40" s="29">
        <f t="shared" si="0"/>
        <v>3351650.8928571427</v>
      </c>
      <c r="C40" s="30"/>
      <c r="D40" s="31">
        <v>1552149.107142857</v>
      </c>
      <c r="E40" s="31">
        <v>1799501.7857142857</v>
      </c>
      <c r="F40" s="31">
        <v>0</v>
      </c>
      <c r="G40" s="31">
        <v>0</v>
      </c>
      <c r="H40" s="31">
        <v>0</v>
      </c>
      <c r="I40" s="32">
        <v>0</v>
      </c>
    </row>
    <row r="41" spans="1:9" x14ac:dyDescent="0.25">
      <c r="A41" s="34" t="s">
        <v>741</v>
      </c>
      <c r="B41" s="37">
        <f t="shared" si="0"/>
        <v>1668456.4285714286</v>
      </c>
      <c r="C41" s="35"/>
      <c r="D41" s="36">
        <v>1668456.4285714286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</row>
    <row r="42" spans="1:9" x14ac:dyDescent="0.25">
      <c r="A42" s="28" t="s">
        <v>742</v>
      </c>
      <c r="B42" s="29">
        <f t="shared" si="0"/>
        <v>2262863.5915178573</v>
      </c>
      <c r="C42" s="30"/>
      <c r="D42" s="31">
        <v>375990.80357142858</v>
      </c>
      <c r="E42" s="31">
        <v>373697.99107142858</v>
      </c>
      <c r="F42" s="31">
        <v>498595.625</v>
      </c>
      <c r="G42" s="31">
        <v>527799.15178571432</v>
      </c>
      <c r="H42" s="31">
        <v>486780.02008928574</v>
      </c>
      <c r="I42" s="32">
        <v>0</v>
      </c>
    </row>
    <row r="43" spans="1:9" x14ac:dyDescent="0.25">
      <c r="A43" s="34" t="s">
        <v>688</v>
      </c>
      <c r="B43" s="37">
        <f t="shared" si="0"/>
        <v>4167625</v>
      </c>
      <c r="C43" s="35"/>
      <c r="D43" s="36">
        <v>0</v>
      </c>
      <c r="E43" s="36">
        <v>1184700</v>
      </c>
      <c r="F43" s="36">
        <v>1421789.2857142857</v>
      </c>
      <c r="G43" s="36">
        <v>1561135.7142857143</v>
      </c>
      <c r="H43" s="36">
        <v>0</v>
      </c>
      <c r="I43" s="501">
        <v>0</v>
      </c>
    </row>
    <row r="44" spans="1:9" x14ac:dyDescent="0.25">
      <c r="A44" s="28" t="s">
        <v>743</v>
      </c>
      <c r="B44" s="29">
        <f t="shared" si="0"/>
        <v>182953.57142857142</v>
      </c>
      <c r="C44" s="30"/>
      <c r="D44" s="31">
        <v>182953.57142857142</v>
      </c>
      <c r="E44" s="31">
        <v>0</v>
      </c>
      <c r="F44" s="31">
        <v>0</v>
      </c>
      <c r="G44" s="31">
        <v>0</v>
      </c>
      <c r="H44" s="31">
        <v>0</v>
      </c>
      <c r="I44" s="32">
        <v>0</v>
      </c>
    </row>
    <row r="45" spans="1:9" x14ac:dyDescent="0.25">
      <c r="A45" s="34" t="s">
        <v>2227</v>
      </c>
      <c r="B45" s="37">
        <f t="shared" si="0"/>
        <v>358.48214285714289</v>
      </c>
      <c r="C45" s="35"/>
      <c r="D45" s="36">
        <v>358.48214285714289</v>
      </c>
      <c r="E45" s="36">
        <v>0</v>
      </c>
      <c r="F45" s="36"/>
      <c r="G45" s="36">
        <v>0</v>
      </c>
      <c r="H45" s="36">
        <v>0</v>
      </c>
      <c r="I45" s="36">
        <v>0</v>
      </c>
    </row>
    <row r="46" spans="1:9" x14ac:dyDescent="0.25">
      <c r="A46" s="28" t="s">
        <v>2449</v>
      </c>
      <c r="B46" s="29">
        <f t="shared" si="0"/>
        <v>3977.6785714285716</v>
      </c>
      <c r="C46" s="30"/>
      <c r="D46" s="31">
        <v>3977.6785714285716</v>
      </c>
      <c r="E46" s="31">
        <v>0</v>
      </c>
      <c r="F46" s="31">
        <v>0</v>
      </c>
      <c r="G46" s="31">
        <v>0</v>
      </c>
      <c r="H46" s="31">
        <v>0</v>
      </c>
      <c r="I46" s="32">
        <v>0</v>
      </c>
    </row>
    <row r="47" spans="1:9" x14ac:dyDescent="0.25">
      <c r="A47" s="34" t="s">
        <v>2450</v>
      </c>
      <c r="B47" s="37">
        <f t="shared" si="0"/>
        <v>6806.25</v>
      </c>
      <c r="C47" s="35"/>
      <c r="D47" s="36">
        <v>6806.25</v>
      </c>
      <c r="E47" s="36">
        <v>0</v>
      </c>
      <c r="F47" s="36">
        <v>0</v>
      </c>
      <c r="G47" s="36">
        <v>0</v>
      </c>
      <c r="H47" s="36">
        <v>0</v>
      </c>
      <c r="I47" s="36">
        <v>0</v>
      </c>
    </row>
    <row r="48" spans="1:9" x14ac:dyDescent="0.25">
      <c r="A48" s="28" t="s">
        <v>2451</v>
      </c>
      <c r="B48" s="29">
        <f t="shared" si="0"/>
        <v>58.928571428571431</v>
      </c>
      <c r="C48" s="30"/>
      <c r="D48" s="31">
        <v>58.928571428571431</v>
      </c>
      <c r="E48" s="31">
        <v>0</v>
      </c>
      <c r="F48" s="31">
        <v>0</v>
      </c>
      <c r="G48" s="31">
        <v>0</v>
      </c>
      <c r="H48" s="31">
        <v>0</v>
      </c>
      <c r="I48" s="32">
        <v>0</v>
      </c>
    </row>
    <row r="49" spans="1:9" x14ac:dyDescent="0.25">
      <c r="A49" s="34" t="s">
        <v>3091</v>
      </c>
      <c r="B49" s="37">
        <f t="shared" si="0"/>
        <v>68.75</v>
      </c>
      <c r="C49" s="35"/>
      <c r="D49" s="36">
        <v>0</v>
      </c>
      <c r="E49" s="36">
        <v>0</v>
      </c>
      <c r="F49" s="36">
        <v>0</v>
      </c>
      <c r="G49" s="36">
        <v>0</v>
      </c>
      <c r="H49" s="36">
        <v>49.107142857142854</v>
      </c>
      <c r="I49" s="36">
        <v>19.642857142857142</v>
      </c>
    </row>
    <row r="50" spans="1:9" x14ac:dyDescent="0.25">
      <c r="A50" s="28" t="s">
        <v>3236</v>
      </c>
      <c r="B50" s="29">
        <f t="shared" si="0"/>
        <v>3683.0342857142859</v>
      </c>
      <c r="C50" s="30"/>
      <c r="D50" s="31">
        <v>3653.57</v>
      </c>
      <c r="E50" s="31">
        <v>29.464285714285715</v>
      </c>
      <c r="F50" s="31">
        <v>0</v>
      </c>
      <c r="G50" s="31">
        <v>0</v>
      </c>
      <c r="H50" s="31">
        <v>0</v>
      </c>
      <c r="I50" s="32">
        <v>0</v>
      </c>
    </row>
    <row r="51" spans="1:9" x14ac:dyDescent="0.25">
      <c r="A51" s="34" t="s">
        <v>481</v>
      </c>
      <c r="B51" s="37">
        <f t="shared" si="0"/>
        <v>1198.2142857142858</v>
      </c>
      <c r="C51" s="35"/>
      <c r="D51" s="36">
        <v>1198.2142857142858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</row>
    <row r="52" spans="1:9" x14ac:dyDescent="0.25">
      <c r="A52" s="28" t="s">
        <v>2433</v>
      </c>
      <c r="B52" s="29">
        <f t="shared" si="0"/>
        <v>21891.964285714283</v>
      </c>
      <c r="C52" s="30"/>
      <c r="D52" s="31">
        <v>21891.964285714283</v>
      </c>
      <c r="E52" s="31">
        <v>0</v>
      </c>
      <c r="F52" s="31">
        <v>0</v>
      </c>
      <c r="G52" s="31">
        <v>0</v>
      </c>
      <c r="H52" s="31">
        <v>0</v>
      </c>
      <c r="I52" s="32">
        <v>0</v>
      </c>
    </row>
    <row r="53" spans="1:9" x14ac:dyDescent="0.25">
      <c r="A53" s="34" t="s">
        <v>744</v>
      </c>
      <c r="B53" s="37">
        <f t="shared" si="0"/>
        <v>0</v>
      </c>
      <c r="C53" s="35"/>
      <c r="D53" s="36">
        <v>0</v>
      </c>
      <c r="E53" s="36">
        <v>0</v>
      </c>
      <c r="F53" s="36">
        <v>0</v>
      </c>
      <c r="G53" s="36">
        <v>0</v>
      </c>
      <c r="H53" s="36">
        <v>0</v>
      </c>
      <c r="I53" s="36">
        <v>0</v>
      </c>
    </row>
    <row r="54" spans="1:9" x14ac:dyDescent="0.25">
      <c r="A54" s="28" t="s">
        <v>745</v>
      </c>
      <c r="B54" s="29">
        <f t="shared" si="0"/>
        <v>142.41071428571428</v>
      </c>
      <c r="C54" s="30"/>
      <c r="D54" s="31">
        <v>142.41071428571428</v>
      </c>
      <c r="E54" s="31">
        <v>0</v>
      </c>
      <c r="F54" s="31">
        <v>0</v>
      </c>
      <c r="G54" s="31">
        <v>0</v>
      </c>
      <c r="H54" s="31">
        <v>0</v>
      </c>
      <c r="I54" s="32">
        <v>0</v>
      </c>
    </row>
    <row r="55" spans="1:9" x14ac:dyDescent="0.25">
      <c r="A55" s="34" t="s">
        <v>2452</v>
      </c>
      <c r="B55" s="37">
        <f t="shared" si="0"/>
        <v>4596.4285714285716</v>
      </c>
      <c r="C55" s="35"/>
      <c r="D55" s="36">
        <v>4596.4285714285716</v>
      </c>
      <c r="E55" s="36">
        <v>0</v>
      </c>
      <c r="F55" s="36">
        <v>0</v>
      </c>
      <c r="G55" s="36">
        <v>0</v>
      </c>
      <c r="H55" s="36">
        <v>0</v>
      </c>
      <c r="I55" s="36">
        <v>0</v>
      </c>
    </row>
    <row r="56" spans="1:9" x14ac:dyDescent="0.25">
      <c r="A56" s="28" t="s">
        <v>3189</v>
      </c>
      <c r="B56" s="29">
        <f t="shared" si="0"/>
        <v>5185.7142857142862</v>
      </c>
      <c r="C56" s="30"/>
      <c r="D56" s="31">
        <v>5185.7142857142862</v>
      </c>
      <c r="E56" s="31">
        <v>0</v>
      </c>
      <c r="F56" s="31">
        <v>0</v>
      </c>
      <c r="G56" s="31">
        <v>0</v>
      </c>
      <c r="H56" s="31">
        <v>0</v>
      </c>
      <c r="I56" s="32">
        <v>0</v>
      </c>
    </row>
    <row r="57" spans="1:9" x14ac:dyDescent="0.25">
      <c r="A57" s="34" t="s">
        <v>2443</v>
      </c>
      <c r="B57" s="37">
        <f t="shared" si="0"/>
        <v>15881.25</v>
      </c>
      <c r="C57" s="35"/>
      <c r="D57" s="36">
        <v>15881.25</v>
      </c>
      <c r="E57" s="36">
        <v>0</v>
      </c>
      <c r="F57" s="36">
        <v>0</v>
      </c>
      <c r="G57" s="36">
        <v>0</v>
      </c>
      <c r="H57" s="36">
        <v>0</v>
      </c>
      <c r="I57" s="36">
        <v>0</v>
      </c>
    </row>
    <row r="58" spans="1:9" x14ac:dyDescent="0.25">
      <c r="A58" s="28" t="s">
        <v>2434</v>
      </c>
      <c r="B58" s="29">
        <f t="shared" si="0"/>
        <v>119124.10714285714</v>
      </c>
      <c r="C58" s="30"/>
      <c r="D58" s="31">
        <v>119124.10714285714</v>
      </c>
      <c r="E58" s="31">
        <v>0</v>
      </c>
      <c r="F58" s="31">
        <v>0</v>
      </c>
      <c r="G58" s="31">
        <v>0</v>
      </c>
      <c r="H58" s="31">
        <v>0</v>
      </c>
      <c r="I58" s="32">
        <v>0</v>
      </c>
    </row>
    <row r="59" spans="1:9" x14ac:dyDescent="0.25">
      <c r="A59" s="34" t="s">
        <v>2435</v>
      </c>
      <c r="B59" s="37">
        <f t="shared" si="0"/>
        <v>37714.282857142854</v>
      </c>
      <c r="C59" s="35"/>
      <c r="D59" s="36">
        <v>28344.639999999999</v>
      </c>
      <c r="E59" s="36">
        <v>0</v>
      </c>
      <c r="F59" s="36">
        <v>0</v>
      </c>
      <c r="G59" s="36">
        <v>9369.6428571428569</v>
      </c>
      <c r="H59" s="36"/>
      <c r="I59" s="36"/>
    </row>
    <row r="60" spans="1:9" x14ac:dyDescent="0.25">
      <c r="A60" s="28" t="s">
        <v>2453</v>
      </c>
      <c r="B60" s="29">
        <f t="shared" si="0"/>
        <v>8191.0714285714284</v>
      </c>
      <c r="C60" s="30"/>
      <c r="D60" s="31">
        <v>8191.0714285714284</v>
      </c>
      <c r="E60" s="31">
        <v>0</v>
      </c>
      <c r="F60" s="31">
        <v>0</v>
      </c>
      <c r="G60" s="31">
        <v>0</v>
      </c>
      <c r="H60" s="31">
        <v>0</v>
      </c>
      <c r="I60" s="32">
        <v>0</v>
      </c>
    </row>
    <row r="61" spans="1:9" x14ac:dyDescent="0.25">
      <c r="A61" s="34" t="s">
        <v>2436</v>
      </c>
      <c r="B61" s="37">
        <f t="shared" si="0"/>
        <v>42664.28571428571</v>
      </c>
      <c r="C61" s="35"/>
      <c r="D61" s="36">
        <v>42664.28571428571</v>
      </c>
      <c r="E61" s="36">
        <v>0</v>
      </c>
      <c r="F61" s="36">
        <v>0</v>
      </c>
      <c r="G61" s="36">
        <v>0</v>
      </c>
      <c r="H61" s="36">
        <v>0</v>
      </c>
      <c r="I61" s="36">
        <v>0</v>
      </c>
    </row>
    <row r="62" spans="1:9" x14ac:dyDescent="0.25">
      <c r="A62" s="28" t="s">
        <v>2454</v>
      </c>
      <c r="B62" s="29">
        <f t="shared" si="0"/>
        <v>35710.714285714283</v>
      </c>
      <c r="C62" s="30"/>
      <c r="D62" s="31">
        <v>35710.714285714283</v>
      </c>
      <c r="E62" s="31">
        <v>0</v>
      </c>
      <c r="F62" s="31">
        <v>0</v>
      </c>
      <c r="G62" s="31">
        <v>0</v>
      </c>
      <c r="H62" s="31">
        <v>0</v>
      </c>
      <c r="I62" s="32">
        <v>0</v>
      </c>
    </row>
    <row r="63" spans="1:9" x14ac:dyDescent="0.25">
      <c r="A63" s="34" t="s">
        <v>3222</v>
      </c>
      <c r="B63" s="37">
        <f t="shared" si="0"/>
        <v>559.81999999999994</v>
      </c>
      <c r="C63" s="35"/>
      <c r="D63" s="36">
        <v>353.57</v>
      </c>
      <c r="E63" s="36">
        <v>206.25</v>
      </c>
      <c r="F63" s="36">
        <v>0</v>
      </c>
      <c r="G63" s="36">
        <v>0</v>
      </c>
      <c r="H63" s="36">
        <v>0</v>
      </c>
      <c r="I63" s="36">
        <v>0</v>
      </c>
    </row>
    <row r="64" spans="1:9" x14ac:dyDescent="0.25">
      <c r="A64" s="28" t="s">
        <v>746</v>
      </c>
      <c r="B64" s="29">
        <f t="shared" si="0"/>
        <v>2931.7</v>
      </c>
      <c r="C64" s="30"/>
      <c r="D64" s="31">
        <v>2312.9499999999998</v>
      </c>
      <c r="E64" s="31">
        <v>618.75</v>
      </c>
      <c r="F64" s="31">
        <v>0</v>
      </c>
      <c r="G64" s="31">
        <v>0</v>
      </c>
      <c r="H64" s="31">
        <v>0</v>
      </c>
      <c r="I64" s="32">
        <v>0</v>
      </c>
    </row>
    <row r="65" spans="1:9" x14ac:dyDescent="0.25">
      <c r="A65" s="34" t="s">
        <v>747</v>
      </c>
      <c r="B65" s="37">
        <f t="shared" si="0"/>
        <v>6064.7292857142857</v>
      </c>
      <c r="C65" s="35"/>
      <c r="D65" s="36">
        <v>3869.64</v>
      </c>
      <c r="E65" s="36">
        <v>2195.0892857142858</v>
      </c>
      <c r="F65" s="36">
        <v>0</v>
      </c>
      <c r="G65" s="36">
        <v>0</v>
      </c>
      <c r="H65" s="36">
        <v>0</v>
      </c>
      <c r="I65" s="36">
        <v>0</v>
      </c>
    </row>
    <row r="66" spans="1:9" x14ac:dyDescent="0.25">
      <c r="A66" s="28" t="s">
        <v>748</v>
      </c>
      <c r="B66" s="29">
        <f t="shared" si="0"/>
        <v>558579.01428571425</v>
      </c>
      <c r="C66" s="30"/>
      <c r="D66" s="31">
        <v>378768.3</v>
      </c>
      <c r="E66" s="31">
        <v>179810.71428571429</v>
      </c>
      <c r="F66" s="31">
        <v>0</v>
      </c>
      <c r="G66" s="31">
        <v>0</v>
      </c>
      <c r="H66" s="31">
        <v>0</v>
      </c>
      <c r="I66" s="32">
        <v>0</v>
      </c>
    </row>
    <row r="67" spans="1:9" x14ac:dyDescent="0.25">
      <c r="A67" s="34" t="s">
        <v>749</v>
      </c>
      <c r="B67" s="37">
        <f t="shared" si="0"/>
        <v>412.50142857142856</v>
      </c>
      <c r="C67" s="35"/>
      <c r="D67" s="36">
        <v>333.93</v>
      </c>
      <c r="E67" s="36">
        <v>78.571428571428569</v>
      </c>
      <c r="F67" s="36">
        <v>0</v>
      </c>
      <c r="G67" s="36">
        <v>0</v>
      </c>
      <c r="H67" s="36">
        <v>0</v>
      </c>
      <c r="I67" s="36">
        <v>0</v>
      </c>
    </row>
    <row r="68" spans="1:9" x14ac:dyDescent="0.25">
      <c r="A68" s="28" t="s">
        <v>665</v>
      </c>
      <c r="B68" s="29">
        <f t="shared" si="0"/>
        <v>87950.892857142855</v>
      </c>
      <c r="C68" s="30"/>
      <c r="D68" s="31">
        <v>87950.892857142855</v>
      </c>
      <c r="E68" s="31">
        <v>0</v>
      </c>
      <c r="F68" s="31">
        <v>0</v>
      </c>
      <c r="G68" s="31">
        <v>0</v>
      </c>
      <c r="H68" s="31">
        <v>0</v>
      </c>
      <c r="I68" s="32">
        <v>0</v>
      </c>
    </row>
    <row r="69" spans="1:9" x14ac:dyDescent="0.25">
      <c r="A69" s="34" t="s">
        <v>750</v>
      </c>
      <c r="B69" s="37">
        <f t="shared" si="0"/>
        <v>2496096</v>
      </c>
      <c r="C69" s="35"/>
      <c r="D69" s="36">
        <v>2496096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</row>
    <row r="70" spans="1:9" x14ac:dyDescent="0.25">
      <c r="A70" s="28" t="s">
        <v>751</v>
      </c>
      <c r="B70" s="29">
        <f t="shared" si="0"/>
        <v>13365</v>
      </c>
      <c r="C70" s="30"/>
      <c r="D70" s="31">
        <v>2695</v>
      </c>
      <c r="E70" s="31">
        <v>4730</v>
      </c>
      <c r="F70" s="31">
        <v>3025</v>
      </c>
      <c r="G70" s="31">
        <v>0</v>
      </c>
      <c r="H70" s="31">
        <v>0</v>
      </c>
      <c r="I70" s="32">
        <v>2915</v>
      </c>
    </row>
    <row r="71" spans="1:9" x14ac:dyDescent="0.25">
      <c r="A71" s="38" t="s">
        <v>691</v>
      </c>
      <c r="B71" s="39">
        <f>SUM(B6:B70)</f>
        <v>20245992.112946417</v>
      </c>
      <c r="D71" s="40">
        <f>SUM(D6:D70)</f>
        <v>9588217.3000000007</v>
      </c>
      <c r="E71" s="40">
        <f t="shared" ref="E71:I71" si="1">SUM(E6:E70)</f>
        <v>5486541.2625000011</v>
      </c>
      <c r="F71" s="40">
        <f t="shared" si="1"/>
        <v>2292949.9571428569</v>
      </c>
      <c r="G71" s="40">
        <f t="shared" si="1"/>
        <v>2328200.5374999996</v>
      </c>
      <c r="H71" s="40">
        <f t="shared" si="1"/>
        <v>500408.23437500006</v>
      </c>
      <c r="I71" s="40">
        <f>SUM(I6:I70)</f>
        <v>49674.821428571493</v>
      </c>
    </row>
    <row r="72" spans="1:9" x14ac:dyDescent="0.25">
      <c r="D72" s="33"/>
    </row>
    <row r="73" spans="1:9" x14ac:dyDescent="0.25">
      <c r="D73" s="33"/>
    </row>
    <row r="74" spans="1:9" x14ac:dyDescent="0.25">
      <c r="B74" s="13"/>
      <c r="D74" s="33"/>
    </row>
    <row r="75" spans="1:9" x14ac:dyDescent="0.25">
      <c r="D75" s="33"/>
    </row>
    <row r="76" spans="1:9" x14ac:dyDescent="0.25">
      <c r="B76" s="13"/>
      <c r="D76" s="33"/>
    </row>
    <row r="77" spans="1:9" x14ac:dyDescent="0.25">
      <c r="D77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8"/>
  <sheetViews>
    <sheetView workbookViewId="0">
      <selection activeCell="B17" sqref="B17"/>
    </sheetView>
  </sheetViews>
  <sheetFormatPr defaultRowHeight="15" x14ac:dyDescent="0.25"/>
  <cols>
    <col min="1" max="1" width="27.5703125" customWidth="1"/>
    <col min="2" max="2" width="21.28515625" bestFit="1" customWidth="1"/>
    <col min="3" max="3" width="27" bestFit="1" customWidth="1"/>
    <col min="4" max="4" width="16.7109375" customWidth="1"/>
    <col min="5" max="5" width="19.42578125" customWidth="1"/>
    <col min="6" max="6" width="6.28515625" customWidth="1"/>
    <col min="7" max="7" width="10" customWidth="1"/>
    <col min="8" max="8" width="12.28515625" customWidth="1"/>
    <col min="9" max="9" width="5.5703125" hidden="1" customWidth="1"/>
    <col min="10" max="10" width="16.7109375" customWidth="1"/>
    <col min="11" max="11" width="53" hidden="1" customWidth="1"/>
  </cols>
  <sheetData>
    <row r="1" spans="1:12" x14ac:dyDescent="0.25">
      <c r="A1" s="41" t="s">
        <v>3085</v>
      </c>
    </row>
    <row r="2" spans="1:12" x14ac:dyDescent="0.25">
      <c r="A2" t="s">
        <v>3165</v>
      </c>
    </row>
    <row r="3" spans="1:12" ht="30.75" customHeight="1" x14ac:dyDescent="0.25">
      <c r="A3" s="42" t="s">
        <v>752</v>
      </c>
      <c r="B3" s="42" t="s">
        <v>753</v>
      </c>
      <c r="C3" s="42" t="s">
        <v>754</v>
      </c>
      <c r="D3" s="42" t="s">
        <v>755</v>
      </c>
      <c r="E3" s="42" t="s">
        <v>756</v>
      </c>
      <c r="F3" s="42" t="s">
        <v>3168</v>
      </c>
      <c r="G3" s="42" t="s">
        <v>3169</v>
      </c>
      <c r="H3" s="470" t="s">
        <v>3170</v>
      </c>
      <c r="I3" s="42"/>
      <c r="J3" s="42" t="s">
        <v>757</v>
      </c>
      <c r="K3" s="42" t="s">
        <v>705</v>
      </c>
    </row>
    <row r="4" spans="1:12" x14ac:dyDescent="0.25">
      <c r="A4" s="43">
        <v>43968.022233796299</v>
      </c>
      <c r="B4" s="44" t="s">
        <v>3171</v>
      </c>
      <c r="C4" s="44" t="s">
        <v>758</v>
      </c>
      <c r="D4" s="45">
        <v>20040000384075</v>
      </c>
      <c r="E4" s="44" t="s">
        <v>759</v>
      </c>
      <c r="F4" s="46">
        <v>1</v>
      </c>
      <c r="G4" s="47">
        <v>650</v>
      </c>
      <c r="H4" s="47">
        <v>650</v>
      </c>
      <c r="I4" s="46">
        <v>20</v>
      </c>
      <c r="J4" s="46"/>
      <c r="K4" s="44" t="s">
        <v>760</v>
      </c>
    </row>
    <row r="5" spans="1:12" x14ac:dyDescent="0.25">
      <c r="A5" s="43">
        <v>43970.532789351855</v>
      </c>
      <c r="B5" s="44" t="s">
        <v>761</v>
      </c>
      <c r="C5" s="44" t="s">
        <v>762</v>
      </c>
      <c r="D5" s="45">
        <v>17040000015156</v>
      </c>
      <c r="E5" s="44" t="s">
        <v>759</v>
      </c>
      <c r="F5" s="46">
        <v>1</v>
      </c>
      <c r="G5" s="47">
        <v>855</v>
      </c>
      <c r="H5" s="47">
        <v>855</v>
      </c>
      <c r="I5" s="46">
        <v>20</v>
      </c>
      <c r="J5" s="46"/>
      <c r="K5" s="44" t="s">
        <v>760</v>
      </c>
    </row>
    <row r="6" spans="1:12" x14ac:dyDescent="0.25">
      <c r="A6" s="48">
        <v>43894.00409722222</v>
      </c>
      <c r="B6" s="49" t="s">
        <v>3172</v>
      </c>
      <c r="C6" s="49" t="s">
        <v>3173</v>
      </c>
      <c r="D6" s="50">
        <v>19110000318514</v>
      </c>
      <c r="E6" s="44" t="s">
        <v>759</v>
      </c>
      <c r="F6" s="51">
        <v>1</v>
      </c>
      <c r="G6" s="47">
        <v>1794</v>
      </c>
      <c r="H6" s="52">
        <v>1794</v>
      </c>
      <c r="I6" s="51">
        <v>20</v>
      </c>
      <c r="J6" s="53">
        <f>SUM(H4:H6)</f>
        <v>3299</v>
      </c>
      <c r="K6" s="44" t="s">
        <v>760</v>
      </c>
      <c r="L6" s="54"/>
    </row>
    <row r="7" spans="1:12" x14ac:dyDescent="0.25">
      <c r="A7" s="48" t="s">
        <v>763</v>
      </c>
      <c r="B7" s="44" t="s">
        <v>3174</v>
      </c>
      <c r="C7" s="44" t="s">
        <v>3175</v>
      </c>
      <c r="D7" s="45">
        <v>18030000036261</v>
      </c>
      <c r="E7" s="44" t="s">
        <v>3176</v>
      </c>
      <c r="F7" s="55">
        <v>1</v>
      </c>
      <c r="G7" s="47">
        <v>5000</v>
      </c>
      <c r="H7" s="47">
        <v>5000</v>
      </c>
      <c r="I7" s="56"/>
      <c r="J7" s="56"/>
      <c r="K7" s="44" t="s">
        <v>764</v>
      </c>
      <c r="L7" s="54"/>
    </row>
    <row r="8" spans="1:12" x14ac:dyDescent="0.25">
      <c r="A8" s="43">
        <v>43970.41375</v>
      </c>
      <c r="B8" s="44" t="s">
        <v>3177</v>
      </c>
      <c r="C8" s="44" t="s">
        <v>3178</v>
      </c>
      <c r="D8" s="45">
        <v>18120000131450</v>
      </c>
      <c r="E8" s="44" t="s">
        <v>3176</v>
      </c>
      <c r="F8" s="46">
        <v>1</v>
      </c>
      <c r="G8" s="47">
        <v>5000</v>
      </c>
      <c r="H8" s="47">
        <v>5000</v>
      </c>
      <c r="I8" s="46">
        <v>50</v>
      </c>
      <c r="J8" s="46"/>
      <c r="K8" s="44" t="s">
        <v>764</v>
      </c>
    </row>
    <row r="9" spans="1:12" x14ac:dyDescent="0.25">
      <c r="A9" s="57" t="s">
        <v>765</v>
      </c>
      <c r="B9" s="44" t="s">
        <v>3179</v>
      </c>
      <c r="C9" s="44" t="s">
        <v>3180</v>
      </c>
      <c r="D9" s="58" t="s">
        <v>3181</v>
      </c>
      <c r="E9" s="44" t="s">
        <v>3176</v>
      </c>
      <c r="F9" s="59">
        <v>1</v>
      </c>
      <c r="G9" s="47">
        <v>10000</v>
      </c>
      <c r="H9" s="60">
        <v>10000</v>
      </c>
      <c r="I9" s="61">
        <v>50</v>
      </c>
      <c r="J9" s="62">
        <f>SUM(H7:H9)</f>
        <v>20000</v>
      </c>
      <c r="K9" s="44" t="s">
        <v>764</v>
      </c>
    </row>
    <row r="10" spans="1:12" x14ac:dyDescent="0.25">
      <c r="A10" s="43">
        <v>43972.332939814813</v>
      </c>
      <c r="B10" s="44" t="s">
        <v>3182</v>
      </c>
      <c r="C10" s="44" t="s">
        <v>3183</v>
      </c>
      <c r="D10" s="45">
        <v>17010000006196</v>
      </c>
      <c r="E10" s="44" t="s">
        <v>340</v>
      </c>
      <c r="F10" s="46">
        <v>1</v>
      </c>
      <c r="G10" s="47">
        <v>500</v>
      </c>
      <c r="H10" s="47">
        <v>500</v>
      </c>
      <c r="I10" s="46">
        <v>0</v>
      </c>
      <c r="J10" s="63">
        <f>SUM(H10)</f>
        <v>500</v>
      </c>
      <c r="K10" s="44" t="s">
        <v>760</v>
      </c>
    </row>
    <row r="11" spans="1:12" x14ac:dyDescent="0.25">
      <c r="A11" s="57" t="s">
        <v>766</v>
      </c>
      <c r="B11" s="44" t="s">
        <v>3184</v>
      </c>
      <c r="C11" s="44" t="s">
        <v>3185</v>
      </c>
      <c r="D11" s="58" t="s">
        <v>3186</v>
      </c>
      <c r="E11" s="44" t="s">
        <v>515</v>
      </c>
      <c r="F11" s="59">
        <v>1</v>
      </c>
      <c r="G11" s="47">
        <v>800</v>
      </c>
      <c r="H11" s="60">
        <v>800</v>
      </c>
      <c r="I11" s="61">
        <v>20</v>
      </c>
      <c r="J11" s="62">
        <f>SUM(H11)</f>
        <v>800</v>
      </c>
      <c r="K11" s="64" t="s">
        <v>767</v>
      </c>
    </row>
    <row r="12" spans="1:12" x14ac:dyDescent="0.25">
      <c r="G12" s="65"/>
      <c r="H12" s="66"/>
      <c r="I12" s="66"/>
      <c r="J12" s="66"/>
      <c r="K12" s="67"/>
    </row>
    <row r="13" spans="1:12" x14ac:dyDescent="0.25">
      <c r="A13" s="68" t="s">
        <v>768</v>
      </c>
    </row>
    <row r="14" spans="1:12" x14ac:dyDescent="0.25">
      <c r="A14" s="69" t="s">
        <v>759</v>
      </c>
      <c r="B14" s="16">
        <v>3299</v>
      </c>
    </row>
    <row r="15" spans="1:12" x14ac:dyDescent="0.25">
      <c r="A15" s="70" t="s">
        <v>2989</v>
      </c>
      <c r="B15" s="16">
        <v>20000</v>
      </c>
    </row>
    <row r="16" spans="1:12" x14ac:dyDescent="0.25">
      <c r="A16" s="69" t="s">
        <v>340</v>
      </c>
      <c r="B16" s="16">
        <v>500</v>
      </c>
    </row>
    <row r="17" spans="1:2" x14ac:dyDescent="0.25">
      <c r="A17" s="69" t="s">
        <v>515</v>
      </c>
      <c r="B17" s="71">
        <v>800</v>
      </c>
    </row>
    <row r="18" spans="1:2" x14ac:dyDescent="0.25">
      <c r="B18" s="72">
        <f>SUM(B14:B17)</f>
        <v>24599</v>
      </c>
    </row>
  </sheetData>
  <conditionalFormatting sqref="B4">
    <cfRule type="duplicateValues" dxfId="186" priority="3"/>
  </conditionalFormatting>
  <conditionalFormatting sqref="B5:B10">
    <cfRule type="duplicateValues" dxfId="185" priority="1"/>
  </conditionalFormatting>
  <conditionalFormatting sqref="E12 B4:B11">
    <cfRule type="duplicateValues" dxfId="184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79"/>
  <sheetViews>
    <sheetView topLeftCell="A43" workbookViewId="0">
      <selection activeCell="B75" sqref="B75"/>
    </sheetView>
  </sheetViews>
  <sheetFormatPr defaultColWidth="8.85546875" defaultRowHeight="12.75" x14ac:dyDescent="0.2"/>
  <cols>
    <col min="1" max="1" width="26.7109375" style="73" customWidth="1"/>
    <col min="2" max="2" width="19.28515625" style="73" customWidth="1"/>
    <col min="3" max="3" width="28.5703125" style="73" customWidth="1"/>
    <col min="4" max="4" width="29.28515625" style="73" customWidth="1"/>
    <col min="5" max="5" width="15.7109375" style="74" customWidth="1"/>
    <col min="6" max="6" width="22.28515625" style="73" customWidth="1"/>
    <col min="7" max="7" width="72.5703125" style="73" customWidth="1"/>
    <col min="8" max="8" width="68" style="73" hidden="1" customWidth="1"/>
    <col min="9" max="9" width="67" style="73" customWidth="1"/>
    <col min="10" max="10" width="39.7109375" style="75" customWidth="1"/>
    <col min="11" max="11" width="21.7109375" style="73" bestFit="1" customWidth="1"/>
    <col min="12" max="12" width="18.28515625" style="73" bestFit="1" customWidth="1"/>
    <col min="13" max="13" width="8.85546875" style="73"/>
    <col min="14" max="14" width="28.7109375" style="73" bestFit="1" customWidth="1"/>
    <col min="15" max="15" width="18.28515625" style="73" bestFit="1" customWidth="1"/>
    <col min="16" max="16" width="8.85546875" style="73"/>
    <col min="17" max="17" width="9.42578125" style="73" bestFit="1" customWidth="1"/>
    <col min="18" max="18" width="20.28515625" style="73" bestFit="1" customWidth="1"/>
    <col min="19" max="16384" width="8.85546875" style="73"/>
  </cols>
  <sheetData>
    <row r="1" spans="1:34" ht="15" x14ac:dyDescent="0.25">
      <c r="A1" s="41" t="s">
        <v>3314</v>
      </c>
    </row>
    <row r="2" spans="1:34" s="79" customFormat="1" x14ac:dyDescent="0.2">
      <c r="A2" s="76" t="s">
        <v>769</v>
      </c>
      <c r="B2" s="77"/>
      <c r="C2" s="78"/>
      <c r="E2" s="80"/>
      <c r="H2" s="77"/>
      <c r="I2" s="77"/>
      <c r="J2" s="81"/>
    </row>
    <row r="3" spans="1:34" s="87" customFormat="1" x14ac:dyDescent="0.2">
      <c r="A3" s="79"/>
      <c r="B3" s="79"/>
      <c r="C3" s="82"/>
      <c r="D3" s="83"/>
      <c r="E3" s="84"/>
      <c r="F3" s="79"/>
      <c r="G3" s="79"/>
      <c r="H3" s="79"/>
      <c r="I3" s="79"/>
      <c r="J3" s="85"/>
      <c r="K3" s="86"/>
      <c r="M3" s="77"/>
      <c r="N3" s="77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</row>
    <row r="4" spans="1:34" ht="15" customHeight="1" x14ac:dyDescent="0.2">
      <c r="A4" s="88" t="s">
        <v>770</v>
      </c>
      <c r="B4" s="88" t="s">
        <v>753</v>
      </c>
      <c r="C4" s="88" t="s">
        <v>754</v>
      </c>
      <c r="D4" s="88" t="s">
        <v>756</v>
      </c>
      <c r="E4" s="89" t="s">
        <v>704</v>
      </c>
      <c r="F4" s="89" t="s">
        <v>771</v>
      </c>
      <c r="G4" s="88" t="s">
        <v>772</v>
      </c>
      <c r="H4" s="88" t="s">
        <v>705</v>
      </c>
      <c r="I4" s="90"/>
      <c r="J4" s="91"/>
      <c r="K4" s="92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</row>
    <row r="5" spans="1:34" s="87" customFormat="1" ht="15" customHeight="1" x14ac:dyDescent="0.2">
      <c r="A5" s="49" t="s">
        <v>773</v>
      </c>
      <c r="B5" s="49" t="s">
        <v>774</v>
      </c>
      <c r="C5" s="49" t="s">
        <v>775</v>
      </c>
      <c r="D5" s="49" t="s">
        <v>147</v>
      </c>
      <c r="E5" s="52">
        <v>12500</v>
      </c>
      <c r="F5" s="93">
        <f>E5</f>
        <v>12500</v>
      </c>
      <c r="G5" s="94" t="s">
        <v>776</v>
      </c>
      <c r="H5" s="49" t="s">
        <v>777</v>
      </c>
    </row>
    <row r="6" spans="1:34" s="97" customFormat="1" ht="15" customHeight="1" x14ac:dyDescent="0.2">
      <c r="A6" s="49" t="s">
        <v>778</v>
      </c>
      <c r="B6" s="49" t="s">
        <v>779</v>
      </c>
      <c r="C6" s="49" t="s">
        <v>780</v>
      </c>
      <c r="D6" s="49" t="s">
        <v>291</v>
      </c>
      <c r="E6" s="52">
        <v>495.66</v>
      </c>
      <c r="F6" s="52"/>
      <c r="G6" s="94" t="s">
        <v>781</v>
      </c>
      <c r="H6" s="95" t="s">
        <v>782</v>
      </c>
      <c r="I6" s="96"/>
      <c r="N6" s="98"/>
      <c r="O6" s="98"/>
      <c r="P6" s="98"/>
    </row>
    <row r="7" spans="1:34" s="97" customFormat="1" ht="15" customHeight="1" x14ac:dyDescent="0.2">
      <c r="A7" s="49" t="s">
        <v>783</v>
      </c>
      <c r="B7" s="49" t="s">
        <v>784</v>
      </c>
      <c r="C7" s="49" t="s">
        <v>780</v>
      </c>
      <c r="D7" s="49" t="s">
        <v>291</v>
      </c>
      <c r="E7" s="52">
        <v>233.72</v>
      </c>
      <c r="F7" s="93">
        <f>E7+E6</f>
        <v>729.38</v>
      </c>
      <c r="G7" s="94" t="s">
        <v>781</v>
      </c>
      <c r="H7" s="95" t="s">
        <v>782</v>
      </c>
      <c r="I7" s="96"/>
      <c r="N7" s="98"/>
      <c r="O7" s="98"/>
      <c r="P7" s="98"/>
      <c r="R7" s="87"/>
    </row>
    <row r="8" spans="1:34" s="90" customFormat="1" ht="15" customHeight="1" x14ac:dyDescent="0.2">
      <c r="A8" s="49" t="s">
        <v>785</v>
      </c>
      <c r="B8" s="49" t="s">
        <v>786</v>
      </c>
      <c r="C8" s="49" t="s">
        <v>787</v>
      </c>
      <c r="D8" s="49" t="s">
        <v>404</v>
      </c>
      <c r="E8" s="52">
        <v>4560</v>
      </c>
      <c r="F8" s="93">
        <f>E8</f>
        <v>4560</v>
      </c>
      <c r="G8" s="94" t="s">
        <v>2223</v>
      </c>
      <c r="H8" s="95" t="s">
        <v>788</v>
      </c>
      <c r="I8" s="99"/>
      <c r="J8" s="100"/>
    </row>
    <row r="9" spans="1:34" s="87" customFormat="1" ht="15" customHeight="1" x14ac:dyDescent="0.2">
      <c r="A9" s="101" t="s">
        <v>789</v>
      </c>
      <c r="B9" s="101" t="s">
        <v>790</v>
      </c>
      <c r="C9" s="101" t="s">
        <v>791</v>
      </c>
      <c r="D9" s="101" t="s">
        <v>440</v>
      </c>
      <c r="E9" s="102">
        <v>34</v>
      </c>
      <c r="F9" s="103">
        <f>E9</f>
        <v>34</v>
      </c>
      <c r="G9" s="104" t="s">
        <v>776</v>
      </c>
      <c r="H9" s="95" t="s">
        <v>792</v>
      </c>
    </row>
    <row r="10" spans="1:34" ht="15" customHeight="1" x14ac:dyDescent="0.2">
      <c r="A10" s="44" t="s">
        <v>800</v>
      </c>
      <c r="B10" s="44" t="s">
        <v>801</v>
      </c>
      <c r="C10" s="44" t="s">
        <v>802</v>
      </c>
      <c r="D10" s="49" t="s">
        <v>796</v>
      </c>
      <c r="E10" s="47">
        <v>8050</v>
      </c>
      <c r="F10" s="47"/>
      <c r="G10" s="57" t="s">
        <v>2238</v>
      </c>
      <c r="H10" s="94" t="s">
        <v>797</v>
      </c>
      <c r="J10" s="73"/>
    </row>
    <row r="11" spans="1:34" ht="15" customHeight="1" x14ac:dyDescent="0.2">
      <c r="A11" s="44" t="s">
        <v>803</v>
      </c>
      <c r="B11" s="44" t="s">
        <v>804</v>
      </c>
      <c r="C11" s="44" t="s">
        <v>802</v>
      </c>
      <c r="D11" s="49" t="s">
        <v>796</v>
      </c>
      <c r="E11" s="47">
        <v>8050</v>
      </c>
      <c r="F11" s="47"/>
      <c r="G11" s="57" t="s">
        <v>2238</v>
      </c>
      <c r="H11" s="94" t="s">
        <v>797</v>
      </c>
      <c r="J11" s="73"/>
    </row>
    <row r="12" spans="1:34" ht="15" customHeight="1" x14ac:dyDescent="0.2">
      <c r="A12" s="44" t="s">
        <v>805</v>
      </c>
      <c r="B12" s="44" t="s">
        <v>806</v>
      </c>
      <c r="C12" s="44" t="s">
        <v>807</v>
      </c>
      <c r="D12" s="49" t="s">
        <v>796</v>
      </c>
      <c r="E12" s="47">
        <v>3500</v>
      </c>
      <c r="F12" s="47"/>
      <c r="G12" s="57" t="s">
        <v>808</v>
      </c>
      <c r="H12" s="94" t="s">
        <v>808</v>
      </c>
      <c r="J12" s="73"/>
    </row>
    <row r="13" spans="1:34" ht="15" customHeight="1" x14ac:dyDescent="0.2">
      <c r="A13" s="44" t="s">
        <v>809</v>
      </c>
      <c r="B13" s="44" t="s">
        <v>810</v>
      </c>
      <c r="C13" s="44" t="s">
        <v>811</v>
      </c>
      <c r="D13" s="49" t="s">
        <v>796</v>
      </c>
      <c r="E13" s="47">
        <v>2125</v>
      </c>
      <c r="F13" s="47"/>
      <c r="G13" s="57" t="s">
        <v>808</v>
      </c>
      <c r="H13" s="94" t="s">
        <v>808</v>
      </c>
      <c r="J13" s="73"/>
    </row>
    <row r="14" spans="1:34" x14ac:dyDescent="0.2">
      <c r="A14" s="44" t="s">
        <v>815</v>
      </c>
      <c r="B14" s="44" t="s">
        <v>816</v>
      </c>
      <c r="C14" s="49" t="s">
        <v>817</v>
      </c>
      <c r="D14" s="44" t="s">
        <v>796</v>
      </c>
      <c r="E14" s="47">
        <v>2200</v>
      </c>
      <c r="F14" s="47"/>
      <c r="G14" s="57" t="s">
        <v>818</v>
      </c>
      <c r="H14" s="94" t="s">
        <v>797</v>
      </c>
      <c r="J14" s="73"/>
    </row>
    <row r="15" spans="1:34" x14ac:dyDescent="0.2">
      <c r="A15" s="44" t="s">
        <v>819</v>
      </c>
      <c r="B15" s="44" t="s">
        <v>820</v>
      </c>
      <c r="C15" s="49" t="s">
        <v>821</v>
      </c>
      <c r="D15" s="44" t="s">
        <v>796</v>
      </c>
      <c r="E15" s="47">
        <v>2500</v>
      </c>
      <c r="F15" s="47"/>
      <c r="G15" s="57" t="s">
        <v>818</v>
      </c>
      <c r="H15" s="94" t="s">
        <v>797</v>
      </c>
      <c r="J15" s="73"/>
    </row>
    <row r="16" spans="1:34" x14ac:dyDescent="0.2">
      <c r="A16" s="49" t="s">
        <v>822</v>
      </c>
      <c r="B16" s="49" t="s">
        <v>823</v>
      </c>
      <c r="C16" s="49" t="s">
        <v>824</v>
      </c>
      <c r="D16" s="44" t="s">
        <v>515</v>
      </c>
      <c r="E16" s="52">
        <v>2000</v>
      </c>
      <c r="F16" s="52"/>
      <c r="G16" s="94"/>
      <c r="H16" s="94" t="s">
        <v>808</v>
      </c>
      <c r="J16" s="73"/>
    </row>
    <row r="17" spans="1:10" x14ac:dyDescent="0.2">
      <c r="A17" s="49" t="s">
        <v>825</v>
      </c>
      <c r="B17" s="49" t="s">
        <v>826</v>
      </c>
      <c r="C17" s="49" t="s">
        <v>824</v>
      </c>
      <c r="D17" s="44" t="s">
        <v>515</v>
      </c>
      <c r="E17" s="52">
        <v>2000</v>
      </c>
      <c r="F17" s="52"/>
      <c r="G17" s="94"/>
      <c r="H17" s="94" t="s">
        <v>808</v>
      </c>
      <c r="J17" s="73"/>
    </row>
    <row r="18" spans="1:10" x14ac:dyDescent="0.2">
      <c r="A18" s="49" t="s">
        <v>827</v>
      </c>
      <c r="B18" s="49" t="s">
        <v>828</v>
      </c>
      <c r="C18" s="49" t="s">
        <v>829</v>
      </c>
      <c r="D18" s="49" t="s">
        <v>515</v>
      </c>
      <c r="E18" s="52">
        <v>3000</v>
      </c>
      <c r="F18" s="52"/>
      <c r="G18" s="94" t="s">
        <v>830</v>
      </c>
      <c r="H18" s="94" t="s">
        <v>831</v>
      </c>
      <c r="J18" s="73"/>
    </row>
    <row r="19" spans="1:10" x14ac:dyDescent="0.2">
      <c r="A19" s="49" t="s">
        <v>832</v>
      </c>
      <c r="B19" s="49" t="s">
        <v>833</v>
      </c>
      <c r="C19" s="49" t="s">
        <v>824</v>
      </c>
      <c r="D19" s="49" t="s">
        <v>515</v>
      </c>
      <c r="E19" s="52">
        <v>280</v>
      </c>
      <c r="F19" s="52"/>
      <c r="G19" s="94" t="s">
        <v>830</v>
      </c>
      <c r="H19" s="94" t="s">
        <v>834</v>
      </c>
      <c r="J19" s="73"/>
    </row>
    <row r="20" spans="1:10" x14ac:dyDescent="0.2">
      <c r="A20" s="49" t="s">
        <v>835</v>
      </c>
      <c r="B20" s="49" t="s">
        <v>836</v>
      </c>
      <c r="C20" s="49" t="s">
        <v>824</v>
      </c>
      <c r="D20" s="49" t="s">
        <v>515</v>
      </c>
      <c r="E20" s="52">
        <v>7980</v>
      </c>
      <c r="F20" s="52"/>
      <c r="G20" s="94" t="s">
        <v>830</v>
      </c>
      <c r="H20" s="94" t="s">
        <v>837</v>
      </c>
      <c r="J20" s="73"/>
    </row>
    <row r="21" spans="1:10" x14ac:dyDescent="0.2">
      <c r="A21" s="49" t="s">
        <v>838</v>
      </c>
      <c r="B21" s="49" t="s">
        <v>839</v>
      </c>
      <c r="C21" s="49" t="s">
        <v>840</v>
      </c>
      <c r="D21" s="49" t="s">
        <v>515</v>
      </c>
      <c r="E21" s="52">
        <v>2000</v>
      </c>
      <c r="F21" s="52"/>
      <c r="G21" s="94"/>
      <c r="H21" s="94" t="s">
        <v>808</v>
      </c>
      <c r="J21" s="73"/>
    </row>
    <row r="22" spans="1:10" x14ac:dyDescent="0.2">
      <c r="A22" s="49" t="s">
        <v>841</v>
      </c>
      <c r="B22" s="49" t="s">
        <v>842</v>
      </c>
      <c r="C22" s="49" t="s">
        <v>840</v>
      </c>
      <c r="D22" s="49" t="s">
        <v>515</v>
      </c>
      <c r="E22" s="52">
        <v>2000</v>
      </c>
      <c r="F22" s="52"/>
      <c r="G22" s="57"/>
      <c r="H22" s="94" t="s">
        <v>808</v>
      </c>
      <c r="J22" s="73"/>
    </row>
    <row r="23" spans="1:10" x14ac:dyDescent="0.2">
      <c r="A23" s="49" t="s">
        <v>843</v>
      </c>
      <c r="B23" s="49" t="s">
        <v>844</v>
      </c>
      <c r="C23" s="49" t="s">
        <v>845</v>
      </c>
      <c r="D23" s="49" t="s">
        <v>515</v>
      </c>
      <c r="E23" s="52">
        <v>3570</v>
      </c>
      <c r="F23" s="52"/>
      <c r="G23" s="94"/>
      <c r="H23" s="94" t="s">
        <v>808</v>
      </c>
      <c r="J23" s="73"/>
    </row>
    <row r="24" spans="1:10" x14ac:dyDescent="0.2">
      <c r="A24" s="49" t="s">
        <v>846</v>
      </c>
      <c r="B24" s="49" t="s">
        <v>847</v>
      </c>
      <c r="C24" s="49" t="s">
        <v>848</v>
      </c>
      <c r="D24" s="49" t="s">
        <v>515</v>
      </c>
      <c r="E24" s="52">
        <v>1650</v>
      </c>
      <c r="F24" s="52"/>
      <c r="G24" s="57" t="s">
        <v>849</v>
      </c>
      <c r="H24" s="94" t="s">
        <v>834</v>
      </c>
      <c r="J24" s="73"/>
    </row>
    <row r="25" spans="1:10" x14ac:dyDescent="0.2">
      <c r="A25" s="49" t="s">
        <v>850</v>
      </c>
      <c r="B25" s="49" t="s">
        <v>851</v>
      </c>
      <c r="C25" s="49" t="s">
        <v>852</v>
      </c>
      <c r="D25" s="49" t="s">
        <v>515</v>
      </c>
      <c r="E25" s="52">
        <v>3923</v>
      </c>
      <c r="F25" s="52"/>
      <c r="G25" s="94"/>
      <c r="H25" s="49" t="s">
        <v>808</v>
      </c>
      <c r="J25" s="73"/>
    </row>
    <row r="26" spans="1:10" x14ac:dyDescent="0.2">
      <c r="A26" s="49" t="s">
        <v>853</v>
      </c>
      <c r="B26" s="49" t="s">
        <v>854</v>
      </c>
      <c r="C26" s="49" t="s">
        <v>855</v>
      </c>
      <c r="D26" s="49" t="s">
        <v>515</v>
      </c>
      <c r="E26" s="52">
        <v>2140</v>
      </c>
      <c r="F26" s="52"/>
      <c r="G26" s="94" t="s">
        <v>856</v>
      </c>
      <c r="H26" s="94" t="s">
        <v>808</v>
      </c>
      <c r="J26" s="73"/>
    </row>
    <row r="27" spans="1:10" x14ac:dyDescent="0.2">
      <c r="A27" s="49" t="s">
        <v>857</v>
      </c>
      <c r="B27" s="49" t="s">
        <v>858</v>
      </c>
      <c r="C27" s="49" t="s">
        <v>859</v>
      </c>
      <c r="D27" s="49" t="s">
        <v>515</v>
      </c>
      <c r="E27" s="52">
        <v>4500</v>
      </c>
      <c r="F27" s="52"/>
      <c r="G27" s="94" t="s">
        <v>860</v>
      </c>
      <c r="H27" s="94" t="s">
        <v>808</v>
      </c>
      <c r="J27" s="73"/>
    </row>
    <row r="28" spans="1:10" x14ac:dyDescent="0.2">
      <c r="A28" s="107" t="s">
        <v>861</v>
      </c>
      <c r="B28" s="107" t="s">
        <v>862</v>
      </c>
      <c r="C28" s="49" t="s">
        <v>863</v>
      </c>
      <c r="D28" s="107" t="s">
        <v>515</v>
      </c>
      <c r="E28" s="47">
        <v>3000</v>
      </c>
      <c r="F28" s="47"/>
      <c r="G28" s="94"/>
      <c r="H28" s="94" t="s">
        <v>808</v>
      </c>
      <c r="J28" s="73"/>
    </row>
    <row r="29" spans="1:10" x14ac:dyDescent="0.2">
      <c r="A29" s="44" t="s">
        <v>864</v>
      </c>
      <c r="B29" s="44" t="s">
        <v>865</v>
      </c>
      <c r="C29" s="44" t="s">
        <v>866</v>
      </c>
      <c r="D29" s="44" t="s">
        <v>515</v>
      </c>
      <c r="E29" s="47">
        <v>3960</v>
      </c>
      <c r="F29" s="47"/>
      <c r="G29" s="94"/>
      <c r="H29" s="94" t="s">
        <v>808</v>
      </c>
      <c r="J29" s="73"/>
    </row>
    <row r="30" spans="1:10" x14ac:dyDescent="0.2">
      <c r="A30" s="44" t="s">
        <v>867</v>
      </c>
      <c r="B30" s="44" t="s">
        <v>868</v>
      </c>
      <c r="C30" s="44" t="s">
        <v>869</v>
      </c>
      <c r="D30" s="44" t="s">
        <v>515</v>
      </c>
      <c r="E30" s="47">
        <v>4500</v>
      </c>
      <c r="F30" s="47"/>
      <c r="G30" s="94" t="s">
        <v>870</v>
      </c>
      <c r="H30" s="94" t="s">
        <v>808</v>
      </c>
      <c r="J30" s="73"/>
    </row>
    <row r="31" spans="1:10" x14ac:dyDescent="0.2">
      <c r="A31" s="44" t="s">
        <v>871</v>
      </c>
      <c r="B31" s="44" t="s">
        <v>872</v>
      </c>
      <c r="C31" s="44" t="s">
        <v>873</v>
      </c>
      <c r="D31" s="44" t="s">
        <v>515</v>
      </c>
      <c r="E31" s="47">
        <v>3500</v>
      </c>
      <c r="F31" s="47"/>
      <c r="G31" s="94"/>
      <c r="H31" s="94" t="s">
        <v>834</v>
      </c>
      <c r="J31" s="73"/>
    </row>
    <row r="32" spans="1:10" ht="15" customHeight="1" x14ac:dyDescent="0.2">
      <c r="A32" s="44" t="s">
        <v>793</v>
      </c>
      <c r="B32" s="44" t="s">
        <v>794</v>
      </c>
      <c r="C32" s="44" t="s">
        <v>795</v>
      </c>
      <c r="D32" s="49" t="s">
        <v>796</v>
      </c>
      <c r="E32" s="47">
        <v>3500</v>
      </c>
      <c r="F32" s="262"/>
      <c r="G32" s="263" t="s">
        <v>2222</v>
      </c>
      <c r="H32" s="94" t="s">
        <v>797</v>
      </c>
      <c r="I32" s="106"/>
      <c r="J32" s="73"/>
    </row>
    <row r="33" spans="1:12" ht="15" customHeight="1" x14ac:dyDescent="0.2">
      <c r="A33" s="44" t="s">
        <v>798</v>
      </c>
      <c r="B33" s="44" t="s">
        <v>799</v>
      </c>
      <c r="C33" s="44" t="s">
        <v>795</v>
      </c>
      <c r="D33" s="49" t="s">
        <v>796</v>
      </c>
      <c r="E33" s="47">
        <v>3500</v>
      </c>
      <c r="F33" s="262"/>
      <c r="G33" s="263" t="s">
        <v>2222</v>
      </c>
      <c r="H33" s="94" t="s">
        <v>797</v>
      </c>
      <c r="J33" s="73"/>
    </row>
    <row r="34" spans="1:12" x14ac:dyDescent="0.2">
      <c r="A34" s="44" t="s">
        <v>812</v>
      </c>
      <c r="B34" s="44" t="s">
        <v>813</v>
      </c>
      <c r="C34" s="44" t="s">
        <v>814</v>
      </c>
      <c r="D34" s="49" t="s">
        <v>796</v>
      </c>
      <c r="E34" s="47">
        <v>1000</v>
      </c>
      <c r="F34" s="262"/>
      <c r="G34" s="263" t="s">
        <v>2222</v>
      </c>
      <c r="H34" s="94" t="s">
        <v>797</v>
      </c>
      <c r="J34" s="73"/>
    </row>
    <row r="35" spans="1:12" x14ac:dyDescent="0.2">
      <c r="A35" s="423" t="s">
        <v>874</v>
      </c>
      <c r="B35" s="44" t="s">
        <v>875</v>
      </c>
      <c r="C35" s="49" t="s">
        <v>876</v>
      </c>
      <c r="D35" s="49" t="s">
        <v>515</v>
      </c>
      <c r="E35" s="47">
        <v>5000</v>
      </c>
      <c r="F35" s="262"/>
      <c r="G35" s="263" t="s">
        <v>2222</v>
      </c>
      <c r="H35" s="94" t="s">
        <v>797</v>
      </c>
      <c r="J35" s="73"/>
    </row>
    <row r="36" spans="1:12" x14ac:dyDescent="0.2">
      <c r="A36" s="421" t="s">
        <v>877</v>
      </c>
      <c r="B36" s="421" t="s">
        <v>878</v>
      </c>
      <c r="C36" s="49" t="s">
        <v>879</v>
      </c>
      <c r="D36" s="421" t="s">
        <v>515</v>
      </c>
      <c r="E36" s="108">
        <v>3000</v>
      </c>
      <c r="F36" s="109">
        <f>SUM(E10:E36)</f>
        <v>92428</v>
      </c>
      <c r="G36" s="94" t="s">
        <v>2239</v>
      </c>
      <c r="H36" s="49" t="s">
        <v>797</v>
      </c>
      <c r="J36" s="73"/>
    </row>
    <row r="37" spans="1:12" x14ac:dyDescent="0.2">
      <c r="A37" s="44" t="s">
        <v>880</v>
      </c>
      <c r="B37" s="44" t="s">
        <v>881</v>
      </c>
      <c r="C37" s="49" t="s">
        <v>882</v>
      </c>
      <c r="D37" s="44" t="s">
        <v>519</v>
      </c>
      <c r="E37" s="47">
        <v>1000</v>
      </c>
      <c r="F37" s="110">
        <f>E37</f>
        <v>1000</v>
      </c>
      <c r="G37" s="94" t="s">
        <v>776</v>
      </c>
      <c r="H37" s="95" t="s">
        <v>883</v>
      </c>
      <c r="J37" s="73"/>
    </row>
    <row r="38" spans="1:12" x14ac:dyDescent="0.2">
      <c r="A38" s="44" t="s">
        <v>884</v>
      </c>
      <c r="B38" s="44" t="s">
        <v>885</v>
      </c>
      <c r="C38" s="44" t="s">
        <v>886</v>
      </c>
      <c r="D38" s="44" t="s">
        <v>617</v>
      </c>
      <c r="E38" s="47">
        <v>2000</v>
      </c>
      <c r="F38" s="110">
        <f>E38</f>
        <v>2000</v>
      </c>
      <c r="G38" s="94" t="s">
        <v>870</v>
      </c>
      <c r="H38" s="94" t="s">
        <v>887</v>
      </c>
      <c r="J38" s="73"/>
    </row>
    <row r="39" spans="1:12" x14ac:dyDescent="0.2">
      <c r="A39" s="424">
        <v>43160</v>
      </c>
      <c r="B39" s="111" t="s">
        <v>888</v>
      </c>
      <c r="C39" s="111" t="s">
        <v>889</v>
      </c>
      <c r="D39" s="101" t="s">
        <v>712</v>
      </c>
      <c r="E39" s="112">
        <v>1425</v>
      </c>
      <c r="F39" s="113"/>
      <c r="G39" s="111" t="s">
        <v>890</v>
      </c>
      <c r="H39" s="105"/>
      <c r="I39" s="87"/>
    </row>
    <row r="40" spans="1:12" x14ac:dyDescent="0.2">
      <c r="A40" s="425">
        <v>43741</v>
      </c>
      <c r="B40" s="111" t="s">
        <v>891</v>
      </c>
      <c r="C40" s="111" t="s">
        <v>892</v>
      </c>
      <c r="D40" s="101" t="s">
        <v>712</v>
      </c>
      <c r="E40" s="114">
        <v>1000</v>
      </c>
      <c r="F40" s="113"/>
      <c r="G40" s="111" t="s">
        <v>890</v>
      </c>
      <c r="H40" s="105"/>
      <c r="I40" s="115"/>
      <c r="J40" s="115"/>
      <c r="K40" s="116"/>
    </row>
    <row r="41" spans="1:12" x14ac:dyDescent="0.2">
      <c r="A41" s="420">
        <v>44684</v>
      </c>
      <c r="B41" s="94" t="s">
        <v>893</v>
      </c>
      <c r="C41" s="94" t="s">
        <v>894</v>
      </c>
      <c r="D41" s="101" t="s">
        <v>712</v>
      </c>
      <c r="E41" s="117">
        <v>1399</v>
      </c>
      <c r="F41" s="101"/>
      <c r="G41" s="57" t="s">
        <v>781</v>
      </c>
      <c r="H41" s="101"/>
      <c r="I41" s="75"/>
      <c r="J41" s="73"/>
      <c r="L41" s="118"/>
    </row>
    <row r="42" spans="1:12" x14ac:dyDescent="0.2">
      <c r="A42" s="424">
        <v>43773</v>
      </c>
      <c r="B42" s="111" t="s">
        <v>895</v>
      </c>
      <c r="C42" s="111" t="s">
        <v>896</v>
      </c>
      <c r="D42" s="101" t="s">
        <v>712</v>
      </c>
      <c r="E42" s="114">
        <v>1299</v>
      </c>
      <c r="F42" s="101"/>
      <c r="G42" s="111" t="s">
        <v>897</v>
      </c>
      <c r="H42" s="101"/>
      <c r="I42" s="75"/>
      <c r="J42" s="73"/>
      <c r="L42" s="118"/>
    </row>
    <row r="43" spans="1:12" x14ac:dyDescent="0.2">
      <c r="A43" s="426">
        <v>44655</v>
      </c>
      <c r="B43" s="57" t="s">
        <v>898</v>
      </c>
      <c r="C43" s="57" t="s">
        <v>899</v>
      </c>
      <c r="D43" s="101" t="s">
        <v>712</v>
      </c>
      <c r="E43" s="119">
        <v>1399</v>
      </c>
      <c r="F43" s="101"/>
      <c r="G43" s="57" t="s">
        <v>900</v>
      </c>
      <c r="H43" s="101"/>
      <c r="I43" s="75"/>
      <c r="J43" s="73"/>
      <c r="L43" s="118"/>
    </row>
    <row r="44" spans="1:12" x14ac:dyDescent="0.2">
      <c r="A44" s="120">
        <v>44747</v>
      </c>
      <c r="B44" s="105" t="s">
        <v>901</v>
      </c>
      <c r="C44" s="105" t="s">
        <v>902</v>
      </c>
      <c r="D44" s="101" t="s">
        <v>712</v>
      </c>
      <c r="E44" s="113">
        <v>1300</v>
      </c>
      <c r="F44" s="101"/>
      <c r="G44" s="101" t="s">
        <v>903</v>
      </c>
      <c r="H44" s="101"/>
      <c r="I44" s="75"/>
      <c r="J44" s="73"/>
      <c r="L44" s="118"/>
    </row>
    <row r="45" spans="1:12" x14ac:dyDescent="0.2">
      <c r="A45" s="120">
        <v>44718</v>
      </c>
      <c r="B45" s="101" t="s">
        <v>904</v>
      </c>
      <c r="C45" s="101" t="s">
        <v>905</v>
      </c>
      <c r="D45" s="101" t="s">
        <v>712</v>
      </c>
      <c r="E45" s="121">
        <v>1450</v>
      </c>
      <c r="F45" s="101"/>
      <c r="G45" s="101" t="s">
        <v>903</v>
      </c>
      <c r="H45" s="101"/>
      <c r="I45" s="75"/>
      <c r="J45" s="73"/>
      <c r="L45" s="118"/>
    </row>
    <row r="46" spans="1:12" x14ac:dyDescent="0.2">
      <c r="A46" s="120">
        <v>44718</v>
      </c>
      <c r="B46" s="101" t="s">
        <v>906</v>
      </c>
      <c r="C46" s="101" t="s">
        <v>907</v>
      </c>
      <c r="D46" s="101" t="s">
        <v>712</v>
      </c>
      <c r="E46" s="121">
        <v>1300</v>
      </c>
      <c r="F46" s="101"/>
      <c r="G46" s="101" t="s">
        <v>903</v>
      </c>
      <c r="H46" s="101"/>
      <c r="I46" s="75"/>
      <c r="J46" s="73"/>
      <c r="L46" s="118"/>
    </row>
    <row r="47" spans="1:12" x14ac:dyDescent="0.2">
      <c r="A47" s="120">
        <v>44718</v>
      </c>
      <c r="B47" s="101" t="s">
        <v>908</v>
      </c>
      <c r="C47" s="101" t="s">
        <v>909</v>
      </c>
      <c r="D47" s="101" t="s">
        <v>712</v>
      </c>
      <c r="E47" s="121">
        <v>1420</v>
      </c>
      <c r="F47" s="101"/>
      <c r="G47" s="101" t="s">
        <v>903</v>
      </c>
      <c r="H47" s="101"/>
      <c r="I47" s="75"/>
      <c r="J47" s="73"/>
      <c r="L47" s="118"/>
    </row>
    <row r="48" spans="1:12" x14ac:dyDescent="0.2">
      <c r="A48" s="120">
        <v>44718</v>
      </c>
      <c r="B48" s="101" t="s">
        <v>910</v>
      </c>
      <c r="C48" s="101" t="s">
        <v>905</v>
      </c>
      <c r="D48" s="101" t="s">
        <v>712</v>
      </c>
      <c r="E48" s="121">
        <v>1450</v>
      </c>
      <c r="F48" s="101"/>
      <c r="G48" s="101" t="s">
        <v>903</v>
      </c>
      <c r="H48" s="101"/>
      <c r="I48" s="75"/>
      <c r="J48" s="73"/>
      <c r="L48" s="118"/>
    </row>
    <row r="49" spans="1:12" x14ac:dyDescent="0.2">
      <c r="A49" s="120">
        <v>44718</v>
      </c>
      <c r="B49" s="101" t="s">
        <v>911</v>
      </c>
      <c r="C49" s="101" t="s">
        <v>905</v>
      </c>
      <c r="D49" s="101" t="s">
        <v>712</v>
      </c>
      <c r="E49" s="121">
        <v>1450</v>
      </c>
      <c r="F49" s="101"/>
      <c r="G49" s="101" t="s">
        <v>903</v>
      </c>
      <c r="H49" s="101"/>
      <c r="I49" s="75"/>
      <c r="J49" s="73"/>
      <c r="L49" s="118"/>
    </row>
    <row r="50" spans="1:12" x14ac:dyDescent="0.2">
      <c r="A50" s="120">
        <v>44718</v>
      </c>
      <c r="B50" s="101" t="s">
        <v>912</v>
      </c>
      <c r="C50" s="101" t="s">
        <v>905</v>
      </c>
      <c r="D50" s="101" t="s">
        <v>712</v>
      </c>
      <c r="E50" s="121">
        <v>1450</v>
      </c>
      <c r="F50" s="101"/>
      <c r="G50" s="101" t="s">
        <v>903</v>
      </c>
      <c r="H50" s="101"/>
      <c r="I50" s="75"/>
      <c r="J50" s="73"/>
      <c r="L50" s="118"/>
    </row>
    <row r="51" spans="1:12" x14ac:dyDescent="0.2">
      <c r="A51" s="120">
        <v>44676</v>
      </c>
      <c r="B51" s="101" t="s">
        <v>913</v>
      </c>
      <c r="C51" s="101" t="s">
        <v>914</v>
      </c>
      <c r="D51" s="101" t="s">
        <v>712</v>
      </c>
      <c r="E51" s="121">
        <v>1402</v>
      </c>
      <c r="F51" s="101"/>
      <c r="G51" s="104" t="s">
        <v>915</v>
      </c>
      <c r="H51" s="101"/>
      <c r="I51" s="75"/>
      <c r="J51" s="73"/>
      <c r="L51" s="118"/>
    </row>
    <row r="52" spans="1:12" x14ac:dyDescent="0.2">
      <c r="A52" s="426">
        <v>44648</v>
      </c>
      <c r="B52" s="57" t="s">
        <v>916</v>
      </c>
      <c r="C52" s="57" t="s">
        <v>917</v>
      </c>
      <c r="D52" s="101" t="s">
        <v>712</v>
      </c>
      <c r="E52" s="119">
        <v>2600</v>
      </c>
      <c r="F52" s="101"/>
      <c r="G52" s="57" t="s">
        <v>900</v>
      </c>
      <c r="H52" s="101"/>
      <c r="I52" s="75"/>
      <c r="J52" s="73"/>
      <c r="L52" s="118"/>
    </row>
    <row r="53" spans="1:12" x14ac:dyDescent="0.2">
      <c r="A53" s="426">
        <v>44649</v>
      </c>
      <c r="B53" s="57" t="s">
        <v>918</v>
      </c>
      <c r="C53" s="57" t="s">
        <v>919</v>
      </c>
      <c r="D53" s="101" t="s">
        <v>712</v>
      </c>
      <c r="E53" s="119">
        <v>1299</v>
      </c>
      <c r="F53" s="101"/>
      <c r="G53" s="57" t="s">
        <v>900</v>
      </c>
      <c r="H53" s="101"/>
      <c r="I53" s="75"/>
      <c r="J53" s="73"/>
      <c r="L53" s="118"/>
    </row>
    <row r="54" spans="1:12" x14ac:dyDescent="0.2">
      <c r="A54" s="426">
        <v>44649</v>
      </c>
      <c r="B54" s="57" t="s">
        <v>920</v>
      </c>
      <c r="C54" s="57" t="s">
        <v>919</v>
      </c>
      <c r="D54" s="101" t="s">
        <v>712</v>
      </c>
      <c r="E54" s="119">
        <v>1299</v>
      </c>
      <c r="F54" s="122">
        <f>SUM(E39:E54)</f>
        <v>22942</v>
      </c>
      <c r="G54" s="57" t="s">
        <v>900</v>
      </c>
      <c r="H54" s="101"/>
      <c r="I54" s="75"/>
      <c r="J54" s="73"/>
      <c r="L54" s="118"/>
    </row>
    <row r="55" spans="1:12" x14ac:dyDescent="0.2">
      <c r="A55" s="420">
        <v>44718</v>
      </c>
      <c r="B55" s="94" t="s">
        <v>921</v>
      </c>
      <c r="C55" s="94" t="s">
        <v>922</v>
      </c>
      <c r="D55" s="95" t="s">
        <v>923</v>
      </c>
      <c r="E55" s="117">
        <v>276</v>
      </c>
      <c r="F55" s="122">
        <f>E55</f>
        <v>276</v>
      </c>
      <c r="G55" s="95" t="s">
        <v>903</v>
      </c>
      <c r="H55" s="95" t="s">
        <v>924</v>
      </c>
      <c r="I55" s="75"/>
      <c r="J55" s="73"/>
      <c r="L55" s="118"/>
    </row>
    <row r="56" spans="1:12" x14ac:dyDescent="0.2">
      <c r="D56" s="74"/>
      <c r="E56" s="73"/>
      <c r="I56" s="75"/>
      <c r="J56" s="73"/>
      <c r="L56" s="118"/>
    </row>
    <row r="58" spans="1:12" x14ac:dyDescent="0.2">
      <c r="E58" s="123"/>
      <c r="F58" s="124"/>
    </row>
    <row r="59" spans="1:12" x14ac:dyDescent="0.2">
      <c r="F59" s="125"/>
    </row>
    <row r="66" spans="1:9" ht="15" x14ac:dyDescent="0.25">
      <c r="A66" s="68" t="s">
        <v>768</v>
      </c>
      <c r="B66"/>
    </row>
    <row r="67" spans="1:9" ht="15" x14ac:dyDescent="0.25">
      <c r="A67" s="126" t="s">
        <v>147</v>
      </c>
      <c r="B67" s="33">
        <f>F5</f>
        <v>12500</v>
      </c>
      <c r="I67" s="127"/>
    </row>
    <row r="68" spans="1:9" ht="15" x14ac:dyDescent="0.25">
      <c r="A68" s="69" t="s">
        <v>291</v>
      </c>
      <c r="B68" s="33">
        <f>F7</f>
        <v>729.38</v>
      </c>
      <c r="I68" s="127"/>
    </row>
    <row r="69" spans="1:9" ht="15" x14ac:dyDescent="0.25">
      <c r="A69" s="126" t="s">
        <v>404</v>
      </c>
      <c r="B69" s="33">
        <f>F8</f>
        <v>4560</v>
      </c>
      <c r="I69" s="127"/>
    </row>
    <row r="70" spans="1:9" ht="15" x14ac:dyDescent="0.25">
      <c r="A70" s="126" t="s">
        <v>440</v>
      </c>
      <c r="B70" s="33">
        <f>F9</f>
        <v>34</v>
      </c>
      <c r="I70" s="127"/>
    </row>
    <row r="71" spans="1:9" ht="15" x14ac:dyDescent="0.25">
      <c r="A71" s="128" t="s">
        <v>515</v>
      </c>
      <c r="B71" s="33">
        <f>F36</f>
        <v>92428</v>
      </c>
      <c r="I71" s="127"/>
    </row>
    <row r="72" spans="1:9" ht="15" x14ac:dyDescent="0.25">
      <c r="A72" s="69" t="s">
        <v>519</v>
      </c>
      <c r="B72" s="33">
        <f>F37</f>
        <v>1000</v>
      </c>
      <c r="I72" s="127"/>
    </row>
    <row r="73" spans="1:9" ht="15" x14ac:dyDescent="0.25">
      <c r="A73" s="69" t="s">
        <v>617</v>
      </c>
      <c r="B73" s="33">
        <f>F38</f>
        <v>2000</v>
      </c>
      <c r="I73" s="127"/>
    </row>
    <row r="74" spans="1:9" ht="15" x14ac:dyDescent="0.25">
      <c r="A74" s="126" t="s">
        <v>712</v>
      </c>
      <c r="B74" s="33">
        <f>F54</f>
        <v>22942</v>
      </c>
      <c r="I74" s="127"/>
    </row>
    <row r="75" spans="1:9" ht="15" x14ac:dyDescent="0.25">
      <c r="A75" s="126" t="s">
        <v>923</v>
      </c>
      <c r="B75" s="129">
        <f>F55</f>
        <v>276</v>
      </c>
      <c r="I75" s="127"/>
    </row>
    <row r="76" spans="1:9" x14ac:dyDescent="0.2">
      <c r="I76" s="127"/>
    </row>
    <row r="77" spans="1:9" ht="15" x14ac:dyDescent="0.25">
      <c r="A77" s="130" t="s">
        <v>691</v>
      </c>
      <c r="B77" s="72">
        <f>SUM(B67:B76)</f>
        <v>136469.38</v>
      </c>
    </row>
    <row r="79" spans="1:9" x14ac:dyDescent="0.2">
      <c r="B79" s="125"/>
    </row>
  </sheetData>
  <conditionalFormatting sqref="B4:B5">
    <cfRule type="duplicateValues" dxfId="183" priority="25"/>
    <cfRule type="duplicateValues" dxfId="182" priority="26"/>
    <cfRule type="duplicateValues" dxfId="181" priority="47"/>
  </conditionalFormatting>
  <conditionalFormatting sqref="B5">
    <cfRule type="duplicateValues" dxfId="180" priority="36"/>
  </conditionalFormatting>
  <conditionalFormatting sqref="B6:B7">
    <cfRule type="duplicateValues" dxfId="179" priority="34"/>
  </conditionalFormatting>
  <conditionalFormatting sqref="B8">
    <cfRule type="duplicateValues" dxfId="178" priority="20"/>
    <cfRule type="duplicateValues" dxfId="177" priority="21"/>
    <cfRule type="duplicateValues" dxfId="176" priority="22"/>
  </conditionalFormatting>
  <conditionalFormatting sqref="B9">
    <cfRule type="duplicateValues" dxfId="175" priority="35"/>
  </conditionalFormatting>
  <conditionalFormatting sqref="B10 B32:B33">
    <cfRule type="duplicateValues" dxfId="174" priority="83"/>
  </conditionalFormatting>
  <conditionalFormatting sqref="B10:B31 B34:B38">
    <cfRule type="duplicateValues" dxfId="173" priority="4"/>
  </conditionalFormatting>
  <conditionalFormatting sqref="B11">
    <cfRule type="duplicateValues" dxfId="172" priority="44"/>
  </conditionalFormatting>
  <conditionalFormatting sqref="B12">
    <cfRule type="duplicateValues" dxfId="171" priority="43"/>
  </conditionalFormatting>
  <conditionalFormatting sqref="B14:B31 B34:B38">
    <cfRule type="duplicateValues" dxfId="170" priority="3"/>
  </conditionalFormatting>
  <conditionalFormatting sqref="B20">
    <cfRule type="duplicateValues" dxfId="169" priority="53"/>
  </conditionalFormatting>
  <conditionalFormatting sqref="B22:B24">
    <cfRule type="duplicateValues" dxfId="168" priority="52"/>
  </conditionalFormatting>
  <conditionalFormatting sqref="B24">
    <cfRule type="duplicateValues" dxfId="167" priority="42"/>
  </conditionalFormatting>
  <conditionalFormatting sqref="B26">
    <cfRule type="duplicateValues" dxfId="166" priority="51"/>
  </conditionalFormatting>
  <conditionalFormatting sqref="B26:B28">
    <cfRule type="duplicateValues" dxfId="165" priority="41"/>
  </conditionalFormatting>
  <conditionalFormatting sqref="B29">
    <cfRule type="duplicateValues" dxfId="164" priority="48"/>
    <cfRule type="duplicateValues" dxfId="163" priority="49"/>
    <cfRule type="duplicateValues" dxfId="162" priority="50"/>
  </conditionalFormatting>
  <conditionalFormatting sqref="B30">
    <cfRule type="duplicateValues" dxfId="161" priority="40"/>
  </conditionalFormatting>
  <conditionalFormatting sqref="B32">
    <cfRule type="duplicateValues" dxfId="160" priority="54"/>
  </conditionalFormatting>
  <conditionalFormatting sqref="B35:B36 B28:B31">
    <cfRule type="duplicateValues" dxfId="159" priority="8"/>
  </conditionalFormatting>
  <conditionalFormatting sqref="B35:B36">
    <cfRule type="duplicateValues" dxfId="158" priority="46"/>
  </conditionalFormatting>
  <conditionalFormatting sqref="B35:B37">
    <cfRule type="duplicateValues" dxfId="157" priority="5"/>
  </conditionalFormatting>
  <conditionalFormatting sqref="B36">
    <cfRule type="duplicateValues" dxfId="156" priority="37"/>
    <cfRule type="duplicateValues" dxfId="155" priority="38"/>
    <cfRule type="duplicateValues" dxfId="154" priority="39"/>
  </conditionalFormatting>
  <conditionalFormatting sqref="B37">
    <cfRule type="duplicateValues" dxfId="153" priority="6"/>
    <cfRule type="duplicateValues" dxfId="152" priority="7"/>
    <cfRule type="duplicateValues" dxfId="151" priority="9"/>
  </conditionalFormatting>
  <conditionalFormatting sqref="B38">
    <cfRule type="duplicateValues" dxfId="150" priority="10"/>
  </conditionalFormatting>
  <conditionalFormatting sqref="B39:B54">
    <cfRule type="duplicateValues" dxfId="149" priority="2"/>
  </conditionalFormatting>
  <conditionalFormatting sqref="B55">
    <cfRule type="duplicateValues" dxfId="148" priority="1"/>
  </conditionalFormatting>
  <conditionalFormatting sqref="I5 B5">
    <cfRule type="duplicateValues" dxfId="147" priority="45"/>
  </conditionalFormatting>
  <conditionalFormatting sqref="J7">
    <cfRule type="duplicateValues" dxfId="146" priority="19"/>
  </conditionalFormatting>
  <conditionalFormatting sqref="K4:K5 B4:B5">
    <cfRule type="duplicateValues" dxfId="145" priority="27"/>
  </conditionalFormatting>
  <conditionalFormatting sqref="K4:K5">
    <cfRule type="duplicateValues" dxfId="144" priority="28"/>
  </conditionalFormatting>
  <conditionalFormatting sqref="K8">
    <cfRule type="duplicateValues" dxfId="143" priority="24"/>
  </conditionalFormatting>
  <conditionalFormatting sqref="L6">
    <cfRule type="duplicateValues" dxfId="142" priority="33"/>
  </conditionalFormatting>
  <conditionalFormatting sqref="L6:L7">
    <cfRule type="duplicateValues" dxfId="141" priority="14"/>
    <cfRule type="duplicateValues" dxfId="140" priority="15"/>
    <cfRule type="duplicateValues" dxfId="139" priority="16"/>
    <cfRule type="duplicateValues" dxfId="138" priority="17"/>
  </conditionalFormatting>
  <conditionalFormatting sqref="L7">
    <cfRule type="duplicateValues" dxfId="137" priority="18"/>
  </conditionalFormatting>
  <conditionalFormatting sqref="L8">
    <cfRule type="duplicateValues" dxfId="136" priority="29"/>
    <cfRule type="duplicateValues" dxfId="135" priority="30"/>
    <cfRule type="duplicateValues" dxfId="134" priority="31"/>
    <cfRule type="duplicateValues" dxfId="133" priority="32"/>
  </conditionalFormatting>
  <conditionalFormatting sqref="M6:M7">
    <cfRule type="duplicateValues" dxfId="132" priority="13"/>
  </conditionalFormatting>
  <conditionalFormatting sqref="M8">
    <cfRule type="duplicateValues" dxfId="131" priority="23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8"/>
  <sheetViews>
    <sheetView topLeftCell="A22" workbookViewId="0">
      <selection activeCell="B20" sqref="B20"/>
    </sheetView>
  </sheetViews>
  <sheetFormatPr defaultColWidth="9.140625" defaultRowHeight="15" x14ac:dyDescent="0.25"/>
  <cols>
    <col min="1" max="1" width="18.140625" style="21" customWidth="1"/>
    <col min="2" max="2" width="36.5703125" customWidth="1"/>
    <col min="3" max="3" width="21" style="21" customWidth="1"/>
    <col min="4" max="4" width="33.28515625" style="21" customWidth="1"/>
    <col min="5" max="5" width="20.140625" style="131" customWidth="1"/>
    <col min="6" max="6" width="23.7109375" style="131" customWidth="1"/>
    <col min="7" max="7" width="25.85546875" customWidth="1"/>
    <col min="8" max="8" width="11" hidden="1" customWidth="1"/>
    <col min="9" max="9" width="0" hidden="1" customWidth="1"/>
  </cols>
  <sheetData>
    <row r="1" spans="1:10" x14ac:dyDescent="0.25">
      <c r="A1" s="41" t="s">
        <v>3314</v>
      </c>
    </row>
    <row r="2" spans="1:10" s="21" customFormat="1" x14ac:dyDescent="0.25">
      <c r="A2" s="132" t="s">
        <v>925</v>
      </c>
      <c r="B2"/>
      <c r="E2" s="131"/>
      <c r="F2" s="131"/>
    </row>
    <row r="4" spans="1:10" x14ac:dyDescent="0.25">
      <c r="A4" s="133" t="s">
        <v>926</v>
      </c>
      <c r="B4" s="134" t="s">
        <v>927</v>
      </c>
      <c r="C4" s="135" t="s">
        <v>928</v>
      </c>
      <c r="D4" s="135" t="s">
        <v>929</v>
      </c>
      <c r="E4" s="136" t="s">
        <v>704</v>
      </c>
      <c r="F4" s="136" t="s">
        <v>757</v>
      </c>
    </row>
    <row r="5" spans="1:10" x14ac:dyDescent="0.25">
      <c r="A5" s="137" t="s">
        <v>930</v>
      </c>
      <c r="B5" s="101" t="s">
        <v>931</v>
      </c>
      <c r="C5" s="104" t="s">
        <v>932</v>
      </c>
      <c r="D5" s="104" t="s">
        <v>933</v>
      </c>
      <c r="E5" s="121">
        <v>779675.07</v>
      </c>
      <c r="F5" s="138">
        <f>E5</f>
        <v>779675.07</v>
      </c>
    </row>
    <row r="6" spans="1:10" x14ac:dyDescent="0.25">
      <c r="A6" s="137" t="s">
        <v>934</v>
      </c>
      <c r="B6" s="101" t="s">
        <v>49</v>
      </c>
      <c r="C6" s="104" t="s">
        <v>935</v>
      </c>
      <c r="D6" s="104" t="s">
        <v>936</v>
      </c>
      <c r="E6" s="121">
        <v>40777</v>
      </c>
      <c r="F6" s="121">
        <f>E6</f>
        <v>40777</v>
      </c>
      <c r="H6" s="139" t="s">
        <v>937</v>
      </c>
    </row>
    <row r="7" spans="1:10" x14ac:dyDescent="0.25">
      <c r="A7" s="137" t="s">
        <v>938</v>
      </c>
      <c r="B7" s="415" t="s">
        <v>742</v>
      </c>
      <c r="C7" s="104" t="s">
        <v>939</v>
      </c>
      <c r="D7" s="104" t="s">
        <v>940</v>
      </c>
      <c r="E7" s="121">
        <v>2000</v>
      </c>
      <c r="F7" s="138">
        <f>E7</f>
        <v>2000</v>
      </c>
    </row>
    <row r="8" spans="1:10" x14ac:dyDescent="0.25">
      <c r="A8" s="416">
        <v>44440</v>
      </c>
      <c r="B8" s="417" t="s">
        <v>941</v>
      </c>
      <c r="C8" s="418" t="s">
        <v>942</v>
      </c>
      <c r="D8" s="418"/>
      <c r="E8" s="102">
        <v>4613.67</v>
      </c>
      <c r="F8" s="140">
        <f>E8</f>
        <v>4613.67</v>
      </c>
    </row>
    <row r="9" spans="1:10" x14ac:dyDescent="0.25">
      <c r="A9" s="137" t="s">
        <v>943</v>
      </c>
      <c r="B9" s="415" t="s">
        <v>944</v>
      </c>
      <c r="C9" s="120">
        <v>44291</v>
      </c>
      <c r="D9" s="104" t="s">
        <v>945</v>
      </c>
      <c r="E9" s="121">
        <v>1635</v>
      </c>
      <c r="F9" s="138"/>
    </row>
    <row r="10" spans="1:10" x14ac:dyDescent="0.25">
      <c r="A10" s="137" t="s">
        <v>946</v>
      </c>
      <c r="B10" s="415" t="s">
        <v>944</v>
      </c>
      <c r="C10" s="104" t="s">
        <v>947</v>
      </c>
      <c r="D10" s="94" t="s">
        <v>948</v>
      </c>
      <c r="E10" s="141">
        <v>1075</v>
      </c>
      <c r="F10" s="141"/>
    </row>
    <row r="11" spans="1:10" x14ac:dyDescent="0.25">
      <c r="A11" s="137" t="s">
        <v>949</v>
      </c>
      <c r="B11" s="101" t="s">
        <v>944</v>
      </c>
      <c r="C11" s="120">
        <v>42836</v>
      </c>
      <c r="D11" s="104" t="s">
        <v>950</v>
      </c>
      <c r="E11" s="142">
        <v>1817</v>
      </c>
      <c r="F11" s="143">
        <f>SUM(E9:E11)</f>
        <v>4527</v>
      </c>
    </row>
    <row r="12" spans="1:10" x14ac:dyDescent="0.25">
      <c r="A12" s="137" t="s">
        <v>951</v>
      </c>
      <c r="B12" s="101" t="s">
        <v>952</v>
      </c>
      <c r="C12" s="104" t="s">
        <v>953</v>
      </c>
      <c r="D12" s="104" t="s">
        <v>954</v>
      </c>
      <c r="E12" s="121">
        <v>100</v>
      </c>
      <c r="F12" s="138">
        <f>E12</f>
        <v>100</v>
      </c>
    </row>
    <row r="13" spans="1:10" x14ac:dyDescent="0.25">
      <c r="A13" s="137" t="s">
        <v>955</v>
      </c>
      <c r="B13" s="101" t="s">
        <v>956</v>
      </c>
      <c r="C13" s="104" t="s">
        <v>957</v>
      </c>
      <c r="D13" s="104" t="s">
        <v>958</v>
      </c>
      <c r="E13" s="121">
        <v>1116.3699999999999</v>
      </c>
      <c r="F13" s="138">
        <f>E13</f>
        <v>1116.3699999999999</v>
      </c>
    </row>
    <row r="14" spans="1:10" s="144" customFormat="1" x14ac:dyDescent="0.25">
      <c r="A14" s="137" t="s">
        <v>959</v>
      </c>
      <c r="B14" s="415" t="s">
        <v>960</v>
      </c>
      <c r="C14" s="419" t="s">
        <v>961</v>
      </c>
      <c r="D14" s="104" t="s">
        <v>962</v>
      </c>
      <c r="E14" s="121">
        <v>50</v>
      </c>
      <c r="F14" s="138"/>
      <c r="G14"/>
      <c r="H14"/>
      <c r="I14"/>
      <c r="J14"/>
    </row>
    <row r="15" spans="1:10" s="144" customFormat="1" x14ac:dyDescent="0.25">
      <c r="A15" s="137" t="s">
        <v>963</v>
      </c>
      <c r="B15" s="101" t="s">
        <v>960</v>
      </c>
      <c r="C15" s="120" t="s">
        <v>964</v>
      </c>
      <c r="D15" s="120" t="s">
        <v>965</v>
      </c>
      <c r="E15" s="121">
        <v>50</v>
      </c>
      <c r="F15" s="138"/>
      <c r="G15"/>
      <c r="H15"/>
      <c r="I15"/>
      <c r="J15"/>
    </row>
    <row r="16" spans="1:10" s="144" customFormat="1" x14ac:dyDescent="0.25">
      <c r="A16" s="137" t="s">
        <v>966</v>
      </c>
      <c r="B16" s="101" t="s">
        <v>960</v>
      </c>
      <c r="C16" s="104" t="s">
        <v>967</v>
      </c>
      <c r="D16" s="104" t="s">
        <v>968</v>
      </c>
      <c r="E16" s="121">
        <v>50</v>
      </c>
      <c r="F16" s="138">
        <f>SUM(E14:E16)</f>
        <v>150</v>
      </c>
      <c r="G16"/>
      <c r="H16"/>
      <c r="I16"/>
      <c r="J16"/>
    </row>
    <row r="17" spans="1:6" x14ac:dyDescent="0.25">
      <c r="A17" s="137" t="s">
        <v>969</v>
      </c>
      <c r="B17" s="101" t="s">
        <v>453</v>
      </c>
      <c r="C17" s="104" t="s">
        <v>970</v>
      </c>
      <c r="D17" s="104" t="s">
        <v>971</v>
      </c>
      <c r="E17" s="121">
        <v>3500</v>
      </c>
      <c r="F17" s="138">
        <f>E17</f>
        <v>3500</v>
      </c>
    </row>
    <row r="18" spans="1:6" x14ac:dyDescent="0.25">
      <c r="A18" s="137" t="s">
        <v>972</v>
      </c>
      <c r="B18" s="49" t="s">
        <v>973</v>
      </c>
      <c r="C18" s="420">
        <v>44200</v>
      </c>
      <c r="D18" s="94" t="s">
        <v>974</v>
      </c>
      <c r="E18" s="121">
        <v>3500</v>
      </c>
      <c r="F18" s="138">
        <f>E18</f>
        <v>3500</v>
      </c>
    </row>
    <row r="19" spans="1:6" x14ac:dyDescent="0.25">
      <c r="A19" s="137" t="s">
        <v>938</v>
      </c>
      <c r="B19" s="101" t="s">
        <v>975</v>
      </c>
      <c r="C19" s="120">
        <v>43594</v>
      </c>
      <c r="D19" s="104" t="s">
        <v>976</v>
      </c>
      <c r="E19" s="121">
        <v>980</v>
      </c>
      <c r="F19" s="138">
        <f>E19</f>
        <v>980</v>
      </c>
    </row>
    <row r="20" spans="1:6" x14ac:dyDescent="0.25">
      <c r="A20" s="137" t="s">
        <v>977</v>
      </c>
      <c r="B20" s="421" t="s">
        <v>978</v>
      </c>
      <c r="C20" s="420" t="s">
        <v>979</v>
      </c>
      <c r="D20" s="94" t="s">
        <v>980</v>
      </c>
      <c r="E20" s="142">
        <v>2964</v>
      </c>
      <c r="F20" s="143"/>
    </row>
    <row r="21" spans="1:6" x14ac:dyDescent="0.25">
      <c r="A21" s="137" t="s">
        <v>981</v>
      </c>
      <c r="B21" s="101" t="s">
        <v>978</v>
      </c>
      <c r="C21" s="422">
        <v>43831</v>
      </c>
      <c r="D21" s="104" t="s">
        <v>982</v>
      </c>
      <c r="E21" s="145">
        <v>6.16</v>
      </c>
      <c r="F21" s="145"/>
    </row>
    <row r="22" spans="1:6" x14ac:dyDescent="0.25">
      <c r="A22" s="137" t="s">
        <v>983</v>
      </c>
      <c r="B22" s="101" t="s">
        <v>515</v>
      </c>
      <c r="C22" s="120" t="s">
        <v>984</v>
      </c>
      <c r="D22" s="104" t="s">
        <v>985</v>
      </c>
      <c r="E22" s="121">
        <v>10</v>
      </c>
      <c r="F22" s="138">
        <f>SUM(E20:E22)</f>
        <v>2980.16</v>
      </c>
    </row>
    <row r="23" spans="1:6" x14ac:dyDescent="0.25">
      <c r="A23" s="137" t="s">
        <v>983</v>
      </c>
      <c r="B23" s="49" t="s">
        <v>986</v>
      </c>
      <c r="C23" s="120">
        <v>43897</v>
      </c>
      <c r="D23" s="104" t="s">
        <v>987</v>
      </c>
      <c r="E23" s="121">
        <v>2000</v>
      </c>
      <c r="F23" s="138"/>
    </row>
    <row r="24" spans="1:6" x14ac:dyDescent="0.25">
      <c r="A24" s="137" t="s">
        <v>983</v>
      </c>
      <c r="B24" s="49" t="s">
        <v>986</v>
      </c>
      <c r="C24" s="120">
        <v>43898</v>
      </c>
      <c r="D24" s="104" t="s">
        <v>988</v>
      </c>
      <c r="E24" s="121">
        <v>1000</v>
      </c>
      <c r="F24" s="138"/>
    </row>
    <row r="25" spans="1:6" x14ac:dyDescent="0.25">
      <c r="A25" s="137" t="s">
        <v>983</v>
      </c>
      <c r="B25" s="49" t="s">
        <v>986</v>
      </c>
      <c r="C25" s="120">
        <v>43899</v>
      </c>
      <c r="D25" s="104" t="s">
        <v>989</v>
      </c>
      <c r="E25" s="121">
        <v>500</v>
      </c>
      <c r="F25" s="138"/>
    </row>
    <row r="26" spans="1:6" x14ac:dyDescent="0.25">
      <c r="A26" s="137" t="s">
        <v>983</v>
      </c>
      <c r="B26" s="49" t="s">
        <v>986</v>
      </c>
      <c r="C26" s="120">
        <v>43899</v>
      </c>
      <c r="D26" s="104" t="s">
        <v>990</v>
      </c>
      <c r="E26" s="121">
        <v>500</v>
      </c>
      <c r="F26" s="138"/>
    </row>
    <row r="27" spans="1:6" x14ac:dyDescent="0.25">
      <c r="A27" s="137" t="s">
        <v>983</v>
      </c>
      <c r="B27" s="49" t="s">
        <v>986</v>
      </c>
      <c r="C27" s="120">
        <v>43903</v>
      </c>
      <c r="D27" s="104" t="s">
        <v>991</v>
      </c>
      <c r="E27" s="121">
        <v>500</v>
      </c>
      <c r="F27" s="138"/>
    </row>
    <row r="28" spans="1:6" x14ac:dyDescent="0.25">
      <c r="A28" s="137" t="s">
        <v>983</v>
      </c>
      <c r="B28" s="49" t="s">
        <v>986</v>
      </c>
      <c r="C28" s="120">
        <v>43906</v>
      </c>
      <c r="D28" s="104" t="s">
        <v>992</v>
      </c>
      <c r="E28" s="121">
        <v>1000</v>
      </c>
      <c r="F28" s="138"/>
    </row>
    <row r="29" spans="1:6" x14ac:dyDescent="0.25">
      <c r="A29" s="137" t="s">
        <v>983</v>
      </c>
      <c r="B29" s="49" t="s">
        <v>986</v>
      </c>
      <c r="C29" s="120">
        <v>43913</v>
      </c>
      <c r="D29" s="104" t="s">
        <v>993</v>
      </c>
      <c r="E29" s="121">
        <v>1000</v>
      </c>
      <c r="F29" s="138"/>
    </row>
    <row r="30" spans="1:6" x14ac:dyDescent="0.25">
      <c r="A30" s="137" t="s">
        <v>983</v>
      </c>
      <c r="B30" s="49" t="s">
        <v>986</v>
      </c>
      <c r="C30" s="120">
        <v>43918</v>
      </c>
      <c r="D30" s="104" t="s">
        <v>994</v>
      </c>
      <c r="E30" s="121">
        <v>3500</v>
      </c>
      <c r="F30" s="138"/>
    </row>
    <row r="31" spans="1:6" x14ac:dyDescent="0.25">
      <c r="A31" s="137" t="s">
        <v>969</v>
      </c>
      <c r="B31" s="101" t="s">
        <v>995</v>
      </c>
      <c r="C31" s="104" t="s">
        <v>996</v>
      </c>
      <c r="D31" s="104" t="s">
        <v>997</v>
      </c>
      <c r="E31" s="121"/>
      <c r="F31" s="138">
        <f>SUM(E23:E31)</f>
        <v>10000</v>
      </c>
    </row>
    <row r="32" spans="1:6" x14ac:dyDescent="0.25">
      <c r="A32" s="137" t="s">
        <v>949</v>
      </c>
      <c r="B32" s="101" t="s">
        <v>998</v>
      </c>
      <c r="C32" s="120">
        <v>42805</v>
      </c>
      <c r="D32" s="104" t="s">
        <v>999</v>
      </c>
      <c r="E32" s="121">
        <v>50</v>
      </c>
      <c r="F32" s="138">
        <f>E32</f>
        <v>50</v>
      </c>
    </row>
    <row r="33" spans="1:6" x14ac:dyDescent="0.25">
      <c r="F33" s="146">
        <f>SUM(F5:F32)</f>
        <v>853969.27</v>
      </c>
    </row>
    <row r="35" spans="1:6" x14ac:dyDescent="0.25">
      <c r="A35" s="147"/>
      <c r="B35" s="144"/>
    </row>
    <row r="36" spans="1:6" x14ac:dyDescent="0.25">
      <c r="A36" s="147"/>
      <c r="B36" s="144"/>
    </row>
    <row r="39" spans="1:6" x14ac:dyDescent="0.25">
      <c r="A39" s="68" t="s">
        <v>768</v>
      </c>
      <c r="B39" s="21"/>
      <c r="D39"/>
    </row>
    <row r="40" spans="1:6" x14ac:dyDescent="0.25">
      <c r="A40" t="s">
        <v>931</v>
      </c>
      <c r="B40" s="21"/>
      <c r="C40" s="148">
        <f>F5</f>
        <v>779675.07</v>
      </c>
      <c r="D40"/>
      <c r="E40" s="149"/>
      <c r="F40" s="149"/>
    </row>
    <row r="41" spans="1:6" x14ac:dyDescent="0.25">
      <c r="A41" t="s">
        <v>49</v>
      </c>
      <c r="B41" s="21"/>
      <c r="C41" s="148">
        <f>F6</f>
        <v>40777</v>
      </c>
      <c r="D41"/>
      <c r="E41" s="149"/>
      <c r="F41" s="149"/>
    </row>
    <row r="42" spans="1:6" x14ac:dyDescent="0.25">
      <c r="A42" s="27" t="s">
        <v>742</v>
      </c>
      <c r="B42" s="21"/>
      <c r="C42" s="148">
        <f>F7</f>
        <v>2000</v>
      </c>
      <c r="D42"/>
      <c r="E42" s="150"/>
      <c r="F42" s="150"/>
    </row>
    <row r="43" spans="1:6" x14ac:dyDescent="0.25">
      <c r="A43" t="s">
        <v>1000</v>
      </c>
      <c r="B43" s="21"/>
      <c r="C43" s="151">
        <f>F8</f>
        <v>4613.67</v>
      </c>
      <c r="D43"/>
      <c r="E43" s="149"/>
      <c r="F43" s="149"/>
    </row>
    <row r="44" spans="1:6" x14ac:dyDescent="0.25">
      <c r="A44" s="27" t="s">
        <v>944</v>
      </c>
      <c r="B44" s="21"/>
      <c r="C44" s="148">
        <f>F11</f>
        <v>4527</v>
      </c>
      <c r="D44"/>
      <c r="E44" s="149"/>
      <c r="F44" s="149"/>
    </row>
    <row r="45" spans="1:6" x14ac:dyDescent="0.25">
      <c r="A45" t="s">
        <v>952</v>
      </c>
      <c r="B45" s="21"/>
      <c r="C45" s="148">
        <f>F12</f>
        <v>100</v>
      </c>
      <c r="D45"/>
    </row>
    <row r="46" spans="1:6" x14ac:dyDescent="0.25">
      <c r="A46" t="s">
        <v>956</v>
      </c>
      <c r="B46" s="21"/>
      <c r="C46" s="148">
        <f>F13</f>
        <v>1116.3699999999999</v>
      </c>
      <c r="D46"/>
    </row>
    <row r="47" spans="1:6" x14ac:dyDescent="0.25">
      <c r="A47" t="s">
        <v>960</v>
      </c>
      <c r="B47" s="21"/>
      <c r="C47" s="148">
        <f>F16</f>
        <v>150</v>
      </c>
      <c r="D47"/>
    </row>
    <row r="48" spans="1:6" x14ac:dyDescent="0.25">
      <c r="A48" t="s">
        <v>453</v>
      </c>
      <c r="B48" s="21"/>
      <c r="C48" s="148">
        <f>F17</f>
        <v>3500</v>
      </c>
      <c r="D48"/>
    </row>
    <row r="49" spans="1:4" x14ac:dyDescent="0.25">
      <c r="A49" t="s">
        <v>973</v>
      </c>
      <c r="B49" s="21"/>
      <c r="C49" s="148">
        <f>F18</f>
        <v>3500</v>
      </c>
      <c r="D49"/>
    </row>
    <row r="50" spans="1:4" x14ac:dyDescent="0.25">
      <c r="A50" t="s">
        <v>975</v>
      </c>
      <c r="B50" s="21"/>
      <c r="C50" s="148">
        <f>F19</f>
        <v>980</v>
      </c>
      <c r="D50"/>
    </row>
    <row r="51" spans="1:4" x14ac:dyDescent="0.25">
      <c r="A51" s="128" t="s">
        <v>978</v>
      </c>
      <c r="B51" s="21"/>
      <c r="C51" s="148">
        <f>F22</f>
        <v>2980.16</v>
      </c>
      <c r="D51"/>
    </row>
    <row r="52" spans="1:4" x14ac:dyDescent="0.25">
      <c r="A52" t="s">
        <v>986</v>
      </c>
      <c r="B52" s="21"/>
      <c r="C52" s="148">
        <f>F31</f>
        <v>10000</v>
      </c>
      <c r="D52"/>
    </row>
    <row r="53" spans="1:4" x14ac:dyDescent="0.25">
      <c r="A53" t="s">
        <v>998</v>
      </c>
      <c r="B53" s="21"/>
      <c r="C53" s="148">
        <f>F32</f>
        <v>50</v>
      </c>
      <c r="D53"/>
    </row>
    <row r="54" spans="1:4" x14ac:dyDescent="0.25">
      <c r="A54"/>
      <c r="B54" s="130" t="s">
        <v>1001</v>
      </c>
      <c r="C54" s="152">
        <f>SUM(C40:C53)</f>
        <v>853969.27</v>
      </c>
      <c r="D54"/>
    </row>
    <row r="56" spans="1:4" x14ac:dyDescent="0.25">
      <c r="C56" s="148"/>
      <c r="D56" s="153"/>
    </row>
    <row r="57" spans="1:4" x14ac:dyDescent="0.25">
      <c r="C57" s="148"/>
    </row>
    <row r="58" spans="1:4" x14ac:dyDescent="0.25">
      <c r="D58" s="14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486"/>
  <sheetViews>
    <sheetView topLeftCell="A438" workbookViewId="0">
      <selection activeCell="D486" sqref="D486"/>
    </sheetView>
  </sheetViews>
  <sheetFormatPr defaultColWidth="13.140625" defaultRowHeight="12.75" x14ac:dyDescent="0.2"/>
  <cols>
    <col min="1" max="2" width="19.5703125" style="73" customWidth="1"/>
    <col min="3" max="4" width="18.140625" style="73" customWidth="1"/>
    <col min="5" max="5" width="22.42578125" style="73" customWidth="1"/>
    <col min="6" max="6" width="17.140625" style="73" customWidth="1"/>
    <col min="7" max="7" width="17.7109375" style="73" bestFit="1" customWidth="1"/>
    <col min="8" max="8" width="18.140625" style="73" customWidth="1"/>
    <col min="9" max="9" width="17.7109375" style="73" customWidth="1"/>
    <col min="10" max="10" width="25.5703125" style="73" customWidth="1"/>
    <col min="11" max="11" width="26.42578125" style="73" customWidth="1"/>
    <col min="12" max="12" width="15.5703125" style="73" customWidth="1"/>
    <col min="13" max="13" width="18.140625" style="73" customWidth="1"/>
    <col min="14" max="14" width="14.85546875" style="73" customWidth="1"/>
    <col min="15" max="15" width="17" style="73" customWidth="1"/>
    <col min="16" max="16" width="17.140625" style="73" customWidth="1"/>
    <col min="17" max="17" width="13.140625" style="73"/>
    <col min="18" max="18" width="19.85546875" style="73" customWidth="1"/>
    <col min="19" max="16384" width="13.140625" style="73"/>
  </cols>
  <sheetData>
    <row r="1" spans="1:19" x14ac:dyDescent="0.2">
      <c r="A1" s="156" t="s">
        <v>3329</v>
      </c>
    </row>
    <row r="2" spans="1:19" x14ac:dyDescent="0.2">
      <c r="A2" s="156"/>
    </row>
    <row r="3" spans="1:19" x14ac:dyDescent="0.2">
      <c r="A3" s="76" t="s">
        <v>1003</v>
      </c>
    </row>
    <row r="4" spans="1:19" ht="13.5" customHeight="1" x14ac:dyDescent="0.2">
      <c r="A4" s="157"/>
      <c r="K4" s="158"/>
      <c r="L4" s="159"/>
      <c r="M4" s="158"/>
      <c r="N4" s="160"/>
      <c r="O4" s="160"/>
      <c r="P4" s="161"/>
      <c r="Q4" s="161"/>
      <c r="R4" s="162"/>
      <c r="S4" s="275"/>
    </row>
    <row r="5" spans="1:19" ht="13.5" x14ac:dyDescent="0.2">
      <c r="A5" s="277" t="s">
        <v>770</v>
      </c>
      <c r="B5" s="278" t="s">
        <v>929</v>
      </c>
      <c r="C5" s="278" t="s">
        <v>1005</v>
      </c>
      <c r="D5" s="278" t="s">
        <v>2240</v>
      </c>
      <c r="E5" s="279" t="s">
        <v>704</v>
      </c>
      <c r="F5" s="279" t="s">
        <v>2241</v>
      </c>
      <c r="G5" s="280" t="s">
        <v>772</v>
      </c>
      <c r="K5" s="158"/>
      <c r="L5" s="158"/>
      <c r="M5" s="158"/>
      <c r="N5" s="160"/>
      <c r="O5" s="160"/>
      <c r="P5" s="161"/>
      <c r="Q5" s="161"/>
      <c r="R5" s="162"/>
      <c r="S5" s="163"/>
    </row>
    <row r="6" spans="1:19" ht="13.5" x14ac:dyDescent="0.2">
      <c r="A6" s="281">
        <v>45306</v>
      </c>
      <c r="B6" s="282" t="s">
        <v>2242</v>
      </c>
      <c r="C6" s="282" t="s">
        <v>2243</v>
      </c>
      <c r="D6" s="282" t="s">
        <v>2243</v>
      </c>
      <c r="E6" s="283">
        <v>40000</v>
      </c>
      <c r="F6" s="282" t="s">
        <v>2244</v>
      </c>
      <c r="G6" s="276" t="s">
        <v>1002</v>
      </c>
      <c r="K6" s="158"/>
      <c r="L6" s="159"/>
      <c r="M6" s="158"/>
      <c r="N6" s="160"/>
      <c r="O6" s="164"/>
      <c r="P6" s="161"/>
      <c r="Q6" s="161"/>
      <c r="R6" s="162"/>
      <c r="S6" s="163"/>
    </row>
    <row r="7" spans="1:19" ht="13.5" x14ac:dyDescent="0.2">
      <c r="A7" s="281">
        <v>45306</v>
      </c>
      <c r="B7" s="282" t="s">
        <v>2245</v>
      </c>
      <c r="C7" s="282" t="s">
        <v>2246</v>
      </c>
      <c r="D7" s="282" t="s">
        <v>2247</v>
      </c>
      <c r="E7" s="283">
        <v>27610</v>
      </c>
      <c r="F7" s="282" t="s">
        <v>2248</v>
      </c>
      <c r="G7" s="276" t="s">
        <v>1397</v>
      </c>
      <c r="K7" s="158"/>
      <c r="L7" s="158"/>
      <c r="M7" s="158"/>
      <c r="N7" s="160"/>
      <c r="O7" s="160"/>
      <c r="P7" s="161"/>
      <c r="Q7" s="161"/>
      <c r="R7" s="162"/>
      <c r="S7" s="556"/>
    </row>
    <row r="8" spans="1:19" ht="14.25" x14ac:dyDescent="0.3">
      <c r="A8" s="284"/>
      <c r="B8" s="284"/>
      <c r="C8" s="284"/>
      <c r="D8" s="284"/>
      <c r="E8" s="284"/>
      <c r="F8" s="284"/>
      <c r="G8" s="284"/>
      <c r="K8" s="158"/>
      <c r="L8" s="158"/>
      <c r="M8" s="158"/>
      <c r="N8" s="160"/>
      <c r="O8" s="160"/>
      <c r="P8" s="161"/>
      <c r="Q8" s="161"/>
      <c r="R8" s="162"/>
      <c r="S8" s="556"/>
    </row>
    <row r="9" spans="1:19" ht="15" thickBot="1" x14ac:dyDescent="0.35">
      <c r="A9" s="284"/>
      <c r="B9" s="284"/>
      <c r="C9" s="284"/>
      <c r="D9" s="284"/>
      <c r="E9" s="285">
        <f>SUM(E6:E8)</f>
        <v>67610</v>
      </c>
      <c r="F9" s="284"/>
      <c r="G9" s="284"/>
      <c r="K9" s="158"/>
      <c r="L9" s="158"/>
      <c r="M9" s="158"/>
      <c r="N9" s="160"/>
      <c r="O9" s="160"/>
      <c r="P9" s="165"/>
      <c r="Q9" s="165"/>
      <c r="R9" s="166"/>
      <c r="S9" s="167"/>
    </row>
    <row r="10" spans="1:19" ht="13.5" thickTop="1" x14ac:dyDescent="0.2">
      <c r="A10" s="171"/>
      <c r="B10" s="172"/>
      <c r="C10" s="173"/>
      <c r="D10" s="174"/>
      <c r="E10" s="175"/>
      <c r="F10" s="176"/>
      <c r="G10" s="160"/>
      <c r="H10" s="160"/>
      <c r="I10" s="160"/>
      <c r="J10" s="160"/>
      <c r="K10" s="176"/>
      <c r="L10" s="168"/>
      <c r="M10" s="179"/>
      <c r="N10" s="160"/>
      <c r="O10" s="160"/>
      <c r="P10" s="178"/>
      <c r="Q10" s="179"/>
      <c r="R10" s="160"/>
      <c r="S10" s="160"/>
    </row>
    <row r="11" spans="1:19" s="181" customFormat="1" x14ac:dyDescent="0.2"/>
    <row r="12" spans="1:19" x14ac:dyDescent="0.2">
      <c r="A12" s="76" t="s">
        <v>1004</v>
      </c>
    </row>
    <row r="13" spans="1:19" s="106" customFormat="1" x14ac:dyDescent="0.2">
      <c r="A13" s="182"/>
      <c r="B13" s="75"/>
      <c r="D13" s="174"/>
      <c r="F13" s="184"/>
      <c r="H13" s="183"/>
    </row>
    <row r="14" spans="1:19" s="187" customFormat="1" x14ac:dyDescent="0.25">
      <c r="A14" s="185" t="s">
        <v>770</v>
      </c>
      <c r="B14" s="185" t="s">
        <v>929</v>
      </c>
      <c r="C14" s="185" t="s">
        <v>1005</v>
      </c>
      <c r="D14" s="185" t="s">
        <v>1006</v>
      </c>
      <c r="E14" s="185" t="s">
        <v>1007</v>
      </c>
      <c r="F14" s="185" t="s">
        <v>1008</v>
      </c>
      <c r="G14" s="186" t="s">
        <v>1009</v>
      </c>
      <c r="H14" s="185" t="s">
        <v>1010</v>
      </c>
      <c r="I14" s="557" t="s">
        <v>1011</v>
      </c>
      <c r="J14" s="557"/>
    </row>
    <row r="15" spans="1:19" x14ac:dyDescent="0.2">
      <c r="A15" s="188" t="s">
        <v>1012</v>
      </c>
      <c r="B15" s="188" t="s">
        <v>1013</v>
      </c>
      <c r="C15" s="188" t="s">
        <v>1014</v>
      </c>
      <c r="D15" s="189">
        <v>117600003202</v>
      </c>
      <c r="E15" s="188" t="s">
        <v>1015</v>
      </c>
      <c r="F15" s="190" t="s">
        <v>1002</v>
      </c>
      <c r="G15" s="191" t="s">
        <v>1016</v>
      </c>
      <c r="H15" s="192">
        <v>30300</v>
      </c>
      <c r="I15" s="558" t="s">
        <v>1017</v>
      </c>
      <c r="J15" s="558"/>
    </row>
    <row r="16" spans="1:19" x14ac:dyDescent="0.2">
      <c r="D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</row>
    <row r="17" spans="1:15" ht="13.5" thickBot="1" x14ac:dyDescent="0.25">
      <c r="D17" s="187"/>
      <c r="F17" s="187"/>
      <c r="G17" s="187"/>
      <c r="H17" s="193">
        <v>30300</v>
      </c>
      <c r="I17" s="187"/>
      <c r="J17" s="187"/>
    </row>
    <row r="18" spans="1:15" x14ac:dyDescent="0.2">
      <c r="F18" s="156"/>
      <c r="H18" s="180"/>
    </row>
    <row r="19" spans="1:15" x14ac:dyDescent="0.2">
      <c r="F19" s="156"/>
      <c r="H19" s="180"/>
    </row>
    <row r="20" spans="1:15" x14ac:dyDescent="0.2">
      <c r="F20" s="156"/>
      <c r="H20" s="180"/>
    </row>
    <row r="22" spans="1:15" s="181" customFormat="1" x14ac:dyDescent="0.2"/>
    <row r="23" spans="1:15" x14ac:dyDescent="0.2">
      <c r="A23" s="76" t="s">
        <v>688</v>
      </c>
    </row>
    <row r="24" spans="1:15" customFormat="1" ht="29.25" customHeight="1" x14ac:dyDescent="0.25">
      <c r="A24" s="509" t="s">
        <v>1018</v>
      </c>
      <c r="B24" s="510" t="s">
        <v>1019</v>
      </c>
      <c r="C24" s="510" t="s">
        <v>1020</v>
      </c>
      <c r="D24" s="510" t="s">
        <v>754</v>
      </c>
      <c r="E24" s="510" t="s">
        <v>1021</v>
      </c>
      <c r="F24" s="510" t="s">
        <v>1022</v>
      </c>
      <c r="G24" s="510" t="s">
        <v>1023</v>
      </c>
      <c r="H24" s="511" t="s">
        <v>1024</v>
      </c>
      <c r="I24" s="512" t="s">
        <v>1025</v>
      </c>
      <c r="J24" s="510" t="s">
        <v>1026</v>
      </c>
      <c r="K24" s="510" t="s">
        <v>1027</v>
      </c>
      <c r="L24" s="510" t="s">
        <v>1028</v>
      </c>
      <c r="M24" s="510" t="s">
        <v>1029</v>
      </c>
      <c r="N24" s="510" t="s">
        <v>1030</v>
      </c>
      <c r="O24" s="513" t="s">
        <v>1031</v>
      </c>
    </row>
    <row r="25" spans="1:15" s="200" customFormat="1" ht="8.1" customHeight="1" x14ac:dyDescent="0.25">
      <c r="A25" s="197" t="s">
        <v>2455</v>
      </c>
      <c r="B25" s="197" t="s">
        <v>1039</v>
      </c>
      <c r="C25" s="197" t="s">
        <v>1040</v>
      </c>
      <c r="D25" s="197" t="s">
        <v>1041</v>
      </c>
      <c r="E25" s="199" t="s">
        <v>1042</v>
      </c>
      <c r="F25" s="442">
        <v>44904.921053240738</v>
      </c>
      <c r="G25" s="467">
        <v>0.9210532407407408</v>
      </c>
      <c r="H25" s="443">
        <v>28760.95</v>
      </c>
      <c r="I25" s="444">
        <v>28760.95</v>
      </c>
      <c r="J25" s="198" t="s">
        <v>1032</v>
      </c>
      <c r="K25" s="197" t="s">
        <v>1033</v>
      </c>
      <c r="L25" s="197" t="s">
        <v>1034</v>
      </c>
      <c r="M25" s="197" t="s">
        <v>1035</v>
      </c>
      <c r="N25" s="567">
        <v>44908</v>
      </c>
      <c r="O25" s="197" t="s">
        <v>1043</v>
      </c>
    </row>
    <row r="26" spans="1:15" s="200" customFormat="1" ht="8.1" customHeight="1" x14ac:dyDescent="0.25">
      <c r="A26" s="197" t="s">
        <v>2456</v>
      </c>
      <c r="B26" s="197" t="s">
        <v>1044</v>
      </c>
      <c r="C26" s="197" t="s">
        <v>1045</v>
      </c>
      <c r="D26" s="197" t="s">
        <v>1046</v>
      </c>
      <c r="E26" s="199" t="s">
        <v>1047</v>
      </c>
      <c r="F26" s="442">
        <v>44923.844131944446</v>
      </c>
      <c r="G26" s="467">
        <v>0.84413194444444439</v>
      </c>
      <c r="H26" s="443">
        <v>3079.65</v>
      </c>
      <c r="I26" s="444">
        <v>3079.65</v>
      </c>
      <c r="J26" s="198" t="s">
        <v>1032</v>
      </c>
      <c r="K26" s="197" t="s">
        <v>1048</v>
      </c>
      <c r="L26" s="197" t="s">
        <v>1037</v>
      </c>
      <c r="M26" s="197" t="s">
        <v>1035</v>
      </c>
      <c r="N26" s="567">
        <v>44924</v>
      </c>
      <c r="O26" s="197" t="s">
        <v>1049</v>
      </c>
    </row>
    <row r="27" spans="1:15" s="200" customFormat="1" ht="8.1" customHeight="1" x14ac:dyDescent="0.25">
      <c r="A27" s="197" t="s">
        <v>2457</v>
      </c>
      <c r="B27" s="197" t="s">
        <v>1053</v>
      </c>
      <c r="C27" s="197" t="s">
        <v>1054</v>
      </c>
      <c r="D27" s="197" t="s">
        <v>1055</v>
      </c>
      <c r="E27" s="199" t="s">
        <v>1056</v>
      </c>
      <c r="F27" s="442">
        <v>44925.701111111113</v>
      </c>
      <c r="G27" s="467">
        <v>0.70111111111111113</v>
      </c>
      <c r="H27" s="443">
        <v>7000</v>
      </c>
      <c r="I27" s="444">
        <v>7000</v>
      </c>
      <c r="J27" s="198" t="s">
        <v>1032</v>
      </c>
      <c r="K27" s="197" t="s">
        <v>1033</v>
      </c>
      <c r="L27" s="197" t="s">
        <v>1034</v>
      </c>
      <c r="M27" s="197" t="s">
        <v>1035</v>
      </c>
      <c r="N27" s="567">
        <v>44930</v>
      </c>
      <c r="O27" s="197" t="s">
        <v>1057</v>
      </c>
    </row>
    <row r="28" spans="1:15" s="200" customFormat="1" ht="8.1" customHeight="1" x14ac:dyDescent="0.25">
      <c r="A28" s="197" t="s">
        <v>2458</v>
      </c>
      <c r="B28" s="197" t="s">
        <v>1059</v>
      </c>
      <c r="C28" s="197" t="s">
        <v>1060</v>
      </c>
      <c r="D28" s="197" t="s">
        <v>1061</v>
      </c>
      <c r="E28" s="199" t="s">
        <v>1042</v>
      </c>
      <c r="F28" s="442">
        <v>44911.750752314816</v>
      </c>
      <c r="G28" s="467">
        <v>0.75075231481481486</v>
      </c>
      <c r="H28" s="443">
        <v>3000</v>
      </c>
      <c r="I28" s="444">
        <v>3000</v>
      </c>
      <c r="J28" s="198" t="s">
        <v>1032</v>
      </c>
      <c r="K28" s="197" t="s">
        <v>1033</v>
      </c>
      <c r="L28" s="197" t="s">
        <v>1034</v>
      </c>
      <c r="M28" s="197" t="s">
        <v>1035</v>
      </c>
      <c r="N28" s="567">
        <v>44930</v>
      </c>
      <c r="O28" s="445" t="s">
        <v>1062</v>
      </c>
    </row>
    <row r="29" spans="1:15" s="200" customFormat="1" ht="8.1" customHeight="1" x14ac:dyDescent="0.25">
      <c r="A29" s="197" t="s">
        <v>2459</v>
      </c>
      <c r="B29" s="197" t="s">
        <v>1063</v>
      </c>
      <c r="C29" s="197" t="s">
        <v>1064</v>
      </c>
      <c r="D29" s="197" t="s">
        <v>1065</v>
      </c>
      <c r="E29" s="199" t="s">
        <v>1051</v>
      </c>
      <c r="F29" s="442">
        <v>44917.734583333331</v>
      </c>
      <c r="G29" s="467">
        <v>0.73458333333333325</v>
      </c>
      <c r="H29" s="443">
        <v>4935</v>
      </c>
      <c r="I29" s="444">
        <v>4500</v>
      </c>
      <c r="J29" s="198" t="s">
        <v>1066</v>
      </c>
      <c r="K29" s="197" t="s">
        <v>1067</v>
      </c>
      <c r="L29" s="197" t="s">
        <v>1034</v>
      </c>
      <c r="M29" s="197" t="s">
        <v>1035</v>
      </c>
      <c r="N29" s="567">
        <v>44930</v>
      </c>
      <c r="O29" s="197" t="s">
        <v>1068</v>
      </c>
    </row>
    <row r="30" spans="1:15" s="200" customFormat="1" ht="8.1" customHeight="1" x14ac:dyDescent="0.25">
      <c r="A30" s="197" t="s">
        <v>2460</v>
      </c>
      <c r="B30" s="197" t="s">
        <v>1069</v>
      </c>
      <c r="C30" s="197" t="s">
        <v>1070</v>
      </c>
      <c r="D30" s="197" t="s">
        <v>1071</v>
      </c>
      <c r="E30" s="199" t="s">
        <v>1051</v>
      </c>
      <c r="F30" s="442">
        <v>44922.781793981485</v>
      </c>
      <c r="G30" s="467">
        <v>0.78179398148148149</v>
      </c>
      <c r="H30" s="443">
        <v>10897</v>
      </c>
      <c r="I30" s="444">
        <v>5000</v>
      </c>
      <c r="J30" s="198" t="s">
        <v>1072</v>
      </c>
      <c r="K30" s="197" t="s">
        <v>1073</v>
      </c>
      <c r="L30" s="197" t="s">
        <v>1034</v>
      </c>
      <c r="M30" s="197" t="s">
        <v>1035</v>
      </c>
      <c r="N30" s="567">
        <v>44930</v>
      </c>
      <c r="O30" s="197" t="s">
        <v>1068</v>
      </c>
    </row>
    <row r="31" spans="1:15" s="200" customFormat="1" ht="8.1" customHeight="1" x14ac:dyDescent="0.25">
      <c r="A31" s="197" t="s">
        <v>2461</v>
      </c>
      <c r="B31" s="197" t="s">
        <v>1075</v>
      </c>
      <c r="C31" s="197" t="s">
        <v>1076</v>
      </c>
      <c r="D31" s="197" t="s">
        <v>1077</v>
      </c>
      <c r="E31" s="199" t="s">
        <v>1051</v>
      </c>
      <c r="F31" s="442">
        <v>44925.733182870368</v>
      </c>
      <c r="G31" s="467">
        <v>0.73318287037037033</v>
      </c>
      <c r="H31" s="443">
        <v>368.75</v>
      </c>
      <c r="I31" s="444">
        <v>368.75</v>
      </c>
      <c r="J31" s="198" t="s">
        <v>1078</v>
      </c>
      <c r="K31" s="197" t="s">
        <v>1079</v>
      </c>
      <c r="L31" s="197" t="s">
        <v>1034</v>
      </c>
      <c r="M31" s="197" t="s">
        <v>1052</v>
      </c>
      <c r="N31" s="567">
        <v>44931</v>
      </c>
      <c r="O31" s="197" t="s">
        <v>1080</v>
      </c>
    </row>
    <row r="32" spans="1:15" s="200" customFormat="1" ht="8.1" customHeight="1" x14ac:dyDescent="0.25">
      <c r="A32" s="197" t="s">
        <v>2462</v>
      </c>
      <c r="B32" s="197" t="s">
        <v>1082</v>
      </c>
      <c r="C32" s="197" t="s">
        <v>1083</v>
      </c>
      <c r="D32" s="197" t="s">
        <v>1046</v>
      </c>
      <c r="E32" s="199" t="s">
        <v>1042</v>
      </c>
      <c r="F32" s="442">
        <v>44919.550185185188</v>
      </c>
      <c r="G32" s="467">
        <v>0.55018518518518522</v>
      </c>
      <c r="H32" s="443">
        <v>40241.480000000003</v>
      </c>
      <c r="I32" s="444">
        <v>40241.480000000003</v>
      </c>
      <c r="J32" s="198" t="s">
        <v>1032</v>
      </c>
      <c r="K32" s="197" t="s">
        <v>1033</v>
      </c>
      <c r="L32" s="197" t="s">
        <v>1034</v>
      </c>
      <c r="M32" s="197" t="s">
        <v>1035</v>
      </c>
      <c r="N32" s="567">
        <v>44932</v>
      </c>
      <c r="O32" s="197" t="s">
        <v>1084</v>
      </c>
    </row>
    <row r="33" spans="1:15" s="200" customFormat="1" ht="8.1" customHeight="1" x14ac:dyDescent="0.25">
      <c r="A33" s="197" t="s">
        <v>2463</v>
      </c>
      <c r="B33" s="197" t="s">
        <v>1085</v>
      </c>
      <c r="C33" s="197" t="s">
        <v>1086</v>
      </c>
      <c r="D33" s="197" t="s">
        <v>1061</v>
      </c>
      <c r="E33" s="199" t="s">
        <v>1051</v>
      </c>
      <c r="F33" s="442">
        <v>44930.843055555553</v>
      </c>
      <c r="G33" s="467">
        <v>0.84305555555555556</v>
      </c>
      <c r="H33" s="443">
        <v>49711.89</v>
      </c>
      <c r="I33" s="444">
        <v>49711.89</v>
      </c>
      <c r="J33" s="198" t="s">
        <v>1078</v>
      </c>
      <c r="K33" s="197" t="s">
        <v>1079</v>
      </c>
      <c r="L33" s="197" t="s">
        <v>1034</v>
      </c>
      <c r="M33" s="197" t="s">
        <v>1052</v>
      </c>
      <c r="N33" s="567">
        <v>44933</v>
      </c>
      <c r="O33" s="197" t="s">
        <v>1062</v>
      </c>
    </row>
    <row r="34" spans="1:15" s="200" customFormat="1" ht="8.1" customHeight="1" x14ac:dyDescent="0.25">
      <c r="A34" s="197" t="s">
        <v>2464</v>
      </c>
      <c r="B34" s="197" t="s">
        <v>1087</v>
      </c>
      <c r="C34" s="197" t="s">
        <v>1088</v>
      </c>
      <c r="D34" s="197" t="s">
        <v>1089</v>
      </c>
      <c r="E34" s="199" t="s">
        <v>1042</v>
      </c>
      <c r="F34" s="442">
        <v>44932.699212962965</v>
      </c>
      <c r="G34" s="467">
        <v>0.69921296296296298</v>
      </c>
      <c r="H34" s="443">
        <v>44921.26</v>
      </c>
      <c r="I34" s="444">
        <v>44921.26</v>
      </c>
      <c r="J34" s="198" t="s">
        <v>1032</v>
      </c>
      <c r="K34" s="197" t="s">
        <v>1090</v>
      </c>
      <c r="L34" s="197" t="s">
        <v>1037</v>
      </c>
      <c r="M34" s="197" t="s">
        <v>1035</v>
      </c>
      <c r="N34" s="567">
        <v>44933</v>
      </c>
      <c r="O34" s="197" t="s">
        <v>1091</v>
      </c>
    </row>
    <row r="35" spans="1:15" s="200" customFormat="1" ht="8.1" customHeight="1" x14ac:dyDescent="0.25">
      <c r="A35" s="197" t="s">
        <v>2465</v>
      </c>
      <c r="B35" s="197" t="s">
        <v>1092</v>
      </c>
      <c r="C35" s="197" t="s">
        <v>1093</v>
      </c>
      <c r="D35" s="197" t="s">
        <v>1050</v>
      </c>
      <c r="E35" s="199" t="s">
        <v>1042</v>
      </c>
      <c r="F35" s="442">
        <v>44902.880254629628</v>
      </c>
      <c r="G35" s="467">
        <v>0.88025462962962964</v>
      </c>
      <c r="H35" s="443">
        <v>9449.02</v>
      </c>
      <c r="I35" s="444">
        <v>9449.02</v>
      </c>
      <c r="J35" s="198" t="s">
        <v>1032</v>
      </c>
      <c r="K35" s="197" t="s">
        <v>1094</v>
      </c>
      <c r="L35" s="197" t="s">
        <v>1037</v>
      </c>
      <c r="M35" s="197" t="s">
        <v>1035</v>
      </c>
      <c r="N35" s="567">
        <v>44935</v>
      </c>
      <c r="O35" s="197" t="s">
        <v>1095</v>
      </c>
    </row>
    <row r="36" spans="1:15" s="200" customFormat="1" ht="8.1" customHeight="1" x14ac:dyDescent="0.25">
      <c r="A36" s="197" t="s">
        <v>2466</v>
      </c>
      <c r="B36" s="197" t="s">
        <v>1096</v>
      </c>
      <c r="C36" s="197" t="s">
        <v>1097</v>
      </c>
      <c r="D36" s="197" t="s">
        <v>1098</v>
      </c>
      <c r="E36" s="199" t="s">
        <v>1042</v>
      </c>
      <c r="F36" s="442">
        <v>44935.684270833335</v>
      </c>
      <c r="G36" s="467">
        <v>0.68427083333333327</v>
      </c>
      <c r="H36" s="443">
        <v>20000</v>
      </c>
      <c r="I36" s="444">
        <v>20000</v>
      </c>
      <c r="J36" s="198" t="s">
        <v>1032</v>
      </c>
      <c r="K36" s="197" t="s">
        <v>1033</v>
      </c>
      <c r="L36" s="197" t="s">
        <v>1034</v>
      </c>
      <c r="M36" s="197" t="s">
        <v>1035</v>
      </c>
      <c r="N36" s="567">
        <v>44936</v>
      </c>
      <c r="O36" s="197" t="s">
        <v>1099</v>
      </c>
    </row>
    <row r="37" spans="1:15" s="200" customFormat="1" ht="8.1" customHeight="1" x14ac:dyDescent="0.25">
      <c r="A37" s="197" t="s">
        <v>2467</v>
      </c>
      <c r="B37" s="197" t="s">
        <v>1101</v>
      </c>
      <c r="C37" s="197" t="s">
        <v>1102</v>
      </c>
      <c r="D37" s="197" t="s">
        <v>1046</v>
      </c>
      <c r="E37" s="199" t="s">
        <v>1051</v>
      </c>
      <c r="F37" s="442">
        <v>44943.705335648148</v>
      </c>
      <c r="G37" s="467">
        <v>0.7053356481481482</v>
      </c>
      <c r="H37" s="443">
        <v>7900</v>
      </c>
      <c r="I37" s="444">
        <v>7900</v>
      </c>
      <c r="J37" s="198" t="s">
        <v>1078</v>
      </c>
      <c r="K37" s="197" t="s">
        <v>1079</v>
      </c>
      <c r="L37" s="197" t="s">
        <v>1034</v>
      </c>
      <c r="M37" s="197" t="s">
        <v>1052</v>
      </c>
      <c r="N37" s="567">
        <v>44945</v>
      </c>
      <c r="O37" s="197" t="s">
        <v>1103</v>
      </c>
    </row>
    <row r="38" spans="1:15" s="200" customFormat="1" ht="8.1" customHeight="1" x14ac:dyDescent="0.25">
      <c r="A38" s="197" t="s">
        <v>2468</v>
      </c>
      <c r="B38" s="197" t="s">
        <v>1104</v>
      </c>
      <c r="C38" s="197" t="s">
        <v>1105</v>
      </c>
      <c r="D38" s="197" t="s">
        <v>1046</v>
      </c>
      <c r="E38" s="199" t="s">
        <v>1042</v>
      </c>
      <c r="F38" s="442">
        <v>44946.683842592596</v>
      </c>
      <c r="G38" s="467">
        <v>0.68384259259259261</v>
      </c>
      <c r="H38" s="443">
        <v>6709.13</v>
      </c>
      <c r="I38" s="444">
        <v>6709.13</v>
      </c>
      <c r="J38" s="198" t="s">
        <v>1032</v>
      </c>
      <c r="K38" s="197" t="s">
        <v>1033</v>
      </c>
      <c r="L38" s="197" t="s">
        <v>1034</v>
      </c>
      <c r="M38" s="197" t="s">
        <v>1035</v>
      </c>
      <c r="N38" s="567">
        <v>44947</v>
      </c>
      <c r="O38" s="197" t="s">
        <v>1106</v>
      </c>
    </row>
    <row r="39" spans="1:15" s="200" customFormat="1" ht="8.1" customHeight="1" x14ac:dyDescent="0.25">
      <c r="A39" s="197" t="s">
        <v>2469</v>
      </c>
      <c r="B39" s="197" t="s">
        <v>1107</v>
      </c>
      <c r="C39" s="197" t="s">
        <v>1108</v>
      </c>
      <c r="D39" s="197" t="s">
        <v>1098</v>
      </c>
      <c r="E39" s="199" t="s">
        <v>1051</v>
      </c>
      <c r="F39" s="442">
        <v>44946.700740740744</v>
      </c>
      <c r="G39" s="467">
        <v>0.70074074074074078</v>
      </c>
      <c r="H39" s="443">
        <v>9346.3799999999992</v>
      </c>
      <c r="I39" s="444">
        <v>1734.619999999999</v>
      </c>
      <c r="J39" s="198" t="s">
        <v>1109</v>
      </c>
      <c r="K39" s="197" t="s">
        <v>1110</v>
      </c>
      <c r="L39" s="197" t="s">
        <v>1034</v>
      </c>
      <c r="M39" s="197" t="s">
        <v>1035</v>
      </c>
      <c r="N39" s="567">
        <v>44947</v>
      </c>
      <c r="O39" s="197" t="s">
        <v>1111</v>
      </c>
    </row>
    <row r="40" spans="1:15" s="200" customFormat="1" ht="8.1" customHeight="1" x14ac:dyDescent="0.25">
      <c r="A40" s="197" t="s">
        <v>2470</v>
      </c>
      <c r="B40" s="197" t="s">
        <v>1113</v>
      </c>
      <c r="C40" s="197" t="s">
        <v>1114</v>
      </c>
      <c r="D40" s="197" t="s">
        <v>1046</v>
      </c>
      <c r="E40" s="199" t="s">
        <v>1051</v>
      </c>
      <c r="F40" s="442">
        <v>44957.708425925928</v>
      </c>
      <c r="G40" s="467">
        <v>0.7084259259259259</v>
      </c>
      <c r="H40" s="443">
        <v>8177.48</v>
      </c>
      <c r="I40" s="444">
        <v>5000</v>
      </c>
      <c r="J40" s="198" t="s">
        <v>1115</v>
      </c>
      <c r="K40" s="197" t="s">
        <v>1116</v>
      </c>
      <c r="L40" s="197" t="s">
        <v>1034</v>
      </c>
      <c r="M40" s="197" t="s">
        <v>1035</v>
      </c>
      <c r="N40" s="567">
        <v>44958</v>
      </c>
      <c r="O40" s="197" t="s">
        <v>1117</v>
      </c>
    </row>
    <row r="41" spans="1:15" s="200" customFormat="1" ht="8.1" customHeight="1" x14ac:dyDescent="0.25">
      <c r="A41" s="197" t="s">
        <v>2471</v>
      </c>
      <c r="B41" s="197" t="s">
        <v>1121</v>
      </c>
      <c r="C41" s="197" t="s">
        <v>1122</v>
      </c>
      <c r="D41" s="197" t="s">
        <v>1050</v>
      </c>
      <c r="E41" s="199" t="s">
        <v>1051</v>
      </c>
      <c r="F41" s="442">
        <v>44961.703321759262</v>
      </c>
      <c r="G41" s="467">
        <v>0.70332175925925933</v>
      </c>
      <c r="H41" s="443">
        <v>11801.1</v>
      </c>
      <c r="I41" s="444">
        <v>10000</v>
      </c>
      <c r="J41" s="198" t="s">
        <v>1123</v>
      </c>
      <c r="K41" s="197" t="s">
        <v>1124</v>
      </c>
      <c r="L41" s="197" t="s">
        <v>1034</v>
      </c>
      <c r="M41" s="197" t="s">
        <v>1035</v>
      </c>
      <c r="N41" s="567">
        <v>44963</v>
      </c>
      <c r="O41" s="197" t="s">
        <v>1125</v>
      </c>
    </row>
    <row r="42" spans="1:15" s="200" customFormat="1" ht="8.1" customHeight="1" x14ac:dyDescent="0.25">
      <c r="A42" s="197" t="s">
        <v>2472</v>
      </c>
      <c r="B42" s="197" t="s">
        <v>1130</v>
      </c>
      <c r="C42" s="197" t="s">
        <v>1131</v>
      </c>
      <c r="D42" s="197" t="s">
        <v>1126</v>
      </c>
      <c r="E42" s="199" t="s">
        <v>1047</v>
      </c>
      <c r="F42" s="442">
        <v>44967.840162037035</v>
      </c>
      <c r="G42" s="467">
        <v>0.84016203703703696</v>
      </c>
      <c r="H42" s="443">
        <v>50000</v>
      </c>
      <c r="I42" s="444">
        <v>50000</v>
      </c>
      <c r="J42" s="198" t="s">
        <v>1032</v>
      </c>
      <c r="K42" s="197" t="s">
        <v>1033</v>
      </c>
      <c r="L42" s="197" t="s">
        <v>1034</v>
      </c>
      <c r="M42" s="197" t="s">
        <v>1035</v>
      </c>
      <c r="N42" s="567">
        <v>44970</v>
      </c>
      <c r="O42" s="197" t="s">
        <v>1100</v>
      </c>
    </row>
    <row r="43" spans="1:15" s="200" customFormat="1" ht="8.1" customHeight="1" x14ac:dyDescent="0.25">
      <c r="A43" s="197" t="s">
        <v>2473</v>
      </c>
      <c r="B43" s="197" t="s">
        <v>1132</v>
      </c>
      <c r="C43" s="197" t="s">
        <v>1133</v>
      </c>
      <c r="D43" s="197" t="s">
        <v>1046</v>
      </c>
      <c r="E43" s="199" t="s">
        <v>1051</v>
      </c>
      <c r="F43" s="442">
        <v>44968.642800925925</v>
      </c>
      <c r="G43" s="467">
        <v>0.64280092592592586</v>
      </c>
      <c r="H43" s="443">
        <v>6783.19</v>
      </c>
      <c r="I43" s="444">
        <v>300</v>
      </c>
      <c r="J43" s="198" t="s">
        <v>1134</v>
      </c>
      <c r="K43" s="197" t="s">
        <v>1135</v>
      </c>
      <c r="L43" s="197" t="s">
        <v>1034</v>
      </c>
      <c r="M43" s="197" t="s">
        <v>1035</v>
      </c>
      <c r="N43" s="567">
        <v>44970</v>
      </c>
      <c r="O43" s="197" t="s">
        <v>1136</v>
      </c>
    </row>
    <row r="44" spans="1:15" s="200" customFormat="1" ht="8.1" customHeight="1" x14ac:dyDescent="0.25">
      <c r="A44" s="197" t="s">
        <v>2474</v>
      </c>
      <c r="B44" s="197" t="s">
        <v>1137</v>
      </c>
      <c r="C44" s="197" t="s">
        <v>1138</v>
      </c>
      <c r="D44" s="197" t="s">
        <v>1089</v>
      </c>
      <c r="E44" s="199" t="s">
        <v>1051</v>
      </c>
      <c r="F44" s="442">
        <v>44967.69840277778</v>
      </c>
      <c r="G44" s="467">
        <v>0.69840277777777782</v>
      </c>
      <c r="H44" s="443">
        <v>10000</v>
      </c>
      <c r="I44" s="444">
        <v>10000</v>
      </c>
      <c r="J44" s="198" t="s">
        <v>1078</v>
      </c>
      <c r="K44" s="197" t="s">
        <v>1079</v>
      </c>
      <c r="L44" s="197" t="s">
        <v>1034</v>
      </c>
      <c r="M44" s="197" t="s">
        <v>1052</v>
      </c>
      <c r="N44" s="567">
        <v>44971</v>
      </c>
      <c r="O44" s="197" t="s">
        <v>1139</v>
      </c>
    </row>
    <row r="45" spans="1:15" s="200" customFormat="1" ht="8.1" customHeight="1" x14ac:dyDescent="0.25">
      <c r="A45" s="197" t="s">
        <v>2475</v>
      </c>
      <c r="B45" s="197" t="s">
        <v>1140</v>
      </c>
      <c r="C45" s="197" t="s">
        <v>1141</v>
      </c>
      <c r="D45" s="197" t="s">
        <v>1046</v>
      </c>
      <c r="E45" s="199" t="s">
        <v>1051</v>
      </c>
      <c r="F45" s="442">
        <v>44967.711354166669</v>
      </c>
      <c r="G45" s="467">
        <v>0.71135416666666673</v>
      </c>
      <c r="H45" s="443">
        <v>15429.61</v>
      </c>
      <c r="I45" s="444">
        <v>15429.61</v>
      </c>
      <c r="J45" s="198" t="s">
        <v>1078</v>
      </c>
      <c r="K45" s="197" t="s">
        <v>1079</v>
      </c>
      <c r="L45" s="197" t="s">
        <v>1034</v>
      </c>
      <c r="M45" s="197" t="s">
        <v>1052</v>
      </c>
      <c r="N45" s="567">
        <v>44971</v>
      </c>
      <c r="O45" s="197" t="s">
        <v>1142</v>
      </c>
    </row>
    <row r="46" spans="1:15" s="200" customFormat="1" ht="8.1" customHeight="1" x14ac:dyDescent="0.25">
      <c r="A46" s="197" t="s">
        <v>2476</v>
      </c>
      <c r="B46" s="197" t="s">
        <v>1144</v>
      </c>
      <c r="C46" s="197" t="s">
        <v>1145</v>
      </c>
      <c r="D46" s="197" t="s">
        <v>1118</v>
      </c>
      <c r="E46" s="199" t="s">
        <v>1051</v>
      </c>
      <c r="F46" s="442">
        <v>44969.620763888888</v>
      </c>
      <c r="G46" s="467">
        <v>0.62076388888888889</v>
      </c>
      <c r="H46" s="443">
        <v>12682.36</v>
      </c>
      <c r="I46" s="444">
        <v>12682.36</v>
      </c>
      <c r="J46" s="198" t="s">
        <v>1078</v>
      </c>
      <c r="K46" s="197" t="s">
        <v>1079</v>
      </c>
      <c r="L46" s="197" t="s">
        <v>1034</v>
      </c>
      <c r="M46" s="197" t="s">
        <v>1052</v>
      </c>
      <c r="N46" s="567">
        <v>44974</v>
      </c>
      <c r="O46" s="197" t="s">
        <v>1146</v>
      </c>
    </row>
    <row r="47" spans="1:15" s="200" customFormat="1" ht="8.1" customHeight="1" x14ac:dyDescent="0.25">
      <c r="A47" s="197" t="s">
        <v>2477</v>
      </c>
      <c r="B47" s="197" t="s">
        <v>1147</v>
      </c>
      <c r="C47" s="197" t="s">
        <v>1148</v>
      </c>
      <c r="D47" s="197" t="s">
        <v>1126</v>
      </c>
      <c r="E47" s="199" t="s">
        <v>1051</v>
      </c>
      <c r="F47" s="442">
        <v>44969.627233796295</v>
      </c>
      <c r="G47" s="467">
        <v>0.62723379629629628</v>
      </c>
      <c r="H47" s="443">
        <v>34613.58</v>
      </c>
      <c r="I47" s="444">
        <v>34613.58</v>
      </c>
      <c r="J47" s="198" t="s">
        <v>1078</v>
      </c>
      <c r="K47" s="197" t="s">
        <v>1079</v>
      </c>
      <c r="L47" s="197" t="s">
        <v>1034</v>
      </c>
      <c r="M47" s="197" t="s">
        <v>1052</v>
      </c>
      <c r="N47" s="567">
        <v>44974</v>
      </c>
      <c r="O47" s="197" t="s">
        <v>1149</v>
      </c>
    </row>
    <row r="48" spans="1:15" s="200" customFormat="1" ht="8.1" customHeight="1" x14ac:dyDescent="0.25">
      <c r="A48" s="197" t="s">
        <v>2478</v>
      </c>
      <c r="B48" s="197" t="s">
        <v>1150</v>
      </c>
      <c r="C48" s="197" t="s">
        <v>1151</v>
      </c>
      <c r="D48" s="197" t="s">
        <v>1050</v>
      </c>
      <c r="E48" s="199" t="s">
        <v>1047</v>
      </c>
      <c r="F48" s="442">
        <v>44977.678831018522</v>
      </c>
      <c r="G48" s="467">
        <v>0.67883101851851846</v>
      </c>
      <c r="H48" s="443">
        <v>19500</v>
      </c>
      <c r="I48" s="444">
        <v>19500</v>
      </c>
      <c r="J48" s="198" t="s">
        <v>1032</v>
      </c>
      <c r="K48" s="197" t="s">
        <v>1033</v>
      </c>
      <c r="L48" s="197" t="s">
        <v>1034</v>
      </c>
      <c r="M48" s="197" t="s">
        <v>1035</v>
      </c>
      <c r="N48" s="567">
        <v>44978</v>
      </c>
      <c r="O48" s="197" t="s">
        <v>1058</v>
      </c>
    </row>
    <row r="49" spans="1:16" s="200" customFormat="1" ht="8.1" customHeight="1" x14ac:dyDescent="0.25">
      <c r="A49" s="197" t="s">
        <v>2479</v>
      </c>
      <c r="B49" s="197" t="s">
        <v>1152</v>
      </c>
      <c r="C49" s="197" t="s">
        <v>1153</v>
      </c>
      <c r="D49" s="197" t="s">
        <v>1154</v>
      </c>
      <c r="E49" s="199" t="s">
        <v>1042</v>
      </c>
      <c r="F49" s="442">
        <v>44983.716180555559</v>
      </c>
      <c r="G49" s="467">
        <v>0.71618055555555549</v>
      </c>
      <c r="H49" s="443">
        <v>1117.33</v>
      </c>
      <c r="I49" s="444">
        <v>1117.33</v>
      </c>
      <c r="J49" s="198" t="s">
        <v>1032</v>
      </c>
      <c r="K49" s="197" t="s">
        <v>1033</v>
      </c>
      <c r="L49" s="197" t="s">
        <v>1034</v>
      </c>
      <c r="M49" s="197" t="s">
        <v>1035</v>
      </c>
      <c r="N49" s="567">
        <v>44985</v>
      </c>
      <c r="O49" s="197" t="s">
        <v>1074</v>
      </c>
    </row>
    <row r="50" spans="1:16" s="200" customFormat="1" ht="8.1" customHeight="1" x14ac:dyDescent="0.25">
      <c r="A50" s="197" t="s">
        <v>2480</v>
      </c>
      <c r="B50" s="197" t="s">
        <v>1155</v>
      </c>
      <c r="C50" s="197" t="s">
        <v>1156</v>
      </c>
      <c r="D50" s="197" t="s">
        <v>1050</v>
      </c>
      <c r="E50" s="199" t="s">
        <v>1047</v>
      </c>
      <c r="F50" s="442">
        <v>44982.531875000001</v>
      </c>
      <c r="G50" s="467">
        <v>0.53187499999999999</v>
      </c>
      <c r="H50" s="443">
        <v>18000</v>
      </c>
      <c r="I50" s="444">
        <v>18000</v>
      </c>
      <c r="J50" s="198" t="s">
        <v>1032</v>
      </c>
      <c r="K50" s="197" t="s">
        <v>1033</v>
      </c>
      <c r="L50" s="197" t="s">
        <v>1034</v>
      </c>
      <c r="M50" s="197" t="s">
        <v>1035</v>
      </c>
      <c r="N50" s="567">
        <v>44985</v>
      </c>
      <c r="O50" s="197" t="s">
        <v>1157</v>
      </c>
    </row>
    <row r="51" spans="1:16" s="200" customFormat="1" ht="8.1" customHeight="1" x14ac:dyDescent="0.25">
      <c r="A51" s="197" t="s">
        <v>2481</v>
      </c>
      <c r="B51" s="197" t="s">
        <v>1158</v>
      </c>
      <c r="C51" s="197" t="s">
        <v>1159</v>
      </c>
      <c r="D51" s="197" t="s">
        <v>1126</v>
      </c>
      <c r="E51" s="199" t="s">
        <v>1051</v>
      </c>
      <c r="F51" s="442">
        <v>44905.741527777776</v>
      </c>
      <c r="G51" s="467">
        <v>0.74152777777777779</v>
      </c>
      <c r="H51" s="443">
        <v>25185.74</v>
      </c>
      <c r="I51" s="444">
        <v>25185.74</v>
      </c>
      <c r="J51" s="198" t="s">
        <v>1160</v>
      </c>
      <c r="K51" s="197"/>
      <c r="L51" s="197" t="s">
        <v>1161</v>
      </c>
      <c r="M51" s="197"/>
      <c r="N51" s="567">
        <v>44985</v>
      </c>
      <c r="O51" s="197" t="s">
        <v>1162</v>
      </c>
    </row>
    <row r="52" spans="1:16" s="200" customFormat="1" ht="8.1" customHeight="1" x14ac:dyDescent="0.25">
      <c r="A52" s="197" t="s">
        <v>2482</v>
      </c>
      <c r="B52" s="197" t="s">
        <v>1163</v>
      </c>
      <c r="C52" s="197" t="s">
        <v>1164</v>
      </c>
      <c r="D52" s="197" t="s">
        <v>1165</v>
      </c>
      <c r="E52" s="199" t="s">
        <v>1051</v>
      </c>
      <c r="F52" s="442">
        <v>44984.638842592591</v>
      </c>
      <c r="G52" s="467">
        <v>0.63884259259259257</v>
      </c>
      <c r="H52" s="443">
        <v>2455.04</v>
      </c>
      <c r="I52" s="444">
        <v>10</v>
      </c>
      <c r="J52" s="198" t="s">
        <v>1166</v>
      </c>
      <c r="K52" s="197" t="s">
        <v>1167</v>
      </c>
      <c r="L52" s="197" t="s">
        <v>1034</v>
      </c>
      <c r="M52" s="197" t="s">
        <v>1035</v>
      </c>
      <c r="N52" s="567">
        <v>44986</v>
      </c>
      <c r="O52" s="197" t="s">
        <v>1038</v>
      </c>
    </row>
    <row r="53" spans="1:16" s="200" customFormat="1" ht="8.1" customHeight="1" x14ac:dyDescent="0.25">
      <c r="A53" s="197" t="s">
        <v>2483</v>
      </c>
      <c r="B53" s="197" t="s">
        <v>1168</v>
      </c>
      <c r="C53" s="197" t="s">
        <v>1169</v>
      </c>
      <c r="D53" s="197" t="s">
        <v>1170</v>
      </c>
      <c r="E53" s="199" t="s">
        <v>1051</v>
      </c>
      <c r="F53" s="442">
        <v>44980.308900462966</v>
      </c>
      <c r="G53" s="467">
        <v>0.30890046296296297</v>
      </c>
      <c r="H53" s="443">
        <v>10895</v>
      </c>
      <c r="I53" s="444">
        <v>10895</v>
      </c>
      <c r="J53" s="198" t="s">
        <v>1078</v>
      </c>
      <c r="K53" s="197" t="s">
        <v>1079</v>
      </c>
      <c r="L53" s="197" t="s">
        <v>1034</v>
      </c>
      <c r="M53" s="197" t="s">
        <v>1052</v>
      </c>
      <c r="N53" s="567">
        <v>44987</v>
      </c>
      <c r="O53" s="197" t="s">
        <v>1081</v>
      </c>
    </row>
    <row r="54" spans="1:16" s="200" customFormat="1" ht="8.1" customHeight="1" x14ac:dyDescent="0.25">
      <c r="A54" s="197" t="s">
        <v>2484</v>
      </c>
      <c r="B54" s="197" t="s">
        <v>1171</v>
      </c>
      <c r="C54" s="197" t="s">
        <v>1172</v>
      </c>
      <c r="D54" s="197" t="s">
        <v>1050</v>
      </c>
      <c r="E54" s="199" t="s">
        <v>1047</v>
      </c>
      <c r="F54" s="442">
        <v>44994.806817129633</v>
      </c>
      <c r="G54" s="467">
        <v>0.8068171296296297</v>
      </c>
      <c r="H54" s="443">
        <v>40000</v>
      </c>
      <c r="I54" s="444">
        <v>40000</v>
      </c>
      <c r="J54" s="198" t="s">
        <v>1032</v>
      </c>
      <c r="K54" s="197" t="s">
        <v>1033</v>
      </c>
      <c r="L54" s="197" t="s">
        <v>1034</v>
      </c>
      <c r="M54" s="197" t="s">
        <v>1035</v>
      </c>
      <c r="N54" s="567">
        <v>44995</v>
      </c>
      <c r="O54" s="197" t="s">
        <v>1128</v>
      </c>
    </row>
    <row r="55" spans="1:16" s="200" customFormat="1" ht="8.1" customHeight="1" x14ac:dyDescent="0.25">
      <c r="A55" s="197" t="s">
        <v>2485</v>
      </c>
      <c r="B55" s="197" t="s">
        <v>1173</v>
      </c>
      <c r="C55" s="197" t="s">
        <v>1174</v>
      </c>
      <c r="D55" s="197" t="s">
        <v>1050</v>
      </c>
      <c r="E55" s="199" t="s">
        <v>1042</v>
      </c>
      <c r="F55" s="442">
        <v>44994.777800925927</v>
      </c>
      <c r="G55" s="467">
        <v>0.77780092592592587</v>
      </c>
      <c r="H55" s="443">
        <v>2109.02</v>
      </c>
      <c r="I55" s="444">
        <v>2109.02</v>
      </c>
      <c r="J55" s="198" t="s">
        <v>1032</v>
      </c>
      <c r="K55" s="197" t="s">
        <v>1033</v>
      </c>
      <c r="L55" s="197" t="s">
        <v>1034</v>
      </c>
      <c r="M55" s="197" t="s">
        <v>1035</v>
      </c>
      <c r="N55" s="567">
        <v>44996</v>
      </c>
      <c r="O55" s="197" t="s">
        <v>1175</v>
      </c>
    </row>
    <row r="56" spans="1:16" s="200" customFormat="1" ht="8.1" customHeight="1" x14ac:dyDescent="0.25">
      <c r="A56" s="197" t="s">
        <v>2486</v>
      </c>
      <c r="B56" s="197" t="s">
        <v>1176</v>
      </c>
      <c r="C56" s="197" t="s">
        <v>1177</v>
      </c>
      <c r="D56" s="197" t="s">
        <v>1055</v>
      </c>
      <c r="E56" s="199" t="s">
        <v>1051</v>
      </c>
      <c r="F56" s="442">
        <v>44995.753252314818</v>
      </c>
      <c r="G56" s="467">
        <v>0.75325231481481481</v>
      </c>
      <c r="H56" s="443">
        <v>29244.26</v>
      </c>
      <c r="I56" s="444">
        <v>9.9999999998544808E-2</v>
      </c>
      <c r="J56" s="198" t="s">
        <v>1178</v>
      </c>
      <c r="K56" s="197" t="s">
        <v>1179</v>
      </c>
      <c r="L56" s="197" t="s">
        <v>1034</v>
      </c>
      <c r="M56" s="197" t="s">
        <v>1035</v>
      </c>
      <c r="N56" s="567">
        <v>44996</v>
      </c>
      <c r="O56" s="197" t="s">
        <v>1180</v>
      </c>
    </row>
    <row r="57" spans="1:16" s="200" customFormat="1" ht="8.1" customHeight="1" x14ac:dyDescent="0.25">
      <c r="A57" s="197" t="s">
        <v>2487</v>
      </c>
      <c r="B57" s="197" t="s">
        <v>1181</v>
      </c>
      <c r="C57" s="197" t="s">
        <v>1182</v>
      </c>
      <c r="D57" s="197" t="s">
        <v>1098</v>
      </c>
      <c r="E57" s="199" t="s">
        <v>1047</v>
      </c>
      <c r="F57" s="442">
        <v>44997.690636574072</v>
      </c>
      <c r="G57" s="467">
        <v>0.69063657407407408</v>
      </c>
      <c r="H57" s="443">
        <v>9621.9699999999993</v>
      </c>
      <c r="I57" s="444">
        <v>9621.9699999999993</v>
      </c>
      <c r="J57" s="198" t="s">
        <v>1032</v>
      </c>
      <c r="K57" s="197" t="s">
        <v>1033</v>
      </c>
      <c r="L57" s="197" t="s">
        <v>1034</v>
      </c>
      <c r="M57" s="197" t="s">
        <v>1035</v>
      </c>
      <c r="N57" s="567">
        <v>44998</v>
      </c>
      <c r="O57" s="197" t="s">
        <v>1183</v>
      </c>
    </row>
    <row r="58" spans="1:16" s="200" customFormat="1" ht="8.1" customHeight="1" x14ac:dyDescent="0.25">
      <c r="A58" s="197" t="s">
        <v>2488</v>
      </c>
      <c r="B58" s="197" t="s">
        <v>1184</v>
      </c>
      <c r="C58" s="197" t="s">
        <v>1185</v>
      </c>
      <c r="D58" s="197" t="s">
        <v>1186</v>
      </c>
      <c r="E58" s="199" t="s">
        <v>1047</v>
      </c>
      <c r="F58" s="442">
        <v>44998.873136574075</v>
      </c>
      <c r="G58" s="467">
        <v>0.87313657407407408</v>
      </c>
      <c r="H58" s="443">
        <v>24156.07</v>
      </c>
      <c r="I58" s="444">
        <v>24156.07</v>
      </c>
      <c r="J58" s="198" t="s">
        <v>1032</v>
      </c>
      <c r="K58" s="197" t="s">
        <v>1033</v>
      </c>
      <c r="L58" s="197" t="s">
        <v>1034</v>
      </c>
      <c r="M58" s="197" t="s">
        <v>1035</v>
      </c>
      <c r="N58" s="567">
        <v>45000</v>
      </c>
      <c r="O58" s="197" t="s">
        <v>1081</v>
      </c>
    </row>
    <row r="59" spans="1:16" s="200" customFormat="1" ht="8.1" customHeight="1" x14ac:dyDescent="0.25">
      <c r="A59" s="197" t="s">
        <v>2489</v>
      </c>
      <c r="B59" s="197" t="s">
        <v>1187</v>
      </c>
      <c r="C59" s="197" t="s">
        <v>1188</v>
      </c>
      <c r="D59" s="197" t="s">
        <v>1126</v>
      </c>
      <c r="E59" s="199" t="s">
        <v>1047</v>
      </c>
      <c r="F59" s="442">
        <v>44999.828425925924</v>
      </c>
      <c r="G59" s="467">
        <v>0.8284259259259259</v>
      </c>
      <c r="H59" s="443">
        <v>14517.46</v>
      </c>
      <c r="I59" s="444">
        <v>14517.46</v>
      </c>
      <c r="J59" s="198" t="s">
        <v>1032</v>
      </c>
      <c r="K59" s="197" t="s">
        <v>1033</v>
      </c>
      <c r="L59" s="197" t="s">
        <v>1034</v>
      </c>
      <c r="M59" s="197" t="s">
        <v>1035</v>
      </c>
      <c r="N59" s="567">
        <v>45000</v>
      </c>
      <c r="O59" s="197" t="s">
        <v>1189</v>
      </c>
    </row>
    <row r="60" spans="1:16" s="200" customFormat="1" ht="8.1" customHeight="1" x14ac:dyDescent="0.25">
      <c r="A60" s="197" t="s">
        <v>2490</v>
      </c>
      <c r="B60" s="197" t="s">
        <v>1190</v>
      </c>
      <c r="C60" s="197" t="s">
        <v>1191</v>
      </c>
      <c r="D60" s="197" t="s">
        <v>1089</v>
      </c>
      <c r="E60" s="199" t="s">
        <v>1042</v>
      </c>
      <c r="F60" s="442">
        <v>45001.676678240743</v>
      </c>
      <c r="G60" s="467">
        <v>0.67667824074074068</v>
      </c>
      <c r="H60" s="443">
        <v>2000</v>
      </c>
      <c r="I60" s="444">
        <v>2000</v>
      </c>
      <c r="J60" s="198" t="s">
        <v>1032</v>
      </c>
      <c r="K60" s="197" t="s">
        <v>1033</v>
      </c>
      <c r="L60" s="197" t="s">
        <v>1034</v>
      </c>
      <c r="M60" s="197" t="s">
        <v>1035</v>
      </c>
      <c r="N60" s="567">
        <v>45002</v>
      </c>
      <c r="O60" s="197" t="s">
        <v>1192</v>
      </c>
    </row>
    <row r="61" spans="1:16" s="200" customFormat="1" ht="8.1" customHeight="1" x14ac:dyDescent="0.25">
      <c r="A61" s="197" t="s">
        <v>2491</v>
      </c>
      <c r="B61" s="197" t="s">
        <v>1193</v>
      </c>
      <c r="C61" s="197" t="s">
        <v>1194</v>
      </c>
      <c r="D61" s="197" t="s">
        <v>1050</v>
      </c>
      <c r="E61" s="199" t="s">
        <v>1042</v>
      </c>
      <c r="F61" s="442">
        <v>45002.683287037034</v>
      </c>
      <c r="G61" s="467">
        <v>0.68328703703703697</v>
      </c>
      <c r="H61" s="443">
        <v>3993.77</v>
      </c>
      <c r="I61" s="444">
        <v>3993.77</v>
      </c>
      <c r="J61" s="198" t="s">
        <v>1032</v>
      </c>
      <c r="K61" s="197" t="s">
        <v>1033</v>
      </c>
      <c r="L61" s="197" t="s">
        <v>1034</v>
      </c>
      <c r="M61" s="197" t="s">
        <v>1035</v>
      </c>
      <c r="N61" s="567">
        <v>45003</v>
      </c>
      <c r="O61" s="197" t="s">
        <v>1195</v>
      </c>
    </row>
    <row r="62" spans="1:16" s="200" customFormat="1" ht="8.1" customHeight="1" x14ac:dyDescent="0.25">
      <c r="A62" s="197" t="s">
        <v>2492</v>
      </c>
      <c r="B62" s="197" t="s">
        <v>1196</v>
      </c>
      <c r="C62" s="197" t="s">
        <v>1197</v>
      </c>
      <c r="D62" s="197" t="s">
        <v>1127</v>
      </c>
      <c r="E62" s="199" t="s">
        <v>1051</v>
      </c>
      <c r="F62" s="442">
        <v>45006.616076388891</v>
      </c>
      <c r="G62" s="467">
        <v>0.61607638888888883</v>
      </c>
      <c r="H62" s="443">
        <v>26739.96</v>
      </c>
      <c r="I62" s="444">
        <v>24066</v>
      </c>
      <c r="J62" s="198" t="s">
        <v>1198</v>
      </c>
      <c r="K62" s="197" t="s">
        <v>1199</v>
      </c>
      <c r="L62" s="197" t="s">
        <v>1034</v>
      </c>
      <c r="M62" s="197" t="s">
        <v>1035</v>
      </c>
      <c r="N62" s="567">
        <v>45006</v>
      </c>
      <c r="O62" s="197" t="s">
        <v>1200</v>
      </c>
      <c r="P62" s="202" t="s">
        <v>3330</v>
      </c>
    </row>
    <row r="63" spans="1:16" s="200" customFormat="1" ht="8.1" customHeight="1" x14ac:dyDescent="0.25">
      <c r="A63" s="197" t="s">
        <v>2493</v>
      </c>
      <c r="B63" s="197" t="s">
        <v>1201</v>
      </c>
      <c r="C63" s="197" t="s">
        <v>1202</v>
      </c>
      <c r="D63" s="197" t="s">
        <v>1050</v>
      </c>
      <c r="E63" s="199" t="s">
        <v>1051</v>
      </c>
      <c r="F63" s="442">
        <v>45006.644988425927</v>
      </c>
      <c r="G63" s="467">
        <v>0.64498842592592587</v>
      </c>
      <c r="H63" s="443">
        <v>26589.15</v>
      </c>
      <c r="I63" s="444">
        <v>15979.140000000001</v>
      </c>
      <c r="J63" s="198" t="s">
        <v>1203</v>
      </c>
      <c r="K63" s="197" t="s">
        <v>1204</v>
      </c>
      <c r="L63" s="197" t="s">
        <v>1034</v>
      </c>
      <c r="M63" s="197" t="s">
        <v>1035</v>
      </c>
      <c r="N63" s="567">
        <v>45006</v>
      </c>
      <c r="O63" s="197" t="s">
        <v>1205</v>
      </c>
    </row>
    <row r="64" spans="1:16" s="200" customFormat="1" ht="8.1" customHeight="1" x14ac:dyDescent="0.25">
      <c r="A64" s="197" t="s">
        <v>2494</v>
      </c>
      <c r="B64" s="197" t="s">
        <v>1206</v>
      </c>
      <c r="C64" s="197" t="s">
        <v>1207</v>
      </c>
      <c r="D64" s="197" t="s">
        <v>1098</v>
      </c>
      <c r="E64" s="199" t="s">
        <v>1042</v>
      </c>
      <c r="F64" s="442">
        <v>45008.757337962961</v>
      </c>
      <c r="G64" s="467">
        <v>0.75733796296296296</v>
      </c>
      <c r="H64" s="443">
        <v>63</v>
      </c>
      <c r="I64" s="444">
        <v>63</v>
      </c>
      <c r="J64" s="198" t="s">
        <v>1032</v>
      </c>
      <c r="K64" s="197" t="s">
        <v>1033</v>
      </c>
      <c r="L64" s="197" t="s">
        <v>1034</v>
      </c>
      <c r="M64" s="197" t="s">
        <v>1035</v>
      </c>
      <c r="N64" s="567">
        <v>45009</v>
      </c>
      <c r="O64" s="197" t="s">
        <v>1175</v>
      </c>
    </row>
    <row r="65" spans="1:15" s="200" customFormat="1" ht="8.1" customHeight="1" x14ac:dyDescent="0.25">
      <c r="A65" s="197" t="s">
        <v>2495</v>
      </c>
      <c r="B65" s="197" t="s">
        <v>1208</v>
      </c>
      <c r="C65" s="197" t="s">
        <v>1209</v>
      </c>
      <c r="D65" s="197" t="s">
        <v>1210</v>
      </c>
      <c r="E65" s="199" t="s">
        <v>1042</v>
      </c>
      <c r="F65" s="442">
        <v>45006.641736111109</v>
      </c>
      <c r="G65" s="467">
        <v>0.64173611111111117</v>
      </c>
      <c r="H65" s="443">
        <v>42241.67</v>
      </c>
      <c r="I65" s="444">
        <v>42241.67</v>
      </c>
      <c r="J65" s="198" t="s">
        <v>1032</v>
      </c>
      <c r="K65" s="197" t="s">
        <v>1033</v>
      </c>
      <c r="L65" s="197" t="s">
        <v>1034</v>
      </c>
      <c r="M65" s="197" t="s">
        <v>1035</v>
      </c>
      <c r="N65" s="567">
        <v>45010</v>
      </c>
      <c r="O65" s="197" t="s">
        <v>1211</v>
      </c>
    </row>
    <row r="66" spans="1:15" s="200" customFormat="1" ht="8.1" customHeight="1" x14ac:dyDescent="0.25">
      <c r="A66" s="197" t="s">
        <v>2496</v>
      </c>
      <c r="B66" s="197" t="s">
        <v>1212</v>
      </c>
      <c r="C66" s="197" t="s">
        <v>1213</v>
      </c>
      <c r="D66" s="197" t="s">
        <v>1098</v>
      </c>
      <c r="E66" s="199" t="s">
        <v>1047</v>
      </c>
      <c r="F66" s="442">
        <v>44962.60083333333</v>
      </c>
      <c r="G66" s="467">
        <v>0.60083333333333333</v>
      </c>
      <c r="H66" s="443">
        <v>3386</v>
      </c>
      <c r="I66" s="444">
        <v>3386</v>
      </c>
      <c r="J66" s="198" t="s">
        <v>1032</v>
      </c>
      <c r="K66" s="197" t="s">
        <v>1033</v>
      </c>
      <c r="L66" s="197" t="s">
        <v>1034</v>
      </c>
      <c r="M66" s="197" t="s">
        <v>1035</v>
      </c>
      <c r="N66" s="567">
        <v>45012</v>
      </c>
      <c r="O66" s="197" t="s">
        <v>1111</v>
      </c>
    </row>
    <row r="67" spans="1:15" s="200" customFormat="1" ht="8.1" customHeight="1" x14ac:dyDescent="0.25">
      <c r="A67" s="197" t="s">
        <v>2497</v>
      </c>
      <c r="B67" s="197" t="s">
        <v>1216</v>
      </c>
      <c r="C67" s="197" t="s">
        <v>1217</v>
      </c>
      <c r="D67" s="197" t="s">
        <v>1098</v>
      </c>
      <c r="E67" s="199" t="s">
        <v>1042</v>
      </c>
      <c r="F67" s="442">
        <v>45020.683518518519</v>
      </c>
      <c r="G67" s="467">
        <v>0.68351851851851853</v>
      </c>
      <c r="H67" s="443">
        <v>2280.3200000000002</v>
      </c>
      <c r="I67" s="444">
        <v>2280.3200000000002</v>
      </c>
      <c r="J67" s="198" t="s">
        <v>1032</v>
      </c>
      <c r="K67" s="197" t="s">
        <v>1033</v>
      </c>
      <c r="L67" s="197" t="s">
        <v>1034</v>
      </c>
      <c r="M67" s="197" t="s">
        <v>1035</v>
      </c>
      <c r="N67" s="567">
        <v>45021</v>
      </c>
      <c r="O67" s="197" t="s">
        <v>1112</v>
      </c>
    </row>
    <row r="68" spans="1:15" s="200" customFormat="1" ht="8.1" customHeight="1" x14ac:dyDescent="0.25">
      <c r="A68" s="197" t="s">
        <v>2498</v>
      </c>
      <c r="B68" s="197" t="s">
        <v>1218</v>
      </c>
      <c r="C68" s="197" t="s">
        <v>1219</v>
      </c>
      <c r="D68" s="197" t="s">
        <v>1098</v>
      </c>
      <c r="E68" s="199" t="s">
        <v>1051</v>
      </c>
      <c r="F68" s="442">
        <v>45022.661608796298</v>
      </c>
      <c r="G68" s="467">
        <v>0.66160879629629632</v>
      </c>
      <c r="H68" s="443">
        <v>2956.56</v>
      </c>
      <c r="I68" s="444">
        <v>360</v>
      </c>
      <c r="J68" s="198" t="s">
        <v>1220</v>
      </c>
      <c r="K68" s="197" t="s">
        <v>1221</v>
      </c>
      <c r="L68" s="197" t="s">
        <v>1034</v>
      </c>
      <c r="M68" s="197" t="s">
        <v>1035</v>
      </c>
      <c r="N68" s="567">
        <v>45027</v>
      </c>
      <c r="O68" s="197" t="s">
        <v>1222</v>
      </c>
    </row>
    <row r="69" spans="1:15" s="200" customFormat="1" ht="8.1" customHeight="1" x14ac:dyDescent="0.25">
      <c r="A69" s="197" t="s">
        <v>2499</v>
      </c>
      <c r="B69" s="197" t="s">
        <v>1223</v>
      </c>
      <c r="C69" s="197" t="s">
        <v>1224</v>
      </c>
      <c r="D69" s="197" t="s">
        <v>1225</v>
      </c>
      <c r="E69" s="199" t="s">
        <v>1051</v>
      </c>
      <c r="F69" s="442">
        <v>45020.729085648149</v>
      </c>
      <c r="G69" s="467">
        <v>0.72908564814814814</v>
      </c>
      <c r="H69" s="443">
        <v>7824.67</v>
      </c>
      <c r="I69" s="444">
        <v>6000</v>
      </c>
      <c r="J69" s="198" t="s">
        <v>1226</v>
      </c>
      <c r="K69" s="197" t="s">
        <v>1227</v>
      </c>
      <c r="L69" s="197" t="s">
        <v>1034</v>
      </c>
      <c r="M69" s="197" t="s">
        <v>1035</v>
      </c>
      <c r="N69" s="567">
        <v>45029</v>
      </c>
      <c r="O69" s="197" t="s">
        <v>1228</v>
      </c>
    </row>
    <row r="70" spans="1:15" s="200" customFormat="1" ht="8.1" customHeight="1" x14ac:dyDescent="0.25">
      <c r="A70" s="197" t="s">
        <v>2500</v>
      </c>
      <c r="B70" s="197" t="s">
        <v>1229</v>
      </c>
      <c r="C70" s="197" t="s">
        <v>1230</v>
      </c>
      <c r="D70" s="197" t="s">
        <v>1046</v>
      </c>
      <c r="E70" s="199" t="s">
        <v>1051</v>
      </c>
      <c r="F70" s="442">
        <v>45028.687916666669</v>
      </c>
      <c r="G70" s="467">
        <v>0.68791666666666673</v>
      </c>
      <c r="H70" s="443">
        <v>3903.5</v>
      </c>
      <c r="I70" s="444">
        <v>810</v>
      </c>
      <c r="J70" s="198" t="s">
        <v>1231</v>
      </c>
      <c r="K70" s="197" t="s">
        <v>1232</v>
      </c>
      <c r="L70" s="197" t="s">
        <v>1034</v>
      </c>
      <c r="M70" s="197" t="s">
        <v>1035</v>
      </c>
      <c r="N70" s="567">
        <v>45029</v>
      </c>
      <c r="O70" s="197" t="s">
        <v>1103</v>
      </c>
    </row>
    <row r="71" spans="1:15" s="200" customFormat="1" ht="8.1" customHeight="1" x14ac:dyDescent="0.25">
      <c r="A71" s="197" t="s">
        <v>2501</v>
      </c>
      <c r="B71" s="197" t="s">
        <v>1233</v>
      </c>
      <c r="C71" s="197" t="s">
        <v>1234</v>
      </c>
      <c r="D71" s="392" t="s">
        <v>1126</v>
      </c>
      <c r="E71" s="199" t="s">
        <v>1042</v>
      </c>
      <c r="F71" s="442">
        <v>45028.685798611114</v>
      </c>
      <c r="G71" s="467">
        <v>0.68579861111111118</v>
      </c>
      <c r="H71" s="443">
        <v>12000</v>
      </c>
      <c r="I71" s="444">
        <v>12000</v>
      </c>
      <c r="J71" s="198" t="s">
        <v>1032</v>
      </c>
      <c r="K71" s="197" t="s">
        <v>1033</v>
      </c>
      <c r="L71" s="197" t="s">
        <v>1034</v>
      </c>
      <c r="M71" s="197" t="s">
        <v>1035</v>
      </c>
      <c r="N71" s="567">
        <v>45030</v>
      </c>
      <c r="O71" s="197" t="s">
        <v>1235</v>
      </c>
    </row>
    <row r="72" spans="1:15" s="200" customFormat="1" ht="8.1" customHeight="1" x14ac:dyDescent="0.25">
      <c r="A72" s="197" t="s">
        <v>2502</v>
      </c>
      <c r="B72" s="197" t="s">
        <v>1236</v>
      </c>
      <c r="C72" s="197" t="s">
        <v>1237</v>
      </c>
      <c r="D72" s="392" t="s">
        <v>1046</v>
      </c>
      <c r="E72" s="199" t="s">
        <v>1042</v>
      </c>
      <c r="F72" s="442">
        <v>44974.659189814818</v>
      </c>
      <c r="G72" s="467">
        <v>0.65918981481481487</v>
      </c>
      <c r="H72" s="443">
        <v>4524.51</v>
      </c>
      <c r="I72" s="444">
        <v>4524.51</v>
      </c>
      <c r="J72" s="198" t="s">
        <v>1032</v>
      </c>
      <c r="K72" s="197" t="s">
        <v>1033</v>
      </c>
      <c r="L72" s="197" t="s">
        <v>1034</v>
      </c>
      <c r="M72" s="197" t="s">
        <v>1035</v>
      </c>
      <c r="N72" s="567">
        <v>45030</v>
      </c>
      <c r="O72" s="197" t="s">
        <v>1142</v>
      </c>
    </row>
    <row r="73" spans="1:15" s="200" customFormat="1" ht="8.1" customHeight="1" x14ac:dyDescent="0.25">
      <c r="A73" s="197" t="s">
        <v>2503</v>
      </c>
      <c r="B73" s="197" t="s">
        <v>1238</v>
      </c>
      <c r="C73" s="197" t="s">
        <v>1239</v>
      </c>
      <c r="D73" s="392" t="s">
        <v>1126</v>
      </c>
      <c r="E73" s="199" t="s">
        <v>1047</v>
      </c>
      <c r="F73" s="442">
        <v>44988.691504629627</v>
      </c>
      <c r="G73" s="467">
        <v>0.69150462962962955</v>
      </c>
      <c r="H73" s="443">
        <v>25371.77</v>
      </c>
      <c r="I73" s="444">
        <v>25371.77</v>
      </c>
      <c r="J73" s="198" t="s">
        <v>1032</v>
      </c>
      <c r="K73" s="197" t="s">
        <v>1033</v>
      </c>
      <c r="L73" s="197" t="s">
        <v>1034</v>
      </c>
      <c r="M73" s="197" t="s">
        <v>1035</v>
      </c>
      <c r="N73" s="567">
        <v>45030</v>
      </c>
      <c r="O73" s="197" t="s">
        <v>1240</v>
      </c>
    </row>
    <row r="74" spans="1:15" s="200" customFormat="1" ht="8.1" customHeight="1" x14ac:dyDescent="0.25">
      <c r="A74" s="197" t="s">
        <v>2504</v>
      </c>
      <c r="B74" s="197" t="s">
        <v>1241</v>
      </c>
      <c r="C74" s="197" t="s">
        <v>1242</v>
      </c>
      <c r="D74" s="197" t="s">
        <v>1098</v>
      </c>
      <c r="E74" s="199" t="s">
        <v>1047</v>
      </c>
      <c r="F74" s="442">
        <v>45030.690057870372</v>
      </c>
      <c r="G74" s="467">
        <v>0.69005787037037036</v>
      </c>
      <c r="H74" s="443">
        <v>2078.0700000000002</v>
      </c>
      <c r="I74" s="444">
        <v>2078.0700000000002</v>
      </c>
      <c r="J74" s="198" t="s">
        <v>1032</v>
      </c>
      <c r="K74" s="197" t="s">
        <v>1033</v>
      </c>
      <c r="L74" s="197" t="s">
        <v>1034</v>
      </c>
      <c r="M74" s="197" t="s">
        <v>1035</v>
      </c>
      <c r="N74" s="567">
        <v>45031</v>
      </c>
      <c r="O74" s="197" t="s">
        <v>1215</v>
      </c>
    </row>
    <row r="75" spans="1:15" s="200" customFormat="1" ht="8.1" customHeight="1" x14ac:dyDescent="0.25">
      <c r="A75" s="197" t="s">
        <v>2505</v>
      </c>
      <c r="B75" s="197" t="s">
        <v>1243</v>
      </c>
      <c r="C75" s="197" t="s">
        <v>1244</v>
      </c>
      <c r="D75" s="197" t="s">
        <v>1126</v>
      </c>
      <c r="E75" s="199" t="s">
        <v>1042</v>
      </c>
      <c r="F75" s="442">
        <v>45036.660046296296</v>
      </c>
      <c r="G75" s="467">
        <v>0.6600462962962963</v>
      </c>
      <c r="H75" s="443">
        <v>10453.66</v>
      </c>
      <c r="I75" s="444">
        <v>10453.66</v>
      </c>
      <c r="J75" s="198" t="s">
        <v>1032</v>
      </c>
      <c r="K75" s="197" t="s">
        <v>1033</v>
      </c>
      <c r="L75" s="197" t="s">
        <v>1034</v>
      </c>
      <c r="M75" s="197" t="s">
        <v>1035</v>
      </c>
      <c r="N75" s="567">
        <v>45037</v>
      </c>
      <c r="O75" s="197" t="s">
        <v>1149</v>
      </c>
    </row>
    <row r="76" spans="1:15" s="200" customFormat="1" ht="8.1" customHeight="1" x14ac:dyDescent="0.25">
      <c r="A76" s="197" t="s">
        <v>2506</v>
      </c>
      <c r="B76" s="197" t="s">
        <v>1245</v>
      </c>
      <c r="C76" s="197" t="s">
        <v>1246</v>
      </c>
      <c r="D76" s="197" t="s">
        <v>1050</v>
      </c>
      <c r="E76" s="199" t="s">
        <v>1051</v>
      </c>
      <c r="F76" s="442">
        <v>45027.875590277778</v>
      </c>
      <c r="G76" s="467">
        <v>0.87559027777777787</v>
      </c>
      <c r="H76" s="443">
        <v>12801.48</v>
      </c>
      <c r="I76" s="444">
        <v>8047.96</v>
      </c>
      <c r="J76" s="198" t="s">
        <v>1247</v>
      </c>
      <c r="K76" s="197" t="s">
        <v>1248</v>
      </c>
      <c r="L76" s="197" t="s">
        <v>1034</v>
      </c>
      <c r="M76" s="197" t="s">
        <v>1035</v>
      </c>
      <c r="N76" s="567">
        <v>45040</v>
      </c>
      <c r="O76" s="197" t="s">
        <v>1095</v>
      </c>
    </row>
    <row r="77" spans="1:15" s="200" customFormat="1" ht="8.1" customHeight="1" x14ac:dyDescent="0.25">
      <c r="A77" s="197" t="s">
        <v>2507</v>
      </c>
      <c r="B77" s="197" t="s">
        <v>1249</v>
      </c>
      <c r="C77" s="197" t="s">
        <v>1250</v>
      </c>
      <c r="D77" s="197" t="s">
        <v>1098</v>
      </c>
      <c r="E77" s="199" t="s">
        <v>1051</v>
      </c>
      <c r="F77" s="442">
        <v>45038.727465277778</v>
      </c>
      <c r="G77" s="467">
        <v>0.72746527777777781</v>
      </c>
      <c r="H77" s="443">
        <v>1444.67</v>
      </c>
      <c r="I77" s="444">
        <v>1300</v>
      </c>
      <c r="J77" s="198" t="s">
        <v>1251</v>
      </c>
      <c r="K77" s="197" t="s">
        <v>1252</v>
      </c>
      <c r="L77" s="197" t="s">
        <v>1034</v>
      </c>
      <c r="M77" s="197" t="s">
        <v>1035</v>
      </c>
      <c r="N77" s="567">
        <v>45040</v>
      </c>
      <c r="O77" s="197" t="s">
        <v>1215</v>
      </c>
    </row>
    <row r="78" spans="1:15" s="200" customFormat="1" ht="8.1" customHeight="1" x14ac:dyDescent="0.25">
      <c r="A78" s="197" t="s">
        <v>2508</v>
      </c>
      <c r="B78" s="197" t="s">
        <v>1253</v>
      </c>
      <c r="C78" s="197" t="s">
        <v>1254</v>
      </c>
      <c r="D78" s="197" t="s">
        <v>1126</v>
      </c>
      <c r="E78" s="199" t="s">
        <v>1042</v>
      </c>
      <c r="F78" s="442">
        <v>45038.695497685185</v>
      </c>
      <c r="G78" s="467">
        <v>0.69549768518518518</v>
      </c>
      <c r="H78" s="443">
        <v>125</v>
      </c>
      <c r="I78" s="444">
        <v>125</v>
      </c>
      <c r="J78" s="198" t="s">
        <v>1032</v>
      </c>
      <c r="K78" s="197" t="s">
        <v>1033</v>
      </c>
      <c r="L78" s="197" t="s">
        <v>1034</v>
      </c>
      <c r="M78" s="197" t="s">
        <v>1035</v>
      </c>
      <c r="N78" s="567">
        <v>45040</v>
      </c>
      <c r="O78" s="197" t="s">
        <v>1255</v>
      </c>
    </row>
    <row r="79" spans="1:15" s="200" customFormat="1" ht="8.1" customHeight="1" x14ac:dyDescent="0.25">
      <c r="A79" s="197" t="s">
        <v>2509</v>
      </c>
      <c r="B79" s="197" t="s">
        <v>1256</v>
      </c>
      <c r="C79" s="197" t="s">
        <v>1257</v>
      </c>
      <c r="D79" s="197" t="s">
        <v>1050</v>
      </c>
      <c r="E79" s="199" t="s">
        <v>1047</v>
      </c>
      <c r="F79" s="442">
        <v>45040.596689814818</v>
      </c>
      <c r="G79" s="467">
        <v>0.59668981481481487</v>
      </c>
      <c r="H79" s="443">
        <v>15010.06</v>
      </c>
      <c r="I79" s="444">
        <v>15010.06</v>
      </c>
      <c r="J79" s="198" t="s">
        <v>1032</v>
      </c>
      <c r="K79" s="197" t="s">
        <v>1033</v>
      </c>
      <c r="L79" s="197" t="s">
        <v>1034</v>
      </c>
      <c r="M79" s="197" t="s">
        <v>1035</v>
      </c>
      <c r="N79" s="567">
        <v>45040</v>
      </c>
      <c r="O79" s="197" t="s">
        <v>1258</v>
      </c>
    </row>
    <row r="80" spans="1:15" s="200" customFormat="1" ht="8.1" customHeight="1" x14ac:dyDescent="0.25">
      <c r="A80" s="197" t="s">
        <v>2510</v>
      </c>
      <c r="B80" s="197" t="s">
        <v>1260</v>
      </c>
      <c r="C80" s="197" t="s">
        <v>1261</v>
      </c>
      <c r="D80" s="197" t="s">
        <v>1126</v>
      </c>
      <c r="E80" s="199" t="s">
        <v>1042</v>
      </c>
      <c r="F80" s="442">
        <v>44942.869479166664</v>
      </c>
      <c r="G80" s="467">
        <v>0.86947916666666669</v>
      </c>
      <c r="H80" s="443">
        <v>23615</v>
      </c>
      <c r="I80" s="444">
        <v>23615</v>
      </c>
      <c r="J80" s="198" t="s">
        <v>1032</v>
      </c>
      <c r="K80" s="197" t="s">
        <v>1033</v>
      </c>
      <c r="L80" s="197" t="s">
        <v>1034</v>
      </c>
      <c r="M80" s="197" t="s">
        <v>1035</v>
      </c>
      <c r="N80" s="567">
        <v>45044</v>
      </c>
      <c r="O80" s="197" t="s">
        <v>1262</v>
      </c>
    </row>
    <row r="81" spans="1:15" s="200" customFormat="1" ht="8.1" customHeight="1" x14ac:dyDescent="0.25">
      <c r="A81" s="197" t="s">
        <v>2511</v>
      </c>
      <c r="B81" s="197" t="s">
        <v>1263</v>
      </c>
      <c r="C81" s="197" t="s">
        <v>1264</v>
      </c>
      <c r="D81" s="197" t="s">
        <v>1126</v>
      </c>
      <c r="E81" s="199" t="s">
        <v>1042</v>
      </c>
      <c r="F81" s="442">
        <v>45044.741527777776</v>
      </c>
      <c r="G81" s="467">
        <v>0.74152777777777779</v>
      </c>
      <c r="H81" s="443">
        <v>4279.74</v>
      </c>
      <c r="I81" s="444">
        <v>4279.74</v>
      </c>
      <c r="J81" s="198" t="s">
        <v>1032</v>
      </c>
      <c r="K81" s="197" t="s">
        <v>1033</v>
      </c>
      <c r="L81" s="197" t="s">
        <v>1034</v>
      </c>
      <c r="M81" s="197" t="s">
        <v>1035</v>
      </c>
      <c r="N81" s="567">
        <v>45045</v>
      </c>
      <c r="O81" s="197" t="s">
        <v>1265</v>
      </c>
    </row>
    <row r="82" spans="1:15" s="200" customFormat="1" ht="8.1" customHeight="1" x14ac:dyDescent="0.25">
      <c r="A82" s="197" t="s">
        <v>2512</v>
      </c>
      <c r="B82" s="197" t="s">
        <v>1266</v>
      </c>
      <c r="C82" s="197" t="s">
        <v>1267</v>
      </c>
      <c r="D82" s="197" t="s">
        <v>1098</v>
      </c>
      <c r="E82" s="199" t="s">
        <v>1051</v>
      </c>
      <c r="F82" s="442">
        <v>45047.653240740743</v>
      </c>
      <c r="G82" s="467">
        <v>0.65324074074074068</v>
      </c>
      <c r="H82" s="443">
        <v>11605.3</v>
      </c>
      <c r="I82" s="444">
        <v>540</v>
      </c>
      <c r="J82" s="198" t="s">
        <v>1268</v>
      </c>
      <c r="K82" s="197" t="s">
        <v>1269</v>
      </c>
      <c r="L82" s="197" t="s">
        <v>1034</v>
      </c>
      <c r="M82" s="197" t="s">
        <v>1035</v>
      </c>
      <c r="N82" s="567">
        <v>45049</v>
      </c>
      <c r="O82" s="197" t="s">
        <v>1129</v>
      </c>
    </row>
    <row r="83" spans="1:15" s="200" customFormat="1" ht="8.1" customHeight="1" x14ac:dyDescent="0.25">
      <c r="A83" s="197" t="s">
        <v>2513</v>
      </c>
      <c r="B83" s="197" t="s">
        <v>1270</v>
      </c>
      <c r="C83" s="197" t="s">
        <v>1271</v>
      </c>
      <c r="D83" s="197" t="s">
        <v>1055</v>
      </c>
      <c r="E83" s="199" t="s">
        <v>1051</v>
      </c>
      <c r="F83" s="442">
        <v>45045.63758101852</v>
      </c>
      <c r="G83" s="467">
        <v>0.63758101851851856</v>
      </c>
      <c r="H83" s="443">
        <v>23939.41</v>
      </c>
      <c r="I83" s="444">
        <v>1000</v>
      </c>
      <c r="J83" s="198" t="s">
        <v>1272</v>
      </c>
      <c r="K83" s="197" t="s">
        <v>1273</v>
      </c>
      <c r="L83" s="197" t="s">
        <v>1034</v>
      </c>
      <c r="M83" s="197" t="s">
        <v>1035</v>
      </c>
      <c r="N83" s="567">
        <v>45049</v>
      </c>
      <c r="O83" s="197" t="s">
        <v>1180</v>
      </c>
    </row>
    <row r="84" spans="1:15" s="200" customFormat="1" ht="8.1" customHeight="1" x14ac:dyDescent="0.25">
      <c r="A84" s="197" t="s">
        <v>2514</v>
      </c>
      <c r="B84" s="197" t="s">
        <v>1274</v>
      </c>
      <c r="C84" s="197" t="s">
        <v>1275</v>
      </c>
      <c r="D84" s="197" t="s">
        <v>1050</v>
      </c>
      <c r="E84" s="199" t="s">
        <v>1051</v>
      </c>
      <c r="F84" s="442">
        <v>45051.715532407405</v>
      </c>
      <c r="G84" s="467">
        <v>0.71553240740740742</v>
      </c>
      <c r="H84" s="443">
        <v>21295.93</v>
      </c>
      <c r="I84" s="444">
        <v>19000</v>
      </c>
      <c r="J84" s="198" t="s">
        <v>1276</v>
      </c>
      <c r="K84" s="197" t="s">
        <v>1277</v>
      </c>
      <c r="L84" s="197" t="s">
        <v>1034</v>
      </c>
      <c r="M84" s="197" t="s">
        <v>1035</v>
      </c>
      <c r="N84" s="567">
        <v>45052</v>
      </c>
      <c r="O84" s="197" t="s">
        <v>1278</v>
      </c>
    </row>
    <row r="85" spans="1:15" s="200" customFormat="1" ht="8.1" customHeight="1" x14ac:dyDescent="0.25">
      <c r="A85" s="197" t="s">
        <v>2515</v>
      </c>
      <c r="B85" s="197" t="s">
        <v>1280</v>
      </c>
      <c r="C85" s="197" t="s">
        <v>1281</v>
      </c>
      <c r="D85" s="197" t="s">
        <v>1282</v>
      </c>
      <c r="E85" s="199" t="s">
        <v>1051</v>
      </c>
      <c r="F85" s="442">
        <v>45053.904513888891</v>
      </c>
      <c r="G85" s="467">
        <v>0.90451388888888884</v>
      </c>
      <c r="H85" s="443">
        <v>27798.68</v>
      </c>
      <c r="I85" s="444">
        <v>2000</v>
      </c>
      <c r="J85" s="198" t="s">
        <v>1283</v>
      </c>
      <c r="K85" s="197" t="s">
        <v>1284</v>
      </c>
      <c r="L85" s="197" t="s">
        <v>1034</v>
      </c>
      <c r="M85" s="197" t="s">
        <v>1035</v>
      </c>
      <c r="N85" s="567">
        <v>45063</v>
      </c>
      <c r="O85" s="197" t="s">
        <v>1081</v>
      </c>
    </row>
    <row r="86" spans="1:15" s="200" customFormat="1" ht="8.1" customHeight="1" x14ac:dyDescent="0.25">
      <c r="A86" s="197" t="s">
        <v>2516</v>
      </c>
      <c r="B86" s="197" t="s">
        <v>1286</v>
      </c>
      <c r="C86" s="197" t="s">
        <v>1287</v>
      </c>
      <c r="D86" s="197" t="s">
        <v>1046</v>
      </c>
      <c r="E86" s="199" t="s">
        <v>1051</v>
      </c>
      <c r="F86" s="442">
        <v>45062.757523148146</v>
      </c>
      <c r="G86" s="467">
        <v>0.75752314814814825</v>
      </c>
      <c r="H86" s="443">
        <v>19784.87</v>
      </c>
      <c r="I86" s="444">
        <v>2781.09</v>
      </c>
      <c r="J86" s="198" t="s">
        <v>1288</v>
      </c>
      <c r="K86" s="197" t="s">
        <v>1289</v>
      </c>
      <c r="L86" s="197" t="s">
        <v>1034</v>
      </c>
      <c r="M86" s="197" t="s">
        <v>1035</v>
      </c>
      <c r="N86" s="567">
        <v>45064</v>
      </c>
      <c r="O86" s="197" t="s">
        <v>1279</v>
      </c>
    </row>
    <row r="87" spans="1:15" s="200" customFormat="1" ht="8.1" customHeight="1" x14ac:dyDescent="0.25">
      <c r="A87" s="197" t="s">
        <v>2517</v>
      </c>
      <c r="B87" s="197" t="s">
        <v>1292</v>
      </c>
      <c r="C87" s="197" t="s">
        <v>1293</v>
      </c>
      <c r="D87" s="197" t="s">
        <v>1050</v>
      </c>
      <c r="E87" s="387" t="s">
        <v>1294</v>
      </c>
      <c r="F87" s="442">
        <v>45066.698912037034</v>
      </c>
      <c r="G87" s="467">
        <v>0.69891203703703697</v>
      </c>
      <c r="H87" s="443">
        <v>11972.22</v>
      </c>
      <c r="I87" s="444">
        <v>11972.22</v>
      </c>
      <c r="J87" s="198" t="s">
        <v>1032</v>
      </c>
      <c r="K87" s="197" t="s">
        <v>1033</v>
      </c>
      <c r="L87" s="197" t="s">
        <v>1034</v>
      </c>
      <c r="M87" s="197" t="s">
        <v>1035</v>
      </c>
      <c r="N87" s="567">
        <v>45069</v>
      </c>
      <c r="O87" s="197" t="s">
        <v>1295</v>
      </c>
    </row>
    <row r="88" spans="1:15" s="200" customFormat="1" ht="8.1" customHeight="1" x14ac:dyDescent="0.25">
      <c r="A88" s="197" t="s">
        <v>2518</v>
      </c>
      <c r="B88" s="197" t="s">
        <v>1296</v>
      </c>
      <c r="C88" s="197" t="s">
        <v>1297</v>
      </c>
      <c r="D88" s="197" t="s">
        <v>1050</v>
      </c>
      <c r="E88" s="199" t="s">
        <v>1051</v>
      </c>
      <c r="F88" s="442">
        <v>45070.750196759262</v>
      </c>
      <c r="G88" s="467">
        <v>0.75019675925925933</v>
      </c>
      <c r="H88" s="443">
        <v>8327.02</v>
      </c>
      <c r="I88" s="444">
        <v>8327.02</v>
      </c>
      <c r="J88" s="198" t="s">
        <v>1298</v>
      </c>
      <c r="K88" s="197" t="s">
        <v>1079</v>
      </c>
      <c r="L88" s="197" t="s">
        <v>1034</v>
      </c>
      <c r="M88" s="197" t="s">
        <v>1052</v>
      </c>
      <c r="N88" s="567">
        <v>45073</v>
      </c>
      <c r="O88" s="197" t="s">
        <v>1299</v>
      </c>
    </row>
    <row r="89" spans="1:15" s="200" customFormat="1" ht="8.1" customHeight="1" x14ac:dyDescent="0.25">
      <c r="A89" s="197" t="s">
        <v>2519</v>
      </c>
      <c r="B89" s="197" t="s">
        <v>1302</v>
      </c>
      <c r="C89" s="197" t="s">
        <v>1303</v>
      </c>
      <c r="D89" s="197" t="s">
        <v>1259</v>
      </c>
      <c r="E89" s="199" t="s">
        <v>1051</v>
      </c>
      <c r="F89" s="442">
        <v>45083.825243055559</v>
      </c>
      <c r="G89" s="467">
        <v>0.82524305555555555</v>
      </c>
      <c r="H89" s="443">
        <v>9544.7000000000007</v>
      </c>
      <c r="I89" s="444">
        <v>8813.91</v>
      </c>
      <c r="J89" s="534" t="s">
        <v>3092</v>
      </c>
      <c r="K89" s="197" t="s">
        <v>1304</v>
      </c>
      <c r="L89" s="197" t="s">
        <v>1034</v>
      </c>
      <c r="M89" s="197" t="s">
        <v>1035</v>
      </c>
      <c r="N89" s="567">
        <v>45085</v>
      </c>
      <c r="O89" s="197" t="s">
        <v>1180</v>
      </c>
    </row>
    <row r="90" spans="1:15" s="200" customFormat="1" ht="8.1" customHeight="1" x14ac:dyDescent="0.25">
      <c r="A90" s="197" t="s">
        <v>2520</v>
      </c>
      <c r="B90" s="197" t="s">
        <v>1305</v>
      </c>
      <c r="C90" s="197" t="s">
        <v>1306</v>
      </c>
      <c r="D90" s="197" t="s">
        <v>1186</v>
      </c>
      <c r="E90" s="199" t="s">
        <v>1051</v>
      </c>
      <c r="F90" s="442">
        <v>45088.018530092595</v>
      </c>
      <c r="G90" s="467">
        <v>1.8530092592592595E-2</v>
      </c>
      <c r="H90" s="443">
        <v>23796.26</v>
      </c>
      <c r="I90" s="444">
        <v>20000</v>
      </c>
      <c r="J90" s="198" t="s">
        <v>3093</v>
      </c>
      <c r="K90" s="197" t="s">
        <v>1307</v>
      </c>
      <c r="L90" s="197" t="s">
        <v>1034</v>
      </c>
      <c r="M90" s="197" t="s">
        <v>1035</v>
      </c>
      <c r="N90" s="567">
        <v>45091</v>
      </c>
      <c r="O90" s="197" t="s">
        <v>1081</v>
      </c>
    </row>
    <row r="91" spans="1:15" s="200" customFormat="1" ht="8.1" customHeight="1" x14ac:dyDescent="0.25">
      <c r="A91" s="197" t="s">
        <v>2521</v>
      </c>
      <c r="B91" s="197" t="s">
        <v>1308</v>
      </c>
      <c r="C91" s="197" t="s">
        <v>1309</v>
      </c>
      <c r="D91" s="197" t="s">
        <v>1046</v>
      </c>
      <c r="E91" s="199" t="s">
        <v>1051</v>
      </c>
      <c r="F91" s="442">
        <v>45091.886956018519</v>
      </c>
      <c r="G91" s="467">
        <v>0.88695601851851846</v>
      </c>
      <c r="H91" s="443">
        <v>1322.35</v>
      </c>
      <c r="I91" s="444">
        <v>1000</v>
      </c>
      <c r="J91" s="198" t="s">
        <v>3094</v>
      </c>
      <c r="K91" s="197" t="s">
        <v>1310</v>
      </c>
      <c r="L91" s="197" t="s">
        <v>1034</v>
      </c>
      <c r="M91" s="197" t="s">
        <v>1035</v>
      </c>
      <c r="N91" s="567">
        <v>45094</v>
      </c>
      <c r="O91" s="197" t="s">
        <v>1311</v>
      </c>
    </row>
    <row r="92" spans="1:15" s="200" customFormat="1" ht="8.1" customHeight="1" x14ac:dyDescent="0.25">
      <c r="A92" s="197" t="s">
        <v>2522</v>
      </c>
      <c r="B92" s="197" t="s">
        <v>1312</v>
      </c>
      <c r="C92" s="197" t="s">
        <v>1313</v>
      </c>
      <c r="D92" s="197" t="s">
        <v>1089</v>
      </c>
      <c r="E92" s="199" t="s">
        <v>1051</v>
      </c>
      <c r="F92" s="442">
        <v>45090.66920138889</v>
      </c>
      <c r="G92" s="467">
        <v>0.66920138888888892</v>
      </c>
      <c r="H92" s="443">
        <v>3512.44</v>
      </c>
      <c r="I92" s="444">
        <v>100</v>
      </c>
      <c r="J92" s="198" t="s">
        <v>3095</v>
      </c>
      <c r="K92" s="197" t="s">
        <v>1314</v>
      </c>
      <c r="L92" s="197" t="s">
        <v>1034</v>
      </c>
      <c r="M92" s="197" t="s">
        <v>1035</v>
      </c>
      <c r="N92" s="567">
        <v>45096</v>
      </c>
      <c r="O92" s="197" t="s">
        <v>1315</v>
      </c>
    </row>
    <row r="93" spans="1:15" s="200" customFormat="1" ht="8.1" customHeight="1" x14ac:dyDescent="0.25">
      <c r="A93" s="197" t="s">
        <v>2523</v>
      </c>
      <c r="B93" s="197" t="s">
        <v>1316</v>
      </c>
      <c r="C93" s="197" t="s">
        <v>1317</v>
      </c>
      <c r="D93" s="197" t="s">
        <v>1046</v>
      </c>
      <c r="E93" s="199" t="s">
        <v>1051</v>
      </c>
      <c r="F93" s="442">
        <v>45090.749965277777</v>
      </c>
      <c r="G93" s="467">
        <v>0.74996527777777777</v>
      </c>
      <c r="H93" s="443">
        <v>83</v>
      </c>
      <c r="I93" s="444">
        <v>83</v>
      </c>
      <c r="J93" s="198" t="s">
        <v>1298</v>
      </c>
      <c r="K93" s="197" t="s">
        <v>1079</v>
      </c>
      <c r="L93" s="197" t="s">
        <v>1034</v>
      </c>
      <c r="M93" s="197" t="s">
        <v>1318</v>
      </c>
      <c r="N93" s="567">
        <v>45096</v>
      </c>
      <c r="O93" s="197" t="s">
        <v>1228</v>
      </c>
    </row>
    <row r="94" spans="1:15" s="200" customFormat="1" ht="8.1" customHeight="1" x14ac:dyDescent="0.25">
      <c r="A94" s="197" t="s">
        <v>2524</v>
      </c>
      <c r="B94" s="197" t="s">
        <v>1319</v>
      </c>
      <c r="C94" s="197" t="s">
        <v>1320</v>
      </c>
      <c r="D94" s="197" t="s">
        <v>1050</v>
      </c>
      <c r="E94" s="199" t="s">
        <v>1051</v>
      </c>
      <c r="F94" s="442">
        <v>45096.58394675926</v>
      </c>
      <c r="G94" s="467">
        <v>0.58394675925925921</v>
      </c>
      <c r="H94" s="443">
        <v>29495.97</v>
      </c>
      <c r="I94" s="444">
        <v>3000</v>
      </c>
      <c r="J94" s="198" t="s">
        <v>3096</v>
      </c>
      <c r="K94" s="197" t="s">
        <v>1321</v>
      </c>
      <c r="L94" s="197" t="s">
        <v>1034</v>
      </c>
      <c r="M94" s="197" t="s">
        <v>1035</v>
      </c>
      <c r="N94" s="567">
        <v>45098</v>
      </c>
      <c r="O94" s="197" t="s">
        <v>1125</v>
      </c>
    </row>
    <row r="95" spans="1:15" s="200" customFormat="1" ht="8.1" customHeight="1" x14ac:dyDescent="0.25">
      <c r="A95" s="197" t="s">
        <v>2525</v>
      </c>
      <c r="B95" s="197" t="s">
        <v>1322</v>
      </c>
      <c r="C95" s="197" t="s">
        <v>1323</v>
      </c>
      <c r="D95" s="197" t="s">
        <v>1098</v>
      </c>
      <c r="E95" s="199" t="s">
        <v>1051</v>
      </c>
      <c r="F95" s="442">
        <v>45096.618981481479</v>
      </c>
      <c r="G95" s="467">
        <v>0.61898148148148147</v>
      </c>
      <c r="H95" s="443">
        <v>21399.5</v>
      </c>
      <c r="I95" s="444">
        <v>21399.5</v>
      </c>
      <c r="J95" s="198" t="s">
        <v>1298</v>
      </c>
      <c r="K95" s="197" t="s">
        <v>1079</v>
      </c>
      <c r="L95" s="197" t="s">
        <v>1034</v>
      </c>
      <c r="M95" s="197" t="s">
        <v>1318</v>
      </c>
      <c r="N95" s="567">
        <v>45098</v>
      </c>
      <c r="O95" s="197" t="s">
        <v>1324</v>
      </c>
    </row>
    <row r="96" spans="1:15" s="200" customFormat="1" ht="8.1" customHeight="1" x14ac:dyDescent="0.25">
      <c r="A96" s="197" t="s">
        <v>2526</v>
      </c>
      <c r="B96" s="197" t="s">
        <v>1325</v>
      </c>
      <c r="C96" s="197" t="s">
        <v>1326</v>
      </c>
      <c r="D96" s="197" t="s">
        <v>1186</v>
      </c>
      <c r="E96" s="199" t="s">
        <v>1051</v>
      </c>
      <c r="F96" s="442">
        <v>45096.618993055556</v>
      </c>
      <c r="G96" s="467">
        <v>0.6189930555555555</v>
      </c>
      <c r="H96" s="443">
        <v>697.52</v>
      </c>
      <c r="I96" s="444">
        <v>697.52</v>
      </c>
      <c r="J96" s="198" t="s">
        <v>1298</v>
      </c>
      <c r="K96" s="197" t="s">
        <v>1079</v>
      </c>
      <c r="L96" s="197" t="s">
        <v>1034</v>
      </c>
      <c r="M96" s="197" t="s">
        <v>1318</v>
      </c>
      <c r="N96" s="567">
        <v>45101</v>
      </c>
      <c r="O96" s="197" t="s">
        <v>1327</v>
      </c>
    </row>
    <row r="97" spans="1:15" s="200" customFormat="1" ht="8.1" customHeight="1" x14ac:dyDescent="0.25">
      <c r="A97" s="197" t="s">
        <v>2527</v>
      </c>
      <c r="B97" s="197" t="s">
        <v>1330</v>
      </c>
      <c r="C97" s="197" t="s">
        <v>1331</v>
      </c>
      <c r="D97" s="197" t="s">
        <v>1055</v>
      </c>
      <c r="E97" s="199" t="s">
        <v>1051</v>
      </c>
      <c r="F97" s="442">
        <v>45104.711828703701</v>
      </c>
      <c r="G97" s="467">
        <v>0.71182870370370377</v>
      </c>
      <c r="H97" s="443">
        <v>3000</v>
      </c>
      <c r="I97" s="444">
        <v>3000</v>
      </c>
      <c r="J97" s="198" t="s">
        <v>1298</v>
      </c>
      <c r="K97" s="197" t="s">
        <v>1079</v>
      </c>
      <c r="L97" s="197" t="s">
        <v>1034</v>
      </c>
      <c r="M97" s="197" t="s">
        <v>1318</v>
      </c>
      <c r="N97" s="567">
        <v>45110</v>
      </c>
      <c r="O97" s="197" t="s">
        <v>1332</v>
      </c>
    </row>
    <row r="98" spans="1:15" s="200" customFormat="1" ht="8.1" customHeight="1" x14ac:dyDescent="0.25">
      <c r="A98" s="197" t="s">
        <v>2528</v>
      </c>
      <c r="B98" s="197" t="s">
        <v>1334</v>
      </c>
      <c r="C98" s="197" t="s">
        <v>1335</v>
      </c>
      <c r="D98" s="197" t="s">
        <v>1098</v>
      </c>
      <c r="E98" s="199" t="s">
        <v>1051</v>
      </c>
      <c r="F98" s="442">
        <v>45121.713495370372</v>
      </c>
      <c r="G98" s="467">
        <v>0.71349537037037036</v>
      </c>
      <c r="H98" s="443">
        <v>18579.86</v>
      </c>
      <c r="I98" s="444">
        <v>6000</v>
      </c>
      <c r="J98" s="198" t="s">
        <v>3097</v>
      </c>
      <c r="K98" s="197" t="s">
        <v>1336</v>
      </c>
      <c r="L98" s="197" t="s">
        <v>1034</v>
      </c>
      <c r="M98" s="197" t="s">
        <v>1035</v>
      </c>
      <c r="N98" s="567">
        <v>45125</v>
      </c>
      <c r="O98" s="197" t="s">
        <v>1049</v>
      </c>
    </row>
    <row r="99" spans="1:15" s="200" customFormat="1" ht="8.1" customHeight="1" x14ac:dyDescent="0.25">
      <c r="A99" s="197" t="s">
        <v>2529</v>
      </c>
      <c r="B99" s="197" t="s">
        <v>1337</v>
      </c>
      <c r="C99" s="197" t="s">
        <v>1338</v>
      </c>
      <c r="D99" s="197" t="s">
        <v>1061</v>
      </c>
      <c r="E99" s="199" t="s">
        <v>1051</v>
      </c>
      <c r="F99" s="442">
        <v>45121.699421296296</v>
      </c>
      <c r="G99" s="467">
        <v>0.69942129629629635</v>
      </c>
      <c r="H99" s="443">
        <v>6800</v>
      </c>
      <c r="I99" s="444">
        <v>6800</v>
      </c>
      <c r="J99" s="198" t="s">
        <v>1339</v>
      </c>
      <c r="K99" s="197" t="s">
        <v>1340</v>
      </c>
      <c r="L99" s="197" t="s">
        <v>1034</v>
      </c>
      <c r="M99" s="197" t="s">
        <v>1035</v>
      </c>
      <c r="N99" s="567">
        <v>45125</v>
      </c>
      <c r="O99" s="197" t="s">
        <v>1062</v>
      </c>
    </row>
    <row r="100" spans="1:15" s="200" customFormat="1" ht="8.1" customHeight="1" x14ac:dyDescent="0.25">
      <c r="A100" s="197" t="s">
        <v>2530</v>
      </c>
      <c r="B100" s="197" t="s">
        <v>1342</v>
      </c>
      <c r="C100" s="447" t="s">
        <v>1343</v>
      </c>
      <c r="D100" s="197" t="s">
        <v>1126</v>
      </c>
      <c r="E100" s="199" t="s">
        <v>1051</v>
      </c>
      <c r="F100" s="442">
        <v>45121.613761574074</v>
      </c>
      <c r="G100" s="467">
        <v>0.61376157407407406</v>
      </c>
      <c r="H100" s="443">
        <v>6000</v>
      </c>
      <c r="I100" s="444">
        <v>6000</v>
      </c>
      <c r="J100" s="198" t="s">
        <v>1298</v>
      </c>
      <c r="K100" s="197" t="s">
        <v>1079</v>
      </c>
      <c r="L100" s="197" t="s">
        <v>1034</v>
      </c>
      <c r="M100" s="197" t="s">
        <v>1318</v>
      </c>
      <c r="N100" s="567">
        <v>45129</v>
      </c>
      <c r="O100" s="197" t="s">
        <v>1344</v>
      </c>
    </row>
    <row r="101" spans="1:15" s="200" customFormat="1" ht="8.1" customHeight="1" x14ac:dyDescent="0.25">
      <c r="A101" s="445" t="s">
        <v>2531</v>
      </c>
      <c r="B101" s="445" t="s">
        <v>1346</v>
      </c>
      <c r="C101" s="448" t="s">
        <v>1347</v>
      </c>
      <c r="D101" s="449" t="s">
        <v>1046</v>
      </c>
      <c r="E101" s="449" t="s">
        <v>1051</v>
      </c>
      <c r="F101" s="450">
        <v>45126.619502314818</v>
      </c>
      <c r="G101" s="472">
        <v>0.61950231481481477</v>
      </c>
      <c r="H101" s="451">
        <v>11622.4</v>
      </c>
      <c r="I101" s="452">
        <v>11622.4</v>
      </c>
      <c r="J101" s="453" t="s">
        <v>1298</v>
      </c>
      <c r="K101" s="445" t="s">
        <v>1079</v>
      </c>
      <c r="L101" s="445" t="s">
        <v>1034</v>
      </c>
      <c r="M101" s="445" t="s">
        <v>1318</v>
      </c>
      <c r="N101" s="568">
        <v>45132</v>
      </c>
      <c r="O101" s="445" t="s">
        <v>1348</v>
      </c>
    </row>
    <row r="102" spans="1:15" s="200" customFormat="1" ht="8.1" customHeight="1" x14ac:dyDescent="0.25">
      <c r="A102" s="197" t="s">
        <v>2532</v>
      </c>
      <c r="B102" s="197" t="s">
        <v>1349</v>
      </c>
      <c r="C102" s="447" t="s">
        <v>1350</v>
      </c>
      <c r="D102" s="197" t="s">
        <v>1046</v>
      </c>
      <c r="E102" s="199" t="s">
        <v>1051</v>
      </c>
      <c r="F102" s="442">
        <v>45137.655717592592</v>
      </c>
      <c r="G102" s="467">
        <v>0.65571759259259255</v>
      </c>
      <c r="H102" s="443">
        <v>14195.48</v>
      </c>
      <c r="I102" s="444">
        <v>2000</v>
      </c>
      <c r="J102" s="198" t="s">
        <v>3098</v>
      </c>
      <c r="K102" s="197" t="s">
        <v>1351</v>
      </c>
      <c r="L102" s="197" t="s">
        <v>1034</v>
      </c>
      <c r="M102" s="197" t="s">
        <v>1035</v>
      </c>
      <c r="N102" s="567">
        <v>45138</v>
      </c>
      <c r="O102" s="197" t="s">
        <v>1146</v>
      </c>
    </row>
    <row r="103" spans="1:15" s="200" customFormat="1" ht="8.1" customHeight="1" x14ac:dyDescent="0.25">
      <c r="A103" s="197" t="s">
        <v>2533</v>
      </c>
      <c r="B103" s="197" t="s">
        <v>1352</v>
      </c>
      <c r="C103" s="447" t="s">
        <v>1353</v>
      </c>
      <c r="D103" s="199" t="s">
        <v>1089</v>
      </c>
      <c r="E103" s="199" t="s">
        <v>1051</v>
      </c>
      <c r="F103" s="442">
        <v>45133.564918981479</v>
      </c>
      <c r="G103" s="467">
        <v>0.56491898148148145</v>
      </c>
      <c r="H103" s="443">
        <v>261.92</v>
      </c>
      <c r="I103" s="444">
        <v>261.92</v>
      </c>
      <c r="J103" s="198" t="s">
        <v>1298</v>
      </c>
      <c r="K103" s="197" t="s">
        <v>1079</v>
      </c>
      <c r="L103" s="197" t="s">
        <v>1034</v>
      </c>
      <c r="M103" s="197" t="s">
        <v>1318</v>
      </c>
      <c r="N103" s="567">
        <v>45138</v>
      </c>
      <c r="O103" s="197" t="s">
        <v>1099</v>
      </c>
    </row>
    <row r="104" spans="1:15" s="200" customFormat="1" ht="8.1" customHeight="1" x14ac:dyDescent="0.25">
      <c r="A104" s="197" t="s">
        <v>2534</v>
      </c>
      <c r="B104" s="197" t="s">
        <v>1355</v>
      </c>
      <c r="C104" s="197" t="s">
        <v>1356</v>
      </c>
      <c r="D104" s="197" t="s">
        <v>1098</v>
      </c>
      <c r="E104" s="199" t="s">
        <v>1051</v>
      </c>
      <c r="F104" s="442">
        <v>45139.720671296294</v>
      </c>
      <c r="G104" s="467">
        <v>0.72067129629629623</v>
      </c>
      <c r="H104" s="443">
        <v>6864.78</v>
      </c>
      <c r="I104" s="444">
        <v>3412.8399999999997</v>
      </c>
      <c r="J104" s="198" t="s">
        <v>3099</v>
      </c>
      <c r="K104" s="197" t="s">
        <v>1357</v>
      </c>
      <c r="L104" s="197" t="s">
        <v>1034</v>
      </c>
      <c r="M104" s="197" t="s">
        <v>1035</v>
      </c>
      <c r="N104" s="567">
        <v>45145</v>
      </c>
      <c r="O104" s="197" t="s">
        <v>1195</v>
      </c>
    </row>
    <row r="105" spans="1:15" s="200" customFormat="1" ht="8.1" customHeight="1" x14ac:dyDescent="0.25">
      <c r="A105" s="197" t="s">
        <v>2535</v>
      </c>
      <c r="B105" s="197" t="s">
        <v>1358</v>
      </c>
      <c r="C105" s="197" t="s">
        <v>1359</v>
      </c>
      <c r="D105" s="197" t="s">
        <v>1089</v>
      </c>
      <c r="E105" s="199" t="s">
        <v>1051</v>
      </c>
      <c r="F105" s="442">
        <v>45136.676817129628</v>
      </c>
      <c r="G105" s="467">
        <v>0.67681712962962959</v>
      </c>
      <c r="H105" s="443">
        <v>50</v>
      </c>
      <c r="I105" s="444">
        <v>50</v>
      </c>
      <c r="J105" s="198" t="s">
        <v>1298</v>
      </c>
      <c r="K105" s="197" t="s">
        <v>1079</v>
      </c>
      <c r="L105" s="197" t="s">
        <v>1034</v>
      </c>
      <c r="M105" s="197" t="s">
        <v>1318</v>
      </c>
      <c r="N105" s="567">
        <v>45145</v>
      </c>
      <c r="O105" s="197" t="s">
        <v>1228</v>
      </c>
    </row>
    <row r="106" spans="1:15" s="200" customFormat="1" ht="8.1" customHeight="1" x14ac:dyDescent="0.25">
      <c r="A106" s="197" t="s">
        <v>2536</v>
      </c>
      <c r="B106" s="197" t="s">
        <v>1360</v>
      </c>
      <c r="C106" s="197" t="s">
        <v>1361</v>
      </c>
      <c r="D106" s="197" t="s">
        <v>1362</v>
      </c>
      <c r="E106" s="199" t="s">
        <v>1363</v>
      </c>
      <c r="F106" s="197" t="s">
        <v>1364</v>
      </c>
      <c r="G106" s="197" t="s">
        <v>1365</v>
      </c>
      <c r="H106" s="443">
        <v>9731.52</v>
      </c>
      <c r="I106" s="444">
        <v>3000</v>
      </c>
      <c r="J106" s="198" t="s">
        <v>3100</v>
      </c>
      <c r="K106" s="197" t="s">
        <v>1366</v>
      </c>
      <c r="L106" s="197" t="s">
        <v>1034</v>
      </c>
      <c r="M106" s="197" t="s">
        <v>1035</v>
      </c>
      <c r="N106" s="567">
        <v>45146</v>
      </c>
      <c r="O106" s="197" t="s">
        <v>1367</v>
      </c>
    </row>
    <row r="107" spans="1:15" s="200" customFormat="1" ht="8.1" customHeight="1" x14ac:dyDescent="0.25">
      <c r="A107" s="197" t="s">
        <v>2537</v>
      </c>
      <c r="B107" s="197" t="s">
        <v>1368</v>
      </c>
      <c r="C107" s="454" t="s">
        <v>1369</v>
      </c>
      <c r="D107" s="199" t="s">
        <v>1036</v>
      </c>
      <c r="E107" s="199" t="s">
        <v>1363</v>
      </c>
      <c r="F107" s="446" t="s">
        <v>1370</v>
      </c>
      <c r="G107" s="197" t="s">
        <v>1371</v>
      </c>
      <c r="H107" s="443">
        <v>8717.36</v>
      </c>
      <c r="I107" s="444">
        <v>8717.36</v>
      </c>
      <c r="J107" s="198" t="s">
        <v>1002</v>
      </c>
      <c r="K107" s="197" t="s">
        <v>1372</v>
      </c>
      <c r="L107" s="197" t="s">
        <v>1037</v>
      </c>
      <c r="M107" s="197" t="s">
        <v>1354</v>
      </c>
      <c r="N107" s="567">
        <v>45147</v>
      </c>
      <c r="O107" s="197" t="s">
        <v>1291</v>
      </c>
    </row>
    <row r="108" spans="1:15" s="200" customFormat="1" ht="8.1" customHeight="1" x14ac:dyDescent="0.25">
      <c r="A108" s="197" t="s">
        <v>2538</v>
      </c>
      <c r="B108" s="197" t="s">
        <v>1373</v>
      </c>
      <c r="C108" s="197" t="s">
        <v>1374</v>
      </c>
      <c r="D108" s="197" t="s">
        <v>1046</v>
      </c>
      <c r="E108" s="199" t="s">
        <v>1051</v>
      </c>
      <c r="F108" s="442">
        <v>45141.761562500003</v>
      </c>
      <c r="G108" s="467">
        <v>0.76156250000000003</v>
      </c>
      <c r="H108" s="443">
        <v>8750.74</v>
      </c>
      <c r="I108" s="444">
        <v>4276.5200000000004</v>
      </c>
      <c r="J108" s="198" t="s">
        <v>3101</v>
      </c>
      <c r="K108" s="197" t="s">
        <v>1375</v>
      </c>
      <c r="L108" s="197" t="s">
        <v>1034</v>
      </c>
      <c r="M108" s="197" t="s">
        <v>1035</v>
      </c>
      <c r="N108" s="567">
        <v>45148</v>
      </c>
      <c r="O108" s="197" t="s">
        <v>1376</v>
      </c>
    </row>
    <row r="109" spans="1:15" s="200" customFormat="1" ht="8.1" customHeight="1" x14ac:dyDescent="0.25">
      <c r="A109" s="197" t="s">
        <v>2539</v>
      </c>
      <c r="B109" s="197" t="s">
        <v>1377</v>
      </c>
      <c r="C109" s="197" t="s">
        <v>1378</v>
      </c>
      <c r="D109" s="197" t="s">
        <v>1379</v>
      </c>
      <c r="E109" s="199" t="s">
        <v>1363</v>
      </c>
      <c r="F109" s="197" t="s">
        <v>1380</v>
      </c>
      <c r="G109" s="197" t="s">
        <v>1381</v>
      </c>
      <c r="H109" s="443">
        <v>15545.38</v>
      </c>
      <c r="I109" s="444">
        <v>5000</v>
      </c>
      <c r="J109" s="198" t="s">
        <v>3102</v>
      </c>
      <c r="K109" s="197" t="s">
        <v>1382</v>
      </c>
      <c r="L109" s="197" t="s">
        <v>1034</v>
      </c>
      <c r="M109" s="197" t="s">
        <v>1035</v>
      </c>
      <c r="N109" s="567">
        <v>45150</v>
      </c>
      <c r="O109" s="197" t="s">
        <v>1383</v>
      </c>
    </row>
    <row r="110" spans="1:15" s="200" customFormat="1" ht="8.1" customHeight="1" x14ac:dyDescent="0.25">
      <c r="A110" s="197" t="s">
        <v>2540</v>
      </c>
      <c r="B110" s="197" t="s">
        <v>1384</v>
      </c>
      <c r="C110" s="447" t="s">
        <v>1385</v>
      </c>
      <c r="D110" s="197" t="s">
        <v>1386</v>
      </c>
      <c r="E110" s="199" t="s">
        <v>1363</v>
      </c>
      <c r="F110" s="197" t="s">
        <v>1387</v>
      </c>
      <c r="G110" s="197" t="s">
        <v>1388</v>
      </c>
      <c r="H110" s="443">
        <v>1400</v>
      </c>
      <c r="I110" s="444">
        <v>1400</v>
      </c>
      <c r="J110" s="198" t="s">
        <v>1389</v>
      </c>
      <c r="K110" s="197" t="s">
        <v>1390</v>
      </c>
      <c r="L110" s="197" t="s">
        <v>1034</v>
      </c>
      <c r="M110" s="197" t="s">
        <v>1035</v>
      </c>
      <c r="N110" s="567">
        <v>45150</v>
      </c>
      <c r="O110" s="197" t="s">
        <v>1391</v>
      </c>
    </row>
    <row r="111" spans="1:15" s="200" customFormat="1" ht="8.1" customHeight="1" x14ac:dyDescent="0.25">
      <c r="A111" s="197" t="s">
        <v>2541</v>
      </c>
      <c r="B111" s="197" t="s">
        <v>1394</v>
      </c>
      <c r="C111" s="197" t="s">
        <v>1395</v>
      </c>
      <c r="D111" s="197" t="s">
        <v>1392</v>
      </c>
      <c r="E111" s="199" t="s">
        <v>1363</v>
      </c>
      <c r="F111" s="197" t="s">
        <v>1380</v>
      </c>
      <c r="G111" s="197" t="s">
        <v>1396</v>
      </c>
      <c r="H111" s="443">
        <v>16689.72</v>
      </c>
      <c r="I111" s="444">
        <v>16689.72</v>
      </c>
      <c r="J111" s="198" t="s">
        <v>1397</v>
      </c>
      <c r="K111" s="197" t="s">
        <v>1079</v>
      </c>
      <c r="L111" s="197" t="s">
        <v>1034</v>
      </c>
      <c r="M111" s="197" t="s">
        <v>1318</v>
      </c>
      <c r="N111" s="567">
        <v>45152</v>
      </c>
      <c r="O111" s="197" t="s">
        <v>1258</v>
      </c>
    </row>
    <row r="112" spans="1:15" s="200" customFormat="1" ht="8.1" customHeight="1" x14ac:dyDescent="0.25">
      <c r="A112" s="197" t="s">
        <v>2542</v>
      </c>
      <c r="B112" s="197" t="s">
        <v>1400</v>
      </c>
      <c r="C112" s="197" t="s">
        <v>1401</v>
      </c>
      <c r="D112" s="197" t="s">
        <v>1402</v>
      </c>
      <c r="E112" s="387" t="s">
        <v>1363</v>
      </c>
      <c r="F112" s="197" t="s">
        <v>1380</v>
      </c>
      <c r="G112" s="197" t="s">
        <v>1403</v>
      </c>
      <c r="H112" s="443">
        <v>10199.549999999999</v>
      </c>
      <c r="I112" s="444">
        <v>10199.549999999999</v>
      </c>
      <c r="J112" s="198" t="s">
        <v>1397</v>
      </c>
      <c r="K112" s="197" t="s">
        <v>1079</v>
      </c>
      <c r="L112" s="197" t="s">
        <v>1034</v>
      </c>
      <c r="M112" s="197" t="s">
        <v>1318</v>
      </c>
      <c r="N112" s="567">
        <v>45153</v>
      </c>
      <c r="O112" s="197" t="s">
        <v>1106</v>
      </c>
    </row>
    <row r="113" spans="1:15" s="200" customFormat="1" ht="8.1" customHeight="1" x14ac:dyDescent="0.25">
      <c r="A113" s="197" t="s">
        <v>2543</v>
      </c>
      <c r="B113" s="197" t="s">
        <v>1404</v>
      </c>
      <c r="C113" s="197" t="s">
        <v>1405</v>
      </c>
      <c r="D113" s="197" t="s">
        <v>1036</v>
      </c>
      <c r="E113" s="199" t="s">
        <v>1363</v>
      </c>
      <c r="F113" s="197" t="s">
        <v>1380</v>
      </c>
      <c r="G113" s="197" t="s">
        <v>1406</v>
      </c>
      <c r="H113" s="443">
        <v>6863.04</v>
      </c>
      <c r="I113" s="444">
        <v>6863.04</v>
      </c>
      <c r="J113" s="198" t="s">
        <v>1407</v>
      </c>
      <c r="K113" s="197" t="s">
        <v>1079</v>
      </c>
      <c r="L113" s="197" t="s">
        <v>1034</v>
      </c>
      <c r="M113" s="197" t="s">
        <v>1318</v>
      </c>
      <c r="N113" s="567">
        <v>45155</v>
      </c>
      <c r="O113" s="197" t="s">
        <v>1214</v>
      </c>
    </row>
    <row r="114" spans="1:15" s="200" customFormat="1" ht="8.1" customHeight="1" x14ac:dyDescent="0.25">
      <c r="A114" s="197" t="s">
        <v>2544</v>
      </c>
      <c r="B114" s="197" t="s">
        <v>1408</v>
      </c>
      <c r="C114" s="197" t="s">
        <v>1409</v>
      </c>
      <c r="D114" s="197" t="s">
        <v>1036</v>
      </c>
      <c r="E114" s="199" t="s">
        <v>1363</v>
      </c>
      <c r="F114" s="197" t="s">
        <v>1380</v>
      </c>
      <c r="G114" s="197" t="s">
        <v>1410</v>
      </c>
      <c r="H114" s="443">
        <v>6863.04</v>
      </c>
      <c r="I114" s="444">
        <v>6863.04</v>
      </c>
      <c r="J114" s="198" t="s">
        <v>1407</v>
      </c>
      <c r="K114" s="197" t="s">
        <v>1079</v>
      </c>
      <c r="L114" s="197" t="s">
        <v>1034</v>
      </c>
      <c r="M114" s="197" t="s">
        <v>1318</v>
      </c>
      <c r="N114" s="567">
        <v>45155</v>
      </c>
      <c r="O114" s="197" t="s">
        <v>1214</v>
      </c>
    </row>
    <row r="115" spans="1:15" s="200" customFormat="1" ht="8.1" customHeight="1" x14ac:dyDescent="0.25">
      <c r="A115" s="197" t="s">
        <v>2545</v>
      </c>
      <c r="B115" s="197" t="s">
        <v>1411</v>
      </c>
      <c r="C115" s="197" t="s">
        <v>1412</v>
      </c>
      <c r="D115" s="197" t="s">
        <v>1036</v>
      </c>
      <c r="E115" s="199" t="s">
        <v>1363</v>
      </c>
      <c r="F115" s="197" t="s">
        <v>1380</v>
      </c>
      <c r="G115" s="197" t="s">
        <v>1413</v>
      </c>
      <c r="H115" s="443">
        <v>6863.04</v>
      </c>
      <c r="I115" s="444">
        <v>6863.04</v>
      </c>
      <c r="J115" s="198" t="s">
        <v>1407</v>
      </c>
      <c r="K115" s="197" t="s">
        <v>1079</v>
      </c>
      <c r="L115" s="197" t="s">
        <v>1034</v>
      </c>
      <c r="M115" s="197" t="s">
        <v>1318</v>
      </c>
      <c r="N115" s="567">
        <v>45155</v>
      </c>
      <c r="O115" s="197" t="s">
        <v>1214</v>
      </c>
    </row>
    <row r="116" spans="1:15" s="200" customFormat="1" ht="8.1" customHeight="1" x14ac:dyDescent="0.25">
      <c r="A116" s="197" t="s">
        <v>2546</v>
      </c>
      <c r="B116" s="197" t="s">
        <v>1414</v>
      </c>
      <c r="C116" s="197" t="s">
        <v>1415</v>
      </c>
      <c r="D116" s="197" t="s">
        <v>1036</v>
      </c>
      <c r="E116" s="199" t="s">
        <v>1363</v>
      </c>
      <c r="F116" s="197" t="s">
        <v>1380</v>
      </c>
      <c r="G116" s="197" t="s">
        <v>1416</v>
      </c>
      <c r="H116" s="443">
        <v>6863.04</v>
      </c>
      <c r="I116" s="444">
        <v>6863.04</v>
      </c>
      <c r="J116" s="198" t="s">
        <v>1407</v>
      </c>
      <c r="K116" s="197" t="s">
        <v>1079</v>
      </c>
      <c r="L116" s="197" t="s">
        <v>1034</v>
      </c>
      <c r="M116" s="197" t="s">
        <v>1318</v>
      </c>
      <c r="N116" s="567">
        <v>45155</v>
      </c>
      <c r="O116" s="197" t="s">
        <v>1214</v>
      </c>
    </row>
    <row r="117" spans="1:15" s="200" customFormat="1" ht="8.1" customHeight="1" x14ac:dyDescent="0.25">
      <c r="A117" s="197" t="s">
        <v>2547</v>
      </c>
      <c r="B117" s="197" t="s">
        <v>1417</v>
      </c>
      <c r="C117" s="197" t="s">
        <v>1418</v>
      </c>
      <c r="D117" s="197" t="s">
        <v>1036</v>
      </c>
      <c r="E117" s="199" t="s">
        <v>1363</v>
      </c>
      <c r="F117" s="197" t="s">
        <v>1380</v>
      </c>
      <c r="G117" s="197" t="s">
        <v>1419</v>
      </c>
      <c r="H117" s="443">
        <v>6863.04</v>
      </c>
      <c r="I117" s="444">
        <v>6863.04</v>
      </c>
      <c r="J117" s="198" t="s">
        <v>1407</v>
      </c>
      <c r="K117" s="197" t="s">
        <v>1079</v>
      </c>
      <c r="L117" s="197" t="s">
        <v>1034</v>
      </c>
      <c r="M117" s="197" t="s">
        <v>1318</v>
      </c>
      <c r="N117" s="567">
        <v>45155</v>
      </c>
      <c r="O117" s="197" t="s">
        <v>1214</v>
      </c>
    </row>
    <row r="118" spans="1:15" s="200" customFormat="1" ht="8.1" customHeight="1" x14ac:dyDescent="0.25">
      <c r="A118" s="197" t="s">
        <v>2548</v>
      </c>
      <c r="B118" s="197" t="s">
        <v>1420</v>
      </c>
      <c r="C118" s="197" t="s">
        <v>1421</v>
      </c>
      <c r="D118" s="197" t="s">
        <v>1036</v>
      </c>
      <c r="E118" s="199" t="s">
        <v>1363</v>
      </c>
      <c r="F118" s="197" t="s">
        <v>1380</v>
      </c>
      <c r="G118" s="197" t="s">
        <v>1422</v>
      </c>
      <c r="H118" s="443">
        <v>8446.34</v>
      </c>
      <c r="I118" s="444">
        <v>8446.34</v>
      </c>
      <c r="J118" s="198" t="s">
        <v>1397</v>
      </c>
      <c r="K118" s="197" t="s">
        <v>1079</v>
      </c>
      <c r="L118" s="197" t="s">
        <v>1034</v>
      </c>
      <c r="M118" s="197" t="s">
        <v>1318</v>
      </c>
      <c r="N118" s="567">
        <v>45155</v>
      </c>
      <c r="O118" s="197" t="s">
        <v>1214</v>
      </c>
    </row>
    <row r="119" spans="1:15" s="200" customFormat="1" ht="8.1" customHeight="1" x14ac:dyDescent="0.25">
      <c r="A119" s="197" t="s">
        <v>2549</v>
      </c>
      <c r="B119" s="197" t="s">
        <v>1423</v>
      </c>
      <c r="C119" s="197" t="s">
        <v>1424</v>
      </c>
      <c r="D119" s="197" t="s">
        <v>1425</v>
      </c>
      <c r="E119" s="199" t="s">
        <v>1363</v>
      </c>
      <c r="F119" s="197" t="s">
        <v>1380</v>
      </c>
      <c r="G119" s="197" t="s">
        <v>1426</v>
      </c>
      <c r="H119" s="443">
        <v>21043.39</v>
      </c>
      <c r="I119" s="444">
        <v>21043.39</v>
      </c>
      <c r="J119" s="198" t="s">
        <v>1397</v>
      </c>
      <c r="K119" s="197" t="s">
        <v>1079</v>
      </c>
      <c r="L119" s="197" t="s">
        <v>1034</v>
      </c>
      <c r="M119" s="197" t="s">
        <v>1318</v>
      </c>
      <c r="N119" s="567">
        <v>45157</v>
      </c>
      <c r="O119" s="197" t="s">
        <v>1328</v>
      </c>
    </row>
    <row r="120" spans="1:15" s="200" customFormat="1" ht="8.1" customHeight="1" x14ac:dyDescent="0.25">
      <c r="A120" s="197" t="s">
        <v>2550</v>
      </c>
      <c r="B120" s="197" t="s">
        <v>1427</v>
      </c>
      <c r="C120" s="197" t="s">
        <v>1428</v>
      </c>
      <c r="D120" s="197" t="s">
        <v>1429</v>
      </c>
      <c r="E120" s="199" t="s">
        <v>1363</v>
      </c>
      <c r="F120" s="197" t="s">
        <v>1430</v>
      </c>
      <c r="G120" s="197" t="s">
        <v>1431</v>
      </c>
      <c r="H120" s="443">
        <v>7581.55</v>
      </c>
      <c r="I120" s="444">
        <v>5000</v>
      </c>
      <c r="J120" s="198" t="s">
        <v>3103</v>
      </c>
      <c r="K120" s="197" t="s">
        <v>1432</v>
      </c>
      <c r="L120" s="197" t="s">
        <v>1034</v>
      </c>
      <c r="M120" s="197" t="s">
        <v>1035</v>
      </c>
      <c r="N120" s="567">
        <v>45161</v>
      </c>
      <c r="O120" s="197" t="s">
        <v>1433</v>
      </c>
    </row>
    <row r="121" spans="1:15" s="200" customFormat="1" ht="8.1" customHeight="1" x14ac:dyDescent="0.25">
      <c r="A121" s="197" t="s">
        <v>2551</v>
      </c>
      <c r="B121" s="197" t="s">
        <v>1434</v>
      </c>
      <c r="C121" s="197" t="s">
        <v>1435</v>
      </c>
      <c r="D121" s="197" t="s">
        <v>1436</v>
      </c>
      <c r="E121" s="199" t="s">
        <v>1363</v>
      </c>
      <c r="F121" s="197" t="s">
        <v>1380</v>
      </c>
      <c r="G121" s="197" t="s">
        <v>1437</v>
      </c>
      <c r="H121" s="443">
        <v>8468.7099999999991</v>
      </c>
      <c r="I121" s="444">
        <v>8468.7099999999991</v>
      </c>
      <c r="J121" s="198" t="s">
        <v>1397</v>
      </c>
      <c r="K121" s="197" t="s">
        <v>1079</v>
      </c>
      <c r="L121" s="197" t="s">
        <v>1034</v>
      </c>
      <c r="M121" s="197" t="s">
        <v>1318</v>
      </c>
      <c r="N121" s="567">
        <v>45161</v>
      </c>
      <c r="O121" s="197" t="s">
        <v>1438</v>
      </c>
    </row>
    <row r="122" spans="1:15" s="200" customFormat="1" ht="8.1" customHeight="1" x14ac:dyDescent="0.25">
      <c r="A122" s="197" t="s">
        <v>2552</v>
      </c>
      <c r="B122" s="197" t="s">
        <v>1439</v>
      </c>
      <c r="C122" s="197" t="s">
        <v>1440</v>
      </c>
      <c r="D122" s="197" t="s">
        <v>1392</v>
      </c>
      <c r="E122" s="199" t="s">
        <v>1363</v>
      </c>
      <c r="F122" s="197" t="s">
        <v>1380</v>
      </c>
      <c r="G122" s="197" t="s">
        <v>1441</v>
      </c>
      <c r="H122" s="443">
        <v>2899.4</v>
      </c>
      <c r="I122" s="444">
        <v>2899.4</v>
      </c>
      <c r="J122" s="198" t="s">
        <v>1397</v>
      </c>
      <c r="K122" s="197" t="s">
        <v>1079</v>
      </c>
      <c r="L122" s="197" t="s">
        <v>1034</v>
      </c>
      <c r="M122" s="197" t="s">
        <v>1318</v>
      </c>
      <c r="N122" s="567">
        <v>45161</v>
      </c>
      <c r="O122" s="197" t="s">
        <v>1058</v>
      </c>
    </row>
    <row r="123" spans="1:15" s="200" customFormat="1" ht="8.1" customHeight="1" x14ac:dyDescent="0.25">
      <c r="A123" s="197" t="s">
        <v>2553</v>
      </c>
      <c r="B123" s="197" t="s">
        <v>1445</v>
      </c>
      <c r="C123" s="197" t="s">
        <v>1446</v>
      </c>
      <c r="D123" s="197" t="s">
        <v>1398</v>
      </c>
      <c r="E123" s="387" t="s">
        <v>1363</v>
      </c>
      <c r="F123" s="197" t="s">
        <v>1444</v>
      </c>
      <c r="G123" s="197" t="s">
        <v>1447</v>
      </c>
      <c r="H123" s="443">
        <v>4688.1099999999997</v>
      </c>
      <c r="I123" s="444">
        <v>362.31</v>
      </c>
      <c r="J123" s="198" t="s">
        <v>3104</v>
      </c>
      <c r="K123" s="197" t="s">
        <v>1448</v>
      </c>
      <c r="L123" s="197" t="s">
        <v>1034</v>
      </c>
      <c r="M123" s="197" t="s">
        <v>1035</v>
      </c>
      <c r="N123" s="567">
        <v>45161</v>
      </c>
      <c r="O123" s="197" t="s">
        <v>1311</v>
      </c>
    </row>
    <row r="124" spans="1:15" s="200" customFormat="1" ht="8.1" customHeight="1" x14ac:dyDescent="0.25">
      <c r="A124" s="197" t="s">
        <v>2554</v>
      </c>
      <c r="B124" s="197" t="s">
        <v>1449</v>
      </c>
      <c r="C124" s="197" t="s">
        <v>1450</v>
      </c>
      <c r="D124" s="197" t="s">
        <v>1392</v>
      </c>
      <c r="E124" s="199" t="s">
        <v>1363</v>
      </c>
      <c r="F124" s="197" t="s">
        <v>1380</v>
      </c>
      <c r="G124" s="197" t="s">
        <v>1451</v>
      </c>
      <c r="H124" s="443">
        <v>50000</v>
      </c>
      <c r="I124" s="444">
        <v>50000</v>
      </c>
      <c r="J124" s="198" t="s">
        <v>1397</v>
      </c>
      <c r="K124" s="197" t="s">
        <v>1079</v>
      </c>
      <c r="L124" s="197" t="s">
        <v>1034</v>
      </c>
      <c r="M124" s="197" t="s">
        <v>1318</v>
      </c>
      <c r="N124" s="567">
        <v>45162</v>
      </c>
      <c r="O124" s="197" t="s">
        <v>1452</v>
      </c>
    </row>
    <row r="125" spans="1:15" s="200" customFormat="1" ht="8.1" customHeight="1" x14ac:dyDescent="0.25">
      <c r="A125" s="197" t="s">
        <v>2555</v>
      </c>
      <c r="B125" s="197" t="s">
        <v>1453</v>
      </c>
      <c r="C125" s="197" t="s">
        <v>1454</v>
      </c>
      <c r="D125" s="197" t="s">
        <v>1392</v>
      </c>
      <c r="E125" s="387" t="s">
        <v>1363</v>
      </c>
      <c r="F125" s="197" t="s">
        <v>1380</v>
      </c>
      <c r="G125" s="197" t="s">
        <v>1455</v>
      </c>
      <c r="H125" s="443">
        <v>10000</v>
      </c>
      <c r="I125" s="444">
        <v>10000</v>
      </c>
      <c r="J125" s="198" t="s">
        <v>1397</v>
      </c>
      <c r="K125" s="197" t="s">
        <v>1079</v>
      </c>
      <c r="L125" s="197" t="s">
        <v>1034</v>
      </c>
      <c r="M125" s="197" t="s">
        <v>1318</v>
      </c>
      <c r="N125" s="567">
        <v>45162</v>
      </c>
      <c r="O125" s="197" t="s">
        <v>1452</v>
      </c>
    </row>
    <row r="126" spans="1:15" s="200" customFormat="1" ht="8.1" customHeight="1" x14ac:dyDescent="0.25">
      <c r="A126" s="197" t="s">
        <v>2556</v>
      </c>
      <c r="B126" s="197" t="s">
        <v>1457</v>
      </c>
      <c r="C126" s="197" t="s">
        <v>1458</v>
      </c>
      <c r="D126" s="197" t="s">
        <v>1459</v>
      </c>
      <c r="E126" s="199" t="s">
        <v>1363</v>
      </c>
      <c r="F126" s="197" t="s">
        <v>1380</v>
      </c>
      <c r="G126" s="197" t="s">
        <v>1460</v>
      </c>
      <c r="H126" s="443">
        <v>3000</v>
      </c>
      <c r="I126" s="444">
        <v>3000</v>
      </c>
      <c r="J126" s="198" t="s">
        <v>1397</v>
      </c>
      <c r="K126" s="197" t="s">
        <v>1079</v>
      </c>
      <c r="L126" s="197" t="s">
        <v>1034</v>
      </c>
      <c r="M126" s="197" t="s">
        <v>1318</v>
      </c>
      <c r="N126" s="567">
        <v>45162</v>
      </c>
      <c r="O126" s="197" t="s">
        <v>1461</v>
      </c>
    </row>
    <row r="127" spans="1:15" s="200" customFormat="1" ht="8.1" customHeight="1" x14ac:dyDescent="0.25">
      <c r="A127" s="197" t="s">
        <v>2557</v>
      </c>
      <c r="B127" s="197" t="s">
        <v>1462</v>
      </c>
      <c r="C127" s="197" t="s">
        <v>1463</v>
      </c>
      <c r="D127" s="197" t="s">
        <v>1464</v>
      </c>
      <c r="E127" s="387" t="s">
        <v>1363</v>
      </c>
      <c r="F127" s="197" t="s">
        <v>1443</v>
      </c>
      <c r="G127" s="197" t="s">
        <v>1465</v>
      </c>
      <c r="H127" s="443">
        <v>10856.69</v>
      </c>
      <c r="I127" s="444">
        <v>10856.69</v>
      </c>
      <c r="J127" s="198" t="s">
        <v>1397</v>
      </c>
      <c r="K127" s="197" t="s">
        <v>1079</v>
      </c>
      <c r="L127" s="197" t="s">
        <v>1034</v>
      </c>
      <c r="M127" s="197" t="s">
        <v>1318</v>
      </c>
      <c r="N127" s="567">
        <v>45162</v>
      </c>
      <c r="O127" s="197" t="s">
        <v>1301</v>
      </c>
    </row>
    <row r="128" spans="1:15" s="200" customFormat="1" ht="8.1" customHeight="1" x14ac:dyDescent="0.25">
      <c r="A128" s="197" t="s">
        <v>2558</v>
      </c>
      <c r="B128" s="197" t="s">
        <v>1466</v>
      </c>
      <c r="C128" s="197" t="s">
        <v>1467</v>
      </c>
      <c r="D128" s="197" t="s">
        <v>1392</v>
      </c>
      <c r="E128" s="199" t="s">
        <v>1363</v>
      </c>
      <c r="F128" s="197" t="s">
        <v>1380</v>
      </c>
      <c r="G128" s="197" t="s">
        <v>1468</v>
      </c>
      <c r="H128" s="443">
        <v>13572.01</v>
      </c>
      <c r="I128" s="444">
        <v>13572.01</v>
      </c>
      <c r="J128" s="198" t="s">
        <v>1397</v>
      </c>
      <c r="K128" s="197" t="s">
        <v>1079</v>
      </c>
      <c r="L128" s="197" t="s">
        <v>1034</v>
      </c>
      <c r="M128" s="197" t="s">
        <v>1318</v>
      </c>
      <c r="N128" s="567">
        <v>45162</v>
      </c>
      <c r="O128" s="197" t="s">
        <v>1393</v>
      </c>
    </row>
    <row r="129" spans="1:15" s="200" customFormat="1" ht="8.1" customHeight="1" x14ac:dyDescent="0.25">
      <c r="A129" s="197" t="s">
        <v>2559</v>
      </c>
      <c r="B129" s="197" t="s">
        <v>1472</v>
      </c>
      <c r="C129" s="197" t="s">
        <v>1473</v>
      </c>
      <c r="D129" s="197" t="s">
        <v>1036</v>
      </c>
      <c r="E129" s="387" t="s">
        <v>1363</v>
      </c>
      <c r="F129" s="197" t="s">
        <v>1380</v>
      </c>
      <c r="G129" s="197" t="s">
        <v>1474</v>
      </c>
      <c r="H129" s="443">
        <v>386.92</v>
      </c>
      <c r="I129" s="444">
        <v>386.92</v>
      </c>
      <c r="J129" s="198" t="s">
        <v>1397</v>
      </c>
      <c r="K129" s="197" t="s">
        <v>1079</v>
      </c>
      <c r="L129" s="197" t="s">
        <v>1034</v>
      </c>
      <c r="M129" s="197" t="s">
        <v>1318</v>
      </c>
      <c r="N129" s="567">
        <v>45163</v>
      </c>
      <c r="O129" s="197" t="s">
        <v>1475</v>
      </c>
    </row>
    <row r="130" spans="1:15" s="200" customFormat="1" ht="8.1" customHeight="1" x14ac:dyDescent="0.25">
      <c r="A130" s="197" t="s">
        <v>2560</v>
      </c>
      <c r="B130" s="197" t="s">
        <v>1476</v>
      </c>
      <c r="C130" s="197" t="s">
        <v>1477</v>
      </c>
      <c r="D130" s="197" t="s">
        <v>1478</v>
      </c>
      <c r="E130" s="387" t="s">
        <v>1363</v>
      </c>
      <c r="F130" s="446" t="s">
        <v>1380</v>
      </c>
      <c r="G130" s="197" t="s">
        <v>1479</v>
      </c>
      <c r="H130" s="443">
        <v>4197.72</v>
      </c>
      <c r="I130" s="444">
        <v>4197.72</v>
      </c>
      <c r="J130" s="198" t="s">
        <v>1397</v>
      </c>
      <c r="K130" s="197" t="s">
        <v>1079</v>
      </c>
      <c r="L130" s="197" t="s">
        <v>1034</v>
      </c>
      <c r="M130" s="197" t="s">
        <v>1318</v>
      </c>
      <c r="N130" s="567">
        <v>45163</v>
      </c>
      <c r="O130" s="197" t="s">
        <v>1471</v>
      </c>
    </row>
    <row r="131" spans="1:15" s="200" customFormat="1" ht="8.1" customHeight="1" x14ac:dyDescent="0.25">
      <c r="A131" s="197" t="s">
        <v>2561</v>
      </c>
      <c r="B131" s="197" t="s">
        <v>1480</v>
      </c>
      <c r="C131" s="197" t="s">
        <v>2249</v>
      </c>
      <c r="D131" s="197" t="s">
        <v>1046</v>
      </c>
      <c r="E131" s="199" t="s">
        <v>1051</v>
      </c>
      <c r="F131" s="442">
        <v>45164.722511574073</v>
      </c>
      <c r="G131" s="467">
        <v>0.72251157407407407</v>
      </c>
      <c r="H131" s="443">
        <v>18737.7</v>
      </c>
      <c r="I131" s="444">
        <v>364</v>
      </c>
      <c r="J131" s="198" t="s">
        <v>3105</v>
      </c>
      <c r="K131" s="197" t="s">
        <v>1481</v>
      </c>
      <c r="L131" s="197" t="s">
        <v>1034</v>
      </c>
      <c r="M131" s="197" t="s">
        <v>1035</v>
      </c>
      <c r="N131" s="567">
        <v>45167</v>
      </c>
      <c r="O131" s="197" t="s">
        <v>1482</v>
      </c>
    </row>
    <row r="132" spans="1:15" s="200" customFormat="1" ht="8.1" customHeight="1" x14ac:dyDescent="0.25">
      <c r="A132" s="197" t="s">
        <v>2562</v>
      </c>
      <c r="B132" s="197" t="s">
        <v>1484</v>
      </c>
      <c r="C132" s="197" t="s">
        <v>2250</v>
      </c>
      <c r="D132" s="197" t="s">
        <v>1098</v>
      </c>
      <c r="E132" s="199" t="s">
        <v>1051</v>
      </c>
      <c r="F132" s="442">
        <v>45170.642129629632</v>
      </c>
      <c r="G132" s="467">
        <v>0.64212962962962961</v>
      </c>
      <c r="H132" s="443">
        <v>9000</v>
      </c>
      <c r="I132" s="444">
        <v>8910</v>
      </c>
      <c r="J132" s="198" t="s">
        <v>3106</v>
      </c>
      <c r="K132" s="197" t="s">
        <v>1485</v>
      </c>
      <c r="L132" s="197" t="s">
        <v>1034</v>
      </c>
      <c r="M132" s="197" t="s">
        <v>1035</v>
      </c>
      <c r="N132" s="567">
        <v>45171</v>
      </c>
      <c r="O132" s="197" t="s">
        <v>1341</v>
      </c>
    </row>
    <row r="133" spans="1:15" s="200" customFormat="1" ht="8.1" customHeight="1" x14ac:dyDescent="0.25">
      <c r="A133" s="197" t="s">
        <v>2563</v>
      </c>
      <c r="B133" s="197" t="s">
        <v>1486</v>
      </c>
      <c r="C133" s="197" t="s">
        <v>1487</v>
      </c>
      <c r="D133" s="197" t="s">
        <v>1488</v>
      </c>
      <c r="E133" s="387" t="s">
        <v>1363</v>
      </c>
      <c r="F133" s="197" t="s">
        <v>1489</v>
      </c>
      <c r="G133" s="197" t="s">
        <v>1490</v>
      </c>
      <c r="H133" s="443">
        <v>3700</v>
      </c>
      <c r="I133" s="444">
        <v>3700</v>
      </c>
      <c r="J133" s="198" t="s">
        <v>1491</v>
      </c>
      <c r="K133" s="197" t="s">
        <v>1492</v>
      </c>
      <c r="L133" s="197" t="s">
        <v>1034</v>
      </c>
      <c r="M133" s="197" t="s">
        <v>1035</v>
      </c>
      <c r="N133" s="567">
        <v>45176</v>
      </c>
      <c r="O133" s="197" t="s">
        <v>1493</v>
      </c>
    </row>
    <row r="134" spans="1:15" s="200" customFormat="1" ht="8.1" customHeight="1" x14ac:dyDescent="0.25">
      <c r="A134" s="197" t="s">
        <v>2564</v>
      </c>
      <c r="B134" s="197" t="s">
        <v>1494</v>
      </c>
      <c r="C134" s="197" t="s">
        <v>2251</v>
      </c>
      <c r="D134" s="197" t="s">
        <v>1055</v>
      </c>
      <c r="E134" s="199" t="s">
        <v>1051</v>
      </c>
      <c r="F134" s="442">
        <v>45182.755729166667</v>
      </c>
      <c r="G134" s="467">
        <v>0.75572916666666667</v>
      </c>
      <c r="H134" s="443">
        <v>5493.7</v>
      </c>
      <c r="I134" s="444">
        <v>900</v>
      </c>
      <c r="J134" s="198" t="s">
        <v>3107</v>
      </c>
      <c r="K134" s="197" t="s">
        <v>1495</v>
      </c>
      <c r="L134" s="197" t="s">
        <v>1034</v>
      </c>
      <c r="M134" s="197" t="s">
        <v>1035</v>
      </c>
      <c r="N134" s="567">
        <v>45183</v>
      </c>
      <c r="O134" s="197" t="s">
        <v>1180</v>
      </c>
    </row>
    <row r="135" spans="1:15" s="200" customFormat="1" ht="8.1" customHeight="1" x14ac:dyDescent="0.25">
      <c r="A135" s="197" t="s">
        <v>2565</v>
      </c>
      <c r="B135" s="197" t="s">
        <v>1497</v>
      </c>
      <c r="C135" s="197" t="s">
        <v>2252</v>
      </c>
      <c r="D135" s="197" t="s">
        <v>1498</v>
      </c>
      <c r="E135" s="199" t="s">
        <v>1051</v>
      </c>
      <c r="F135" s="442">
        <v>45182.659907407404</v>
      </c>
      <c r="G135" s="467">
        <v>0.65990740740740739</v>
      </c>
      <c r="H135" s="443">
        <v>17201.45</v>
      </c>
      <c r="I135" s="444">
        <v>17201.45</v>
      </c>
      <c r="J135" s="198" t="s">
        <v>1397</v>
      </c>
      <c r="K135" s="197" t="s">
        <v>1079</v>
      </c>
      <c r="L135" s="197" t="s">
        <v>1034</v>
      </c>
      <c r="M135" s="197" t="s">
        <v>1318</v>
      </c>
      <c r="N135" s="567">
        <v>45188</v>
      </c>
      <c r="O135" s="197" t="s">
        <v>1499</v>
      </c>
    </row>
    <row r="136" spans="1:15" s="200" customFormat="1" ht="8.1" customHeight="1" x14ac:dyDescent="0.25">
      <c r="A136" s="197" t="s">
        <v>2566</v>
      </c>
      <c r="B136" s="197" t="s">
        <v>1500</v>
      </c>
      <c r="C136" s="197" t="s">
        <v>2253</v>
      </c>
      <c r="D136" s="197" t="s">
        <v>1186</v>
      </c>
      <c r="E136" s="199" t="s">
        <v>1051</v>
      </c>
      <c r="F136" s="442">
        <v>45182.677164351851</v>
      </c>
      <c r="G136" s="467">
        <v>0.67716435185185186</v>
      </c>
      <c r="H136" s="443">
        <v>276.35000000000002</v>
      </c>
      <c r="I136" s="444">
        <v>276.35000000000002</v>
      </c>
      <c r="J136" s="198" t="s">
        <v>1397</v>
      </c>
      <c r="K136" s="197" t="s">
        <v>1079</v>
      </c>
      <c r="L136" s="197" t="s">
        <v>1034</v>
      </c>
      <c r="M136" s="197" t="s">
        <v>1318</v>
      </c>
      <c r="N136" s="567">
        <v>45188</v>
      </c>
      <c r="O136" s="197" t="s">
        <v>1501</v>
      </c>
    </row>
    <row r="137" spans="1:15" s="200" customFormat="1" ht="8.1" customHeight="1" x14ac:dyDescent="0.25">
      <c r="A137" s="197" t="s">
        <v>2567</v>
      </c>
      <c r="B137" s="197" t="s">
        <v>1502</v>
      </c>
      <c r="C137" s="197" t="s">
        <v>2254</v>
      </c>
      <c r="D137" s="197" t="s">
        <v>1061</v>
      </c>
      <c r="E137" s="199" t="s">
        <v>1051</v>
      </c>
      <c r="F137" s="442">
        <v>45189.672777777778</v>
      </c>
      <c r="G137" s="467">
        <v>0.67277777777777781</v>
      </c>
      <c r="H137" s="443">
        <v>7600</v>
      </c>
      <c r="I137" s="444">
        <v>7600</v>
      </c>
      <c r="J137" s="198" t="s">
        <v>1339</v>
      </c>
      <c r="K137" s="197" t="s">
        <v>1340</v>
      </c>
      <c r="L137" s="197" t="s">
        <v>1034</v>
      </c>
      <c r="M137" s="197" t="s">
        <v>1035</v>
      </c>
      <c r="N137" s="567">
        <v>45190</v>
      </c>
      <c r="O137" s="197" t="s">
        <v>1062</v>
      </c>
    </row>
    <row r="138" spans="1:15" s="200" customFormat="1" ht="8.1" customHeight="1" x14ac:dyDescent="0.25">
      <c r="A138" s="197" t="s">
        <v>2568</v>
      </c>
      <c r="B138" s="197" t="s">
        <v>1503</v>
      </c>
      <c r="C138" s="197" t="s">
        <v>2255</v>
      </c>
      <c r="D138" s="197" t="s">
        <v>1050</v>
      </c>
      <c r="E138" s="199" t="s">
        <v>1051</v>
      </c>
      <c r="F138" s="442">
        <v>45189.90079861111</v>
      </c>
      <c r="G138" s="467">
        <v>0.90079861111111104</v>
      </c>
      <c r="H138" s="443">
        <v>9072.18</v>
      </c>
      <c r="I138" s="444">
        <v>8968.06</v>
      </c>
      <c r="J138" s="198" t="s">
        <v>3108</v>
      </c>
      <c r="K138" s="197" t="s">
        <v>1504</v>
      </c>
      <c r="L138" s="197" t="s">
        <v>1034</v>
      </c>
      <c r="M138" s="197" t="s">
        <v>1035</v>
      </c>
      <c r="N138" s="567">
        <v>45191</v>
      </c>
      <c r="O138" s="197" t="s">
        <v>1128</v>
      </c>
    </row>
    <row r="139" spans="1:15" s="200" customFormat="1" ht="8.1" customHeight="1" x14ac:dyDescent="0.25">
      <c r="A139" s="197" t="s">
        <v>2569</v>
      </c>
      <c r="B139" s="197" t="s">
        <v>1505</v>
      </c>
      <c r="C139" s="197" t="s">
        <v>1506</v>
      </c>
      <c r="D139" s="197" t="s">
        <v>1036</v>
      </c>
      <c r="E139" s="199" t="s">
        <v>1363</v>
      </c>
      <c r="F139" s="197" t="s">
        <v>1507</v>
      </c>
      <c r="G139" s="197" t="s">
        <v>1508</v>
      </c>
      <c r="H139" s="443">
        <v>10419.02</v>
      </c>
      <c r="I139" s="444">
        <v>9000</v>
      </c>
      <c r="J139" s="198" t="s">
        <v>3109</v>
      </c>
      <c r="K139" s="197" t="s">
        <v>1509</v>
      </c>
      <c r="L139" s="197" t="s">
        <v>1034</v>
      </c>
      <c r="M139" s="197" t="s">
        <v>1035</v>
      </c>
      <c r="N139" s="567">
        <v>45191</v>
      </c>
      <c r="O139" s="197" t="s">
        <v>1510</v>
      </c>
    </row>
    <row r="140" spans="1:15" s="200" customFormat="1" ht="8.1" customHeight="1" x14ac:dyDescent="0.25">
      <c r="A140" s="197" t="s">
        <v>2570</v>
      </c>
      <c r="B140" s="197" t="s">
        <v>1511</v>
      </c>
      <c r="C140" s="197" t="s">
        <v>2256</v>
      </c>
      <c r="D140" s="197" t="s">
        <v>1046</v>
      </c>
      <c r="E140" s="199" t="s">
        <v>1051</v>
      </c>
      <c r="F140" s="442">
        <v>45182.576909722222</v>
      </c>
      <c r="G140" s="467">
        <v>0.57690972222222225</v>
      </c>
      <c r="H140" s="443">
        <v>6426.63</v>
      </c>
      <c r="I140" s="444">
        <v>6426.63</v>
      </c>
      <c r="J140" s="198" t="s">
        <v>1397</v>
      </c>
      <c r="K140" s="197" t="s">
        <v>1079</v>
      </c>
      <c r="L140" s="197" t="s">
        <v>1034</v>
      </c>
      <c r="M140" s="197" t="s">
        <v>1318</v>
      </c>
      <c r="N140" s="567">
        <v>45191</v>
      </c>
      <c r="O140" s="197" t="s">
        <v>1512</v>
      </c>
    </row>
    <row r="141" spans="1:15" s="200" customFormat="1" ht="8.1" customHeight="1" x14ac:dyDescent="0.25">
      <c r="A141" s="197" t="s">
        <v>2571</v>
      </c>
      <c r="B141" s="197" t="s">
        <v>1513</v>
      </c>
      <c r="C141" s="197" t="s">
        <v>2257</v>
      </c>
      <c r="D141" s="197" t="s">
        <v>1089</v>
      </c>
      <c r="E141" s="199" t="s">
        <v>1051</v>
      </c>
      <c r="F141" s="442">
        <v>45191.657430555555</v>
      </c>
      <c r="G141" s="467">
        <v>0.65743055555555563</v>
      </c>
      <c r="H141" s="443">
        <v>13125.72</v>
      </c>
      <c r="I141" s="444">
        <v>3920.58</v>
      </c>
      <c r="J141" s="198" t="s">
        <v>3110</v>
      </c>
      <c r="K141" s="197" t="s">
        <v>1514</v>
      </c>
      <c r="L141" s="197" t="s">
        <v>1034</v>
      </c>
      <c r="M141" s="197" t="s">
        <v>1035</v>
      </c>
      <c r="N141" s="567">
        <v>45192</v>
      </c>
      <c r="O141" s="197" t="s">
        <v>1515</v>
      </c>
    </row>
    <row r="142" spans="1:15" s="200" customFormat="1" ht="8.1" customHeight="1" x14ac:dyDescent="0.25">
      <c r="A142" s="197" t="s">
        <v>2572</v>
      </c>
      <c r="B142" s="197" t="s">
        <v>1516</v>
      </c>
      <c r="C142" s="197" t="s">
        <v>2258</v>
      </c>
      <c r="D142" s="197" t="s">
        <v>1165</v>
      </c>
      <c r="E142" s="199" t="s">
        <v>1051</v>
      </c>
      <c r="F142" s="442">
        <v>45192.619930555556</v>
      </c>
      <c r="G142" s="467">
        <v>0.61993055555555554</v>
      </c>
      <c r="H142" s="443">
        <v>9933.33</v>
      </c>
      <c r="I142" s="444">
        <v>4000</v>
      </c>
      <c r="J142" s="198" t="s">
        <v>3111</v>
      </c>
      <c r="K142" s="197" t="s">
        <v>1517</v>
      </c>
      <c r="L142" s="197" t="s">
        <v>1034</v>
      </c>
      <c r="M142" s="197" t="s">
        <v>1035</v>
      </c>
      <c r="N142" s="567">
        <v>45194</v>
      </c>
      <c r="O142" s="197" t="s">
        <v>1518</v>
      </c>
    </row>
    <row r="143" spans="1:15" s="200" customFormat="1" ht="8.1" customHeight="1" x14ac:dyDescent="0.25">
      <c r="A143" s="197" t="s">
        <v>2573</v>
      </c>
      <c r="B143" s="197" t="s">
        <v>1519</v>
      </c>
      <c r="C143" s="197" t="s">
        <v>2259</v>
      </c>
      <c r="D143" s="197" t="s">
        <v>1046</v>
      </c>
      <c r="E143" s="199" t="s">
        <v>1051</v>
      </c>
      <c r="F143" s="442">
        <v>45192.632673611108</v>
      </c>
      <c r="G143" s="467">
        <v>0.63267361111111109</v>
      </c>
      <c r="H143" s="443">
        <v>17721.78</v>
      </c>
      <c r="I143" s="444">
        <v>15027.749999999998</v>
      </c>
      <c r="J143" s="198" t="s">
        <v>3112</v>
      </c>
      <c r="K143" s="197" t="s">
        <v>1520</v>
      </c>
      <c r="L143" s="197" t="s">
        <v>1034</v>
      </c>
      <c r="M143" s="197" t="s">
        <v>1035</v>
      </c>
      <c r="N143" s="567">
        <v>45194</v>
      </c>
      <c r="O143" s="197" t="s">
        <v>1062</v>
      </c>
    </row>
    <row r="144" spans="1:15" s="200" customFormat="1" ht="8.1" customHeight="1" x14ac:dyDescent="0.25">
      <c r="A144" s="197" t="s">
        <v>2574</v>
      </c>
      <c r="B144" s="197" t="s">
        <v>1521</v>
      </c>
      <c r="C144" s="197" t="s">
        <v>2260</v>
      </c>
      <c r="D144" s="197" t="s">
        <v>1046</v>
      </c>
      <c r="E144" s="199" t="s">
        <v>1051</v>
      </c>
      <c r="F144" s="442">
        <v>45196.706689814811</v>
      </c>
      <c r="G144" s="467">
        <v>0.70668981481481474</v>
      </c>
      <c r="H144" s="443">
        <v>17451.28</v>
      </c>
      <c r="I144" s="444">
        <v>7003.79</v>
      </c>
      <c r="J144" s="198" t="s">
        <v>3113</v>
      </c>
      <c r="K144" s="197" t="s">
        <v>1522</v>
      </c>
      <c r="L144" s="197" t="s">
        <v>1034</v>
      </c>
      <c r="M144" s="197" t="s">
        <v>1035</v>
      </c>
      <c r="N144" s="567">
        <v>45197</v>
      </c>
      <c r="O144" s="197" t="s">
        <v>1142</v>
      </c>
    </row>
    <row r="145" spans="1:15" s="200" customFormat="1" ht="8.1" customHeight="1" x14ac:dyDescent="0.25">
      <c r="A145" s="197" t="s">
        <v>2575</v>
      </c>
      <c r="B145" s="197" t="s">
        <v>1523</v>
      </c>
      <c r="C145" s="197" t="s">
        <v>2261</v>
      </c>
      <c r="D145" s="197" t="s">
        <v>1050</v>
      </c>
      <c r="E145" s="199" t="s">
        <v>1051</v>
      </c>
      <c r="F145" s="442">
        <v>45197.619826388887</v>
      </c>
      <c r="G145" s="467">
        <v>0.61982638888888886</v>
      </c>
      <c r="H145" s="443">
        <v>364.41</v>
      </c>
      <c r="I145" s="444">
        <v>328</v>
      </c>
      <c r="J145" s="198" t="s">
        <v>3114</v>
      </c>
      <c r="K145" s="197" t="s">
        <v>1524</v>
      </c>
      <c r="L145" s="197" t="s">
        <v>1034</v>
      </c>
      <c r="M145" s="197" t="s">
        <v>1035</v>
      </c>
      <c r="N145" s="567">
        <v>45198</v>
      </c>
      <c r="O145" s="197" t="s">
        <v>1215</v>
      </c>
    </row>
    <row r="146" spans="1:15" s="200" customFormat="1" ht="8.1" customHeight="1" x14ac:dyDescent="0.25">
      <c r="A146" s="197" t="s">
        <v>2576</v>
      </c>
      <c r="B146" s="197" t="s">
        <v>2262</v>
      </c>
      <c r="C146" s="197" t="s">
        <v>2263</v>
      </c>
      <c r="D146" s="197" t="s">
        <v>1046</v>
      </c>
      <c r="E146" s="199" t="s">
        <v>1051</v>
      </c>
      <c r="F146" s="442">
        <v>45203.670057870368</v>
      </c>
      <c r="G146" s="467">
        <v>0.67005787037037035</v>
      </c>
      <c r="H146" s="443">
        <v>8653.91</v>
      </c>
      <c r="I146" s="444">
        <v>3009.83</v>
      </c>
      <c r="J146" s="198" t="s">
        <v>3115</v>
      </c>
      <c r="K146" s="197" t="s">
        <v>2264</v>
      </c>
      <c r="L146" s="197" t="s">
        <v>1034</v>
      </c>
      <c r="M146" s="197" t="s">
        <v>1035</v>
      </c>
      <c r="N146" s="567">
        <v>45204</v>
      </c>
      <c r="O146" s="197" t="s">
        <v>1142</v>
      </c>
    </row>
    <row r="147" spans="1:15" s="200" customFormat="1" ht="8.1" customHeight="1" x14ac:dyDescent="0.25">
      <c r="A147" s="197" t="s">
        <v>2577</v>
      </c>
      <c r="B147" s="197" t="s">
        <v>2265</v>
      </c>
      <c r="C147" s="197" t="s">
        <v>2266</v>
      </c>
      <c r="D147" s="197" t="s">
        <v>1186</v>
      </c>
      <c r="E147" s="199" t="s">
        <v>1051</v>
      </c>
      <c r="F147" s="442">
        <v>45204.666388888887</v>
      </c>
      <c r="G147" s="467">
        <v>0.66638888888888892</v>
      </c>
      <c r="H147" s="443">
        <v>3161.98</v>
      </c>
      <c r="I147" s="444">
        <v>1800</v>
      </c>
      <c r="J147" s="198" t="s">
        <v>3116</v>
      </c>
      <c r="K147" s="197" t="s">
        <v>2267</v>
      </c>
      <c r="L147" s="197" t="s">
        <v>1034</v>
      </c>
      <c r="M147" s="197" t="s">
        <v>1035</v>
      </c>
      <c r="N147" s="567">
        <v>45205</v>
      </c>
      <c r="O147" s="197" t="s">
        <v>1461</v>
      </c>
    </row>
    <row r="148" spans="1:15" s="200" customFormat="1" ht="8.1" customHeight="1" x14ac:dyDescent="0.25">
      <c r="A148" s="197" t="s">
        <v>2578</v>
      </c>
      <c r="B148" s="197" t="s">
        <v>2268</v>
      </c>
      <c r="C148" s="197" t="s">
        <v>2269</v>
      </c>
      <c r="D148" s="197" t="s">
        <v>1089</v>
      </c>
      <c r="E148" s="199" t="s">
        <v>1051</v>
      </c>
      <c r="F148" s="442">
        <v>45211.822152777779</v>
      </c>
      <c r="G148" s="467">
        <v>0.82215277777777773</v>
      </c>
      <c r="H148" s="443">
        <v>12942.64</v>
      </c>
      <c r="I148" s="444">
        <v>6228.86</v>
      </c>
      <c r="J148" s="198" t="s">
        <v>3117</v>
      </c>
      <c r="K148" s="197" t="s">
        <v>2270</v>
      </c>
      <c r="L148" s="197" t="s">
        <v>1034</v>
      </c>
      <c r="M148" s="197" t="s">
        <v>1035</v>
      </c>
      <c r="N148" s="567">
        <v>45212</v>
      </c>
      <c r="O148" s="197" t="s">
        <v>2271</v>
      </c>
    </row>
    <row r="149" spans="1:15" s="200" customFormat="1" ht="8.1" customHeight="1" x14ac:dyDescent="0.25">
      <c r="A149" s="197" t="s">
        <v>2579</v>
      </c>
      <c r="B149" s="197" t="s">
        <v>2272</v>
      </c>
      <c r="C149" s="197" t="s">
        <v>2273</v>
      </c>
      <c r="D149" s="197" t="s">
        <v>1050</v>
      </c>
      <c r="E149" s="199" t="s">
        <v>1051</v>
      </c>
      <c r="F149" s="442">
        <v>45182.676111111112</v>
      </c>
      <c r="G149" s="467">
        <v>0.67611111111111111</v>
      </c>
      <c r="H149" s="443">
        <v>315.16000000000003</v>
      </c>
      <c r="I149" s="444">
        <v>315.16000000000003</v>
      </c>
      <c r="J149" s="198" t="s">
        <v>1397</v>
      </c>
      <c r="K149" s="197" t="s">
        <v>1079</v>
      </c>
      <c r="L149" s="197" t="s">
        <v>1034</v>
      </c>
      <c r="M149" s="197" t="s">
        <v>1318</v>
      </c>
      <c r="N149" s="199" t="s">
        <v>2274</v>
      </c>
      <c r="O149" s="197" t="s">
        <v>2275</v>
      </c>
    </row>
    <row r="150" spans="1:15" s="200" customFormat="1" ht="8.1" customHeight="1" x14ac:dyDescent="0.25">
      <c r="A150" s="199" t="s">
        <v>2580</v>
      </c>
      <c r="B150" s="197" t="s">
        <v>1525</v>
      </c>
      <c r="C150" s="197" t="s">
        <v>1526</v>
      </c>
      <c r="D150" s="197" t="s">
        <v>1050</v>
      </c>
      <c r="E150" s="199" t="s">
        <v>1051</v>
      </c>
      <c r="F150" s="442">
        <v>45220.898472222223</v>
      </c>
      <c r="G150" s="467">
        <v>0.89847222222222223</v>
      </c>
      <c r="H150" s="443">
        <v>3565.95</v>
      </c>
      <c r="I150" s="444">
        <v>1000</v>
      </c>
      <c r="J150" s="198" t="s">
        <v>3118</v>
      </c>
      <c r="K150" s="197" t="s">
        <v>1527</v>
      </c>
      <c r="L150" s="197" t="s">
        <v>1034</v>
      </c>
      <c r="M150" s="197" t="s">
        <v>1035</v>
      </c>
      <c r="N150" s="567">
        <v>45223</v>
      </c>
      <c r="O150" s="197" t="s">
        <v>1068</v>
      </c>
    </row>
    <row r="151" spans="1:15" s="200" customFormat="1" ht="8.1" customHeight="1" x14ac:dyDescent="0.25">
      <c r="A151" s="199" t="s">
        <v>2581</v>
      </c>
      <c r="B151" s="197" t="s">
        <v>1528</v>
      </c>
      <c r="C151" s="197" t="s">
        <v>1529</v>
      </c>
      <c r="D151" s="197" t="s">
        <v>1061</v>
      </c>
      <c r="E151" s="199" t="s">
        <v>1051</v>
      </c>
      <c r="F151" s="442">
        <v>45210.652465277781</v>
      </c>
      <c r="G151" s="467">
        <v>0.65246527777777774</v>
      </c>
      <c r="H151" s="443">
        <v>11072.97</v>
      </c>
      <c r="I151" s="444">
        <v>9847.2599999999984</v>
      </c>
      <c r="J151" s="198" t="s">
        <v>3119</v>
      </c>
      <c r="K151" s="197" t="s">
        <v>1530</v>
      </c>
      <c r="L151" s="197" t="s">
        <v>1034</v>
      </c>
      <c r="M151" s="197" t="s">
        <v>1035</v>
      </c>
      <c r="N151" s="567">
        <v>45225</v>
      </c>
      <c r="O151" s="197" t="s">
        <v>1062</v>
      </c>
    </row>
    <row r="152" spans="1:15" s="200" customFormat="1" ht="8.1" customHeight="1" x14ac:dyDescent="0.25">
      <c r="A152" s="199" t="s">
        <v>2582</v>
      </c>
      <c r="B152" s="197" t="s">
        <v>1532</v>
      </c>
      <c r="C152" s="197" t="s">
        <v>1533</v>
      </c>
      <c r="D152" s="197" t="s">
        <v>1089</v>
      </c>
      <c r="E152" s="199" t="s">
        <v>1051</v>
      </c>
      <c r="F152" s="442">
        <v>45226</v>
      </c>
      <c r="G152" s="467">
        <v>0.66942129629629632</v>
      </c>
      <c r="H152" s="443">
        <v>16687.57</v>
      </c>
      <c r="I152" s="444">
        <v>4000</v>
      </c>
      <c r="J152" s="198" t="s">
        <v>3120</v>
      </c>
      <c r="K152" s="197" t="s">
        <v>1534</v>
      </c>
      <c r="L152" s="197" t="s">
        <v>1034</v>
      </c>
      <c r="M152" s="197" t="s">
        <v>1035</v>
      </c>
      <c r="N152" s="567">
        <v>45227</v>
      </c>
      <c r="O152" s="197" t="s">
        <v>1515</v>
      </c>
    </row>
    <row r="153" spans="1:15" s="200" customFormat="1" ht="8.1" customHeight="1" x14ac:dyDescent="0.25">
      <c r="A153" s="199" t="s">
        <v>2583</v>
      </c>
      <c r="B153" s="197" t="s">
        <v>1535</v>
      </c>
      <c r="C153" s="197" t="s">
        <v>2276</v>
      </c>
      <c r="D153" s="197" t="s">
        <v>1536</v>
      </c>
      <c r="E153" s="199" t="s">
        <v>1051</v>
      </c>
      <c r="F153" s="442">
        <v>45245.601909722223</v>
      </c>
      <c r="G153" s="473">
        <v>0.60190972222222217</v>
      </c>
      <c r="H153" s="443">
        <v>8000</v>
      </c>
      <c r="I153" s="444">
        <v>8000</v>
      </c>
      <c r="J153" s="198" t="s">
        <v>1002</v>
      </c>
      <c r="K153" s="455" t="s">
        <v>1537</v>
      </c>
      <c r="L153" s="197" t="s">
        <v>1037</v>
      </c>
      <c r="M153" s="197" t="s">
        <v>1354</v>
      </c>
      <c r="N153" s="567">
        <v>45251</v>
      </c>
      <c r="O153" s="197" t="s">
        <v>1456</v>
      </c>
    </row>
    <row r="154" spans="1:15" s="200" customFormat="1" ht="8.1" customHeight="1" x14ac:dyDescent="0.25">
      <c r="A154" s="199" t="s">
        <v>2584</v>
      </c>
      <c r="B154" s="197" t="s">
        <v>1538</v>
      </c>
      <c r="C154" s="197" t="s">
        <v>2277</v>
      </c>
      <c r="D154" s="197" t="s">
        <v>1050</v>
      </c>
      <c r="E154" s="199" t="s">
        <v>1051</v>
      </c>
      <c r="F154" s="442">
        <v>45237.748703703706</v>
      </c>
      <c r="G154" s="473">
        <v>0.74870370370370365</v>
      </c>
      <c r="H154" s="443">
        <v>16998.32</v>
      </c>
      <c r="I154" s="444">
        <v>16998.32</v>
      </c>
      <c r="J154" s="198" t="s">
        <v>1397</v>
      </c>
      <c r="K154" s="197" t="s">
        <v>1079</v>
      </c>
      <c r="L154" s="197" t="s">
        <v>1034</v>
      </c>
      <c r="M154" s="197" t="s">
        <v>1318</v>
      </c>
      <c r="N154" s="567">
        <v>45252</v>
      </c>
      <c r="O154" s="197" t="s">
        <v>1539</v>
      </c>
    </row>
    <row r="155" spans="1:15" s="200" customFormat="1" ht="8.1" customHeight="1" x14ac:dyDescent="0.25">
      <c r="A155" s="199" t="s">
        <v>2585</v>
      </c>
      <c r="B155" s="197" t="s">
        <v>1540</v>
      </c>
      <c r="C155" s="197" t="s">
        <v>2278</v>
      </c>
      <c r="D155" s="197" t="s">
        <v>1050</v>
      </c>
      <c r="E155" s="382" t="s">
        <v>1051</v>
      </c>
      <c r="F155" s="442">
        <v>45251.603298611109</v>
      </c>
      <c r="G155" s="473">
        <v>0.60329861111111105</v>
      </c>
      <c r="H155" s="443">
        <v>10362.86</v>
      </c>
      <c r="I155" s="444">
        <v>10362.86</v>
      </c>
      <c r="J155" s="198" t="s">
        <v>1002</v>
      </c>
      <c r="K155" s="455" t="s">
        <v>1541</v>
      </c>
      <c r="L155" s="197" t="s">
        <v>1037</v>
      </c>
      <c r="M155" s="197" t="s">
        <v>1354</v>
      </c>
      <c r="N155" s="567">
        <v>45253</v>
      </c>
      <c r="O155" s="197" t="s">
        <v>1120</v>
      </c>
    </row>
    <row r="156" spans="1:15" s="200" customFormat="1" ht="8.1" customHeight="1" x14ac:dyDescent="0.25">
      <c r="A156" s="199" t="s">
        <v>2586</v>
      </c>
      <c r="B156" s="197" t="s">
        <v>1542</v>
      </c>
      <c r="C156" s="197" t="s">
        <v>2279</v>
      </c>
      <c r="D156" s="197" t="s">
        <v>1061</v>
      </c>
      <c r="E156" s="382" t="s">
        <v>1051</v>
      </c>
      <c r="F156" s="442">
        <v>45251.766770833332</v>
      </c>
      <c r="G156" s="473">
        <v>0.76677083333333329</v>
      </c>
      <c r="H156" s="456">
        <v>25970</v>
      </c>
      <c r="I156" s="457">
        <v>25710.3</v>
      </c>
      <c r="J156" s="198" t="s">
        <v>3121</v>
      </c>
      <c r="K156" s="197" t="s">
        <v>1543</v>
      </c>
      <c r="L156" s="197" t="s">
        <v>1034</v>
      </c>
      <c r="M156" s="197" t="s">
        <v>1544</v>
      </c>
      <c r="N156" s="567">
        <v>45255</v>
      </c>
      <c r="O156" s="197" t="s">
        <v>1062</v>
      </c>
    </row>
    <row r="157" spans="1:15" s="200" customFormat="1" ht="8.1" customHeight="1" x14ac:dyDescent="0.25">
      <c r="A157" s="199" t="s">
        <v>2587</v>
      </c>
      <c r="B157" s="197" t="s">
        <v>1545</v>
      </c>
      <c r="C157" s="197" t="s">
        <v>2280</v>
      </c>
      <c r="D157" s="197" t="s">
        <v>1546</v>
      </c>
      <c r="E157" s="382" t="s">
        <v>1051</v>
      </c>
      <c r="F157" s="442">
        <v>45258.634097222224</v>
      </c>
      <c r="G157" s="473">
        <v>0.6340972222222222</v>
      </c>
      <c r="H157" s="456">
        <v>32028.91</v>
      </c>
      <c r="I157" s="457">
        <v>9000</v>
      </c>
      <c r="J157" s="198" t="s">
        <v>3122</v>
      </c>
      <c r="K157" s="197" t="s">
        <v>1547</v>
      </c>
      <c r="L157" s="197" t="s">
        <v>1034</v>
      </c>
      <c r="M157" s="197" t="s">
        <v>1544</v>
      </c>
      <c r="N157" s="567">
        <v>45259</v>
      </c>
      <c r="O157" s="197" t="s">
        <v>1149</v>
      </c>
    </row>
    <row r="158" spans="1:15" s="200" customFormat="1" ht="8.1" customHeight="1" x14ac:dyDescent="0.25">
      <c r="A158" s="199" t="s">
        <v>2588</v>
      </c>
      <c r="B158" s="197" t="s">
        <v>1548</v>
      </c>
      <c r="C158" s="197" t="s">
        <v>2281</v>
      </c>
      <c r="D158" s="197" t="s">
        <v>1089</v>
      </c>
      <c r="E158" s="382" t="s">
        <v>1051</v>
      </c>
      <c r="F158" s="442">
        <v>45247.687268518515</v>
      </c>
      <c r="G158" s="473">
        <v>0.68726851851851845</v>
      </c>
      <c r="H158" s="456">
        <v>2204.63</v>
      </c>
      <c r="I158" s="457">
        <v>2204.63</v>
      </c>
      <c r="J158" s="198" t="s">
        <v>1397</v>
      </c>
      <c r="K158" s="197" t="s">
        <v>1079</v>
      </c>
      <c r="L158" s="197" t="s">
        <v>1034</v>
      </c>
      <c r="M158" s="197" t="s">
        <v>1318</v>
      </c>
      <c r="N158" s="567">
        <v>45260</v>
      </c>
      <c r="O158" s="197" t="s">
        <v>1549</v>
      </c>
    </row>
    <row r="159" spans="1:15" s="200" customFormat="1" ht="8.1" customHeight="1" x14ac:dyDescent="0.25">
      <c r="A159" s="199" t="s">
        <v>2589</v>
      </c>
      <c r="B159" s="197" t="s">
        <v>1550</v>
      </c>
      <c r="C159" s="197" t="s">
        <v>2282</v>
      </c>
      <c r="D159" s="197" t="s">
        <v>1050</v>
      </c>
      <c r="E159" s="382" t="s">
        <v>1051</v>
      </c>
      <c r="F159" s="442">
        <v>45254.660405092596</v>
      </c>
      <c r="G159" s="467">
        <v>0.66040509259259261</v>
      </c>
      <c r="H159" s="456">
        <v>13978.07</v>
      </c>
      <c r="I159" s="457">
        <v>13978.07</v>
      </c>
      <c r="J159" s="198" t="s">
        <v>1002</v>
      </c>
      <c r="K159" s="455" t="s">
        <v>1551</v>
      </c>
      <c r="L159" s="197" t="s">
        <v>1037</v>
      </c>
      <c r="M159" s="197" t="s">
        <v>1354</v>
      </c>
      <c r="N159" s="567">
        <v>45260</v>
      </c>
      <c r="O159" s="197" t="s">
        <v>1552</v>
      </c>
    </row>
    <row r="160" spans="1:15" s="200" customFormat="1" ht="8.1" customHeight="1" x14ac:dyDescent="0.25">
      <c r="A160" s="199" t="s">
        <v>2590</v>
      </c>
      <c r="B160" s="197" t="s">
        <v>1553</v>
      </c>
      <c r="C160" s="197" t="s">
        <v>2283</v>
      </c>
      <c r="D160" s="197" t="s">
        <v>1055</v>
      </c>
      <c r="E160" s="199" t="s">
        <v>1051</v>
      </c>
      <c r="F160" s="442">
        <v>45259.68074074074</v>
      </c>
      <c r="G160" s="473">
        <v>0.68074074074074076</v>
      </c>
      <c r="H160" s="443">
        <v>13846.5</v>
      </c>
      <c r="I160" s="444">
        <v>13846.5</v>
      </c>
      <c r="J160" s="198" t="s">
        <v>1002</v>
      </c>
      <c r="K160" s="455" t="s">
        <v>1554</v>
      </c>
      <c r="L160" s="197" t="s">
        <v>1037</v>
      </c>
      <c r="M160" s="197" t="s">
        <v>1354</v>
      </c>
      <c r="N160" s="567">
        <v>45261</v>
      </c>
      <c r="O160" s="197" t="s">
        <v>1555</v>
      </c>
    </row>
    <row r="161" spans="1:15" s="200" customFormat="1" ht="8.1" customHeight="1" x14ac:dyDescent="0.25">
      <c r="A161" s="199" t="s">
        <v>2591</v>
      </c>
      <c r="B161" s="197" t="s">
        <v>1556</v>
      </c>
      <c r="C161" s="197" t="s">
        <v>2284</v>
      </c>
      <c r="D161" s="199" t="s">
        <v>1098</v>
      </c>
      <c r="E161" s="199" t="s">
        <v>1051</v>
      </c>
      <c r="F161" s="442">
        <v>45248.700798611113</v>
      </c>
      <c r="G161" s="473">
        <v>0.70079861111111119</v>
      </c>
      <c r="H161" s="443">
        <v>4282.54</v>
      </c>
      <c r="I161" s="444">
        <v>4282.54</v>
      </c>
      <c r="J161" s="198" t="s">
        <v>1002</v>
      </c>
      <c r="K161" s="455" t="s">
        <v>1557</v>
      </c>
      <c r="L161" s="197" t="s">
        <v>1037</v>
      </c>
      <c r="M161" s="197" t="s">
        <v>1354</v>
      </c>
      <c r="N161" s="567">
        <v>45261</v>
      </c>
      <c r="O161" s="197" t="s">
        <v>1300</v>
      </c>
    </row>
    <row r="162" spans="1:15" s="200" customFormat="1" ht="8.1" customHeight="1" x14ac:dyDescent="0.25">
      <c r="A162" s="199" t="s">
        <v>2592</v>
      </c>
      <c r="B162" s="197" t="s">
        <v>1558</v>
      </c>
      <c r="C162" s="197" t="s">
        <v>2285</v>
      </c>
      <c r="D162" s="199" t="s">
        <v>1050</v>
      </c>
      <c r="E162" s="199" t="s">
        <v>1051</v>
      </c>
      <c r="F162" s="442">
        <v>45260.928657407407</v>
      </c>
      <c r="G162" s="467">
        <v>0.92865740740740732</v>
      </c>
      <c r="H162" s="443">
        <v>29370.97</v>
      </c>
      <c r="I162" s="457">
        <v>5000</v>
      </c>
      <c r="J162" s="198" t="s">
        <v>3123</v>
      </c>
      <c r="K162" s="197" t="s">
        <v>1559</v>
      </c>
      <c r="L162" s="197" t="s">
        <v>1034</v>
      </c>
      <c r="M162" s="197" t="s">
        <v>1544</v>
      </c>
      <c r="N162" s="567">
        <v>45261</v>
      </c>
      <c r="O162" s="197" t="s">
        <v>1560</v>
      </c>
    </row>
    <row r="163" spans="1:15" s="200" customFormat="1" ht="8.1" customHeight="1" x14ac:dyDescent="0.25">
      <c r="A163" s="199" t="s">
        <v>2593</v>
      </c>
      <c r="B163" s="197" t="s">
        <v>2131</v>
      </c>
      <c r="C163" s="197" t="s">
        <v>2286</v>
      </c>
      <c r="D163" s="197" t="s">
        <v>2132</v>
      </c>
      <c r="E163" s="199" t="s">
        <v>1051</v>
      </c>
      <c r="F163" s="442">
        <v>45261.655532407407</v>
      </c>
      <c r="G163" s="467">
        <v>0.65553240740740748</v>
      </c>
      <c r="H163" s="456">
        <v>1242.1199999999999</v>
      </c>
      <c r="I163" s="457">
        <v>1242.1199999999999</v>
      </c>
      <c r="J163" s="198" t="s">
        <v>1397</v>
      </c>
      <c r="K163" s="197" t="s">
        <v>1079</v>
      </c>
      <c r="L163" s="197" t="s">
        <v>1034</v>
      </c>
      <c r="M163" s="197" t="s">
        <v>1318</v>
      </c>
      <c r="N163" s="567">
        <v>45266</v>
      </c>
      <c r="O163" s="197" t="s">
        <v>2133</v>
      </c>
    </row>
    <row r="164" spans="1:15" s="200" customFormat="1" ht="8.1" customHeight="1" x14ac:dyDescent="0.25">
      <c r="A164" s="199" t="s">
        <v>2594</v>
      </c>
      <c r="B164" s="197" t="s">
        <v>2135</v>
      </c>
      <c r="C164" s="197" t="s">
        <v>2287</v>
      </c>
      <c r="D164" s="197" t="s">
        <v>1210</v>
      </c>
      <c r="E164" s="382" t="s">
        <v>1051</v>
      </c>
      <c r="F164" s="442">
        <v>45268.517291666663</v>
      </c>
      <c r="G164" s="473">
        <v>0.51729166666666659</v>
      </c>
      <c r="H164" s="443">
        <v>23623.31</v>
      </c>
      <c r="I164" s="444">
        <v>23623.31</v>
      </c>
      <c r="J164" s="198" t="s">
        <v>1397</v>
      </c>
      <c r="K164" s="197" t="s">
        <v>1079</v>
      </c>
      <c r="L164" s="197" t="s">
        <v>1034</v>
      </c>
      <c r="M164" s="197" t="s">
        <v>1318</v>
      </c>
      <c r="N164" s="567">
        <v>45295</v>
      </c>
      <c r="O164" s="197" t="s">
        <v>1211</v>
      </c>
    </row>
    <row r="165" spans="1:15" s="200" customFormat="1" ht="8.1" customHeight="1" x14ac:dyDescent="0.25">
      <c r="A165" s="199" t="s">
        <v>2595</v>
      </c>
      <c r="B165" s="197" t="s">
        <v>2136</v>
      </c>
      <c r="C165" s="197" t="s">
        <v>2288</v>
      </c>
      <c r="D165" s="197" t="s">
        <v>1127</v>
      </c>
      <c r="E165" s="382" t="s">
        <v>1051</v>
      </c>
      <c r="F165" s="442">
        <v>45290.578888888886</v>
      </c>
      <c r="G165" s="467">
        <v>0.5788888888888889</v>
      </c>
      <c r="H165" s="443">
        <v>2439</v>
      </c>
      <c r="I165" s="457">
        <v>2000</v>
      </c>
      <c r="J165" s="198" t="s">
        <v>3124</v>
      </c>
      <c r="K165" s="197" t="s">
        <v>2137</v>
      </c>
      <c r="L165" s="197" t="s">
        <v>1034</v>
      </c>
      <c r="M165" s="197" t="s">
        <v>1544</v>
      </c>
      <c r="N165" s="567">
        <v>45296</v>
      </c>
      <c r="O165" s="197" t="s">
        <v>2138</v>
      </c>
    </row>
    <row r="166" spans="1:15" s="200" customFormat="1" ht="8.1" customHeight="1" x14ac:dyDescent="0.25">
      <c r="A166" s="199" t="s">
        <v>2596</v>
      </c>
      <c r="B166" s="197" t="s">
        <v>2143</v>
      </c>
      <c r="C166" s="197" t="s">
        <v>2289</v>
      </c>
      <c r="D166" s="197" t="s">
        <v>1089</v>
      </c>
      <c r="E166" s="382" t="s">
        <v>1051</v>
      </c>
      <c r="F166" s="442">
        <v>45294.674340277779</v>
      </c>
      <c r="G166" s="473">
        <v>0.67434027777777772</v>
      </c>
      <c r="H166" s="443">
        <v>43263.58</v>
      </c>
      <c r="I166" s="444">
        <v>43263.58</v>
      </c>
      <c r="J166" s="198" t="s">
        <v>1397</v>
      </c>
      <c r="K166" s="197" t="s">
        <v>1079</v>
      </c>
      <c r="L166" s="197" t="s">
        <v>1282</v>
      </c>
      <c r="M166" s="197" t="s">
        <v>1318</v>
      </c>
      <c r="N166" s="567">
        <v>45302</v>
      </c>
      <c r="O166" s="197" t="s">
        <v>2144</v>
      </c>
    </row>
    <row r="167" spans="1:15" s="200" customFormat="1" ht="8.1" customHeight="1" x14ac:dyDescent="0.25">
      <c r="A167" s="199" t="s">
        <v>2597</v>
      </c>
      <c r="B167" s="197" t="s">
        <v>2145</v>
      </c>
      <c r="C167" s="197" t="s">
        <v>2290</v>
      </c>
      <c r="D167" s="197" t="s">
        <v>2146</v>
      </c>
      <c r="E167" s="382" t="s">
        <v>1051</v>
      </c>
      <c r="F167" s="442">
        <v>45290.569722222222</v>
      </c>
      <c r="G167" s="201" t="s">
        <v>2147</v>
      </c>
      <c r="H167" s="443">
        <v>8364.51</v>
      </c>
      <c r="I167" s="444">
        <v>8364.51</v>
      </c>
      <c r="J167" s="198" t="s">
        <v>1397</v>
      </c>
      <c r="K167" s="197" t="s">
        <v>1079</v>
      </c>
      <c r="L167" s="197" t="s">
        <v>1034</v>
      </c>
      <c r="M167" s="197" t="s">
        <v>1318</v>
      </c>
      <c r="N167" s="567">
        <v>45310</v>
      </c>
      <c r="O167" s="197" t="s">
        <v>2148</v>
      </c>
    </row>
    <row r="168" spans="1:15" s="200" customFormat="1" ht="8.1" customHeight="1" x14ac:dyDescent="0.25">
      <c r="A168" s="199" t="s">
        <v>2598</v>
      </c>
      <c r="B168" s="197" t="s">
        <v>2149</v>
      </c>
      <c r="C168" s="197" t="s">
        <v>2291</v>
      </c>
      <c r="D168" s="197" t="s">
        <v>1126</v>
      </c>
      <c r="E168" s="382" t="s">
        <v>1051</v>
      </c>
      <c r="F168" s="442">
        <v>45309.625173611108</v>
      </c>
      <c r="G168" s="473">
        <v>0.62517361111111114</v>
      </c>
      <c r="H168" s="443">
        <v>5548.04</v>
      </c>
      <c r="I168" s="457">
        <v>100</v>
      </c>
      <c r="J168" s="198" t="s">
        <v>3125</v>
      </c>
      <c r="K168" s="197" t="s">
        <v>2150</v>
      </c>
      <c r="L168" s="197" t="s">
        <v>1034</v>
      </c>
      <c r="M168" s="197" t="s">
        <v>1544</v>
      </c>
      <c r="N168" s="567">
        <v>45316</v>
      </c>
      <c r="O168" s="197" t="s">
        <v>2151</v>
      </c>
    </row>
    <row r="169" spans="1:15" s="200" customFormat="1" ht="8.1" customHeight="1" x14ac:dyDescent="0.25">
      <c r="A169" s="199" t="s">
        <v>2599</v>
      </c>
      <c r="B169" s="197" t="s">
        <v>2152</v>
      </c>
      <c r="C169" s="197" t="s">
        <v>2292</v>
      </c>
      <c r="D169" s="197" t="s">
        <v>1046</v>
      </c>
      <c r="E169" s="382" t="s">
        <v>1051</v>
      </c>
      <c r="F169" s="442">
        <v>45314.565752314818</v>
      </c>
      <c r="G169" s="473">
        <v>0.56575231481481481</v>
      </c>
      <c r="H169" s="456">
        <v>19000</v>
      </c>
      <c r="I169" s="457">
        <v>8847.85</v>
      </c>
      <c r="J169" s="198" t="s">
        <v>3126</v>
      </c>
      <c r="K169" s="197" t="s">
        <v>2153</v>
      </c>
      <c r="L169" s="197" t="s">
        <v>1034</v>
      </c>
      <c r="M169" s="197" t="s">
        <v>1544</v>
      </c>
      <c r="N169" s="567">
        <v>45316</v>
      </c>
      <c r="O169" s="197" t="s">
        <v>2154</v>
      </c>
    </row>
    <row r="170" spans="1:15" s="200" customFormat="1" ht="8.1" customHeight="1" x14ac:dyDescent="0.25">
      <c r="A170" s="199" t="s">
        <v>2600</v>
      </c>
      <c r="B170" s="197" t="s">
        <v>2155</v>
      </c>
      <c r="C170" s="197" t="s">
        <v>2293</v>
      </c>
      <c r="D170" s="197" t="s">
        <v>1127</v>
      </c>
      <c r="E170" s="382" t="s">
        <v>1051</v>
      </c>
      <c r="F170" s="442">
        <v>45314.670497685183</v>
      </c>
      <c r="G170" s="473">
        <v>0.67049768518518515</v>
      </c>
      <c r="H170" s="456">
        <v>5008</v>
      </c>
      <c r="I170" s="457">
        <v>908</v>
      </c>
      <c r="J170" s="198" t="s">
        <v>3127</v>
      </c>
      <c r="K170" s="197" t="s">
        <v>2156</v>
      </c>
      <c r="L170" s="197" t="s">
        <v>1034</v>
      </c>
      <c r="M170" s="197" t="s">
        <v>1544</v>
      </c>
      <c r="N170" s="567">
        <v>45317</v>
      </c>
      <c r="O170" s="197" t="s">
        <v>2157</v>
      </c>
    </row>
    <row r="171" spans="1:15" s="200" customFormat="1" ht="8.1" customHeight="1" x14ac:dyDescent="0.25">
      <c r="A171" s="199" t="s">
        <v>2601</v>
      </c>
      <c r="B171" s="197" t="s">
        <v>2158</v>
      </c>
      <c r="C171" s="197" t="s">
        <v>2294</v>
      </c>
      <c r="D171" s="197" t="s">
        <v>1098</v>
      </c>
      <c r="E171" s="382" t="s">
        <v>1051</v>
      </c>
      <c r="F171" s="442">
        <v>45316.695428240739</v>
      </c>
      <c r="G171" s="473">
        <v>0.69542824074074072</v>
      </c>
      <c r="H171" s="456">
        <v>2591.91</v>
      </c>
      <c r="I171" s="457">
        <v>2332</v>
      </c>
      <c r="J171" s="198" t="s">
        <v>3128</v>
      </c>
      <c r="K171" s="197" t="s">
        <v>2159</v>
      </c>
      <c r="L171" s="197" t="s">
        <v>1034</v>
      </c>
      <c r="M171" s="197" t="s">
        <v>1544</v>
      </c>
      <c r="N171" s="567">
        <v>45317</v>
      </c>
      <c r="O171" s="197" t="s">
        <v>2160</v>
      </c>
    </row>
    <row r="172" spans="1:15" s="200" customFormat="1" ht="8.1" customHeight="1" x14ac:dyDescent="0.25">
      <c r="A172" s="199" t="s">
        <v>2602</v>
      </c>
      <c r="B172" s="197" t="s">
        <v>2161</v>
      </c>
      <c r="C172" s="197" t="s">
        <v>2295</v>
      </c>
      <c r="D172" s="197" t="s">
        <v>1098</v>
      </c>
      <c r="E172" s="382" t="s">
        <v>1051</v>
      </c>
      <c r="F172" s="442">
        <v>45318.68891203704</v>
      </c>
      <c r="G172" s="473">
        <v>0.68891203703703707</v>
      </c>
      <c r="H172" s="456">
        <v>6307.92</v>
      </c>
      <c r="I172" s="457">
        <v>5383.97</v>
      </c>
      <c r="J172" s="198" t="s">
        <v>3129</v>
      </c>
      <c r="K172" s="197" t="s">
        <v>2162</v>
      </c>
      <c r="L172" s="197" t="s">
        <v>1034</v>
      </c>
      <c r="M172" s="197" t="s">
        <v>1544</v>
      </c>
      <c r="N172" s="567">
        <v>45320</v>
      </c>
      <c r="O172" s="197" t="s">
        <v>2163</v>
      </c>
    </row>
    <row r="173" spans="1:15" s="200" customFormat="1" ht="8.1" customHeight="1" x14ac:dyDescent="0.25">
      <c r="A173" s="199" t="s">
        <v>2603</v>
      </c>
      <c r="B173" s="197" t="s">
        <v>2164</v>
      </c>
      <c r="C173" s="197" t="s">
        <v>2296</v>
      </c>
      <c r="D173" s="197" t="s">
        <v>2165</v>
      </c>
      <c r="E173" s="382" t="s">
        <v>1051</v>
      </c>
      <c r="F173" s="442">
        <v>45276.68178240741</v>
      </c>
      <c r="G173" s="473">
        <v>0.68178240740740748</v>
      </c>
      <c r="H173" s="443">
        <v>300</v>
      </c>
      <c r="I173" s="444">
        <v>300</v>
      </c>
      <c r="J173" s="198" t="s">
        <v>2166</v>
      </c>
      <c r="K173" s="197" t="s">
        <v>2167</v>
      </c>
      <c r="L173" s="197" t="s">
        <v>1034</v>
      </c>
      <c r="M173" s="197" t="s">
        <v>1035</v>
      </c>
      <c r="N173" s="567">
        <v>45323</v>
      </c>
      <c r="O173" s="197" t="s">
        <v>1095</v>
      </c>
    </row>
    <row r="174" spans="1:15" s="200" customFormat="1" ht="8.1" customHeight="1" x14ac:dyDescent="0.25">
      <c r="A174" s="199" t="s">
        <v>2604</v>
      </c>
      <c r="B174" s="197" t="s">
        <v>2168</v>
      </c>
      <c r="C174" s="197" t="s">
        <v>2297</v>
      </c>
      <c r="D174" s="197" t="s">
        <v>1055</v>
      </c>
      <c r="E174" s="382" t="s">
        <v>1051</v>
      </c>
      <c r="F174" s="442">
        <v>45313.757094907407</v>
      </c>
      <c r="G174" s="473">
        <v>0.75709490740740737</v>
      </c>
      <c r="H174" s="443">
        <v>37537.14</v>
      </c>
      <c r="I174" s="457">
        <v>10000</v>
      </c>
      <c r="J174" s="198" t="s">
        <v>3130</v>
      </c>
      <c r="K174" s="197" t="s">
        <v>2169</v>
      </c>
      <c r="L174" s="197" t="s">
        <v>1034</v>
      </c>
      <c r="M174" s="197" t="s">
        <v>1544</v>
      </c>
      <c r="N174" s="567">
        <v>45323</v>
      </c>
      <c r="O174" s="197" t="s">
        <v>1433</v>
      </c>
    </row>
    <row r="175" spans="1:15" s="200" customFormat="1" ht="8.1" customHeight="1" x14ac:dyDescent="0.25">
      <c r="A175" s="199" t="s">
        <v>2605</v>
      </c>
      <c r="B175" s="197" t="s">
        <v>2179</v>
      </c>
      <c r="C175" s="197" t="s">
        <v>2298</v>
      </c>
      <c r="D175" s="197" t="s">
        <v>1126</v>
      </c>
      <c r="E175" s="199" t="s">
        <v>1051</v>
      </c>
      <c r="F175" s="442">
        <v>45307.843738425923</v>
      </c>
      <c r="G175" s="467">
        <v>0.84373842592592585</v>
      </c>
      <c r="H175" s="456">
        <v>44561.93</v>
      </c>
      <c r="I175" s="457">
        <v>44561.93</v>
      </c>
      <c r="J175" s="198" t="s">
        <v>1397</v>
      </c>
      <c r="K175" s="197" t="s">
        <v>1079</v>
      </c>
      <c r="L175" s="197" t="s">
        <v>1034</v>
      </c>
      <c r="M175" s="197" t="s">
        <v>2180</v>
      </c>
      <c r="N175" s="567">
        <v>45329</v>
      </c>
      <c r="O175" s="197" t="s">
        <v>2181</v>
      </c>
    </row>
    <row r="176" spans="1:15" s="200" customFormat="1" ht="8.1" customHeight="1" x14ac:dyDescent="0.25">
      <c r="A176" s="199" t="s">
        <v>2606</v>
      </c>
      <c r="B176" s="197" t="s">
        <v>2182</v>
      </c>
      <c r="C176" s="197" t="s">
        <v>2183</v>
      </c>
      <c r="D176" s="197" t="s">
        <v>1046</v>
      </c>
      <c r="E176" s="199" t="s">
        <v>1051</v>
      </c>
      <c r="F176" s="442">
        <v>45329.694826388892</v>
      </c>
      <c r="G176" s="467">
        <v>0.69482638888888892</v>
      </c>
      <c r="H176" s="456">
        <v>15905</v>
      </c>
      <c r="I176" s="457">
        <v>3000</v>
      </c>
      <c r="J176" s="198" t="s">
        <v>3131</v>
      </c>
      <c r="K176" s="197" t="s">
        <v>2184</v>
      </c>
      <c r="L176" s="197" t="s">
        <v>1034</v>
      </c>
      <c r="M176" s="197" t="s">
        <v>1544</v>
      </c>
      <c r="N176" s="567">
        <v>45334</v>
      </c>
      <c r="O176" s="197" t="s">
        <v>2185</v>
      </c>
    </row>
    <row r="177" spans="1:15" s="200" customFormat="1" ht="8.1" customHeight="1" x14ac:dyDescent="0.25">
      <c r="A177" s="199" t="s">
        <v>2607</v>
      </c>
      <c r="B177" s="197" t="s">
        <v>2186</v>
      </c>
      <c r="C177" s="197" t="s">
        <v>2187</v>
      </c>
      <c r="D177" s="197" t="s">
        <v>2188</v>
      </c>
      <c r="E177" s="199" t="s">
        <v>1051</v>
      </c>
      <c r="F177" s="442">
        <v>45338.471967592595</v>
      </c>
      <c r="G177" s="473">
        <v>0.47196759259259258</v>
      </c>
      <c r="H177" s="456">
        <v>13316.3</v>
      </c>
      <c r="I177" s="457">
        <v>2000</v>
      </c>
      <c r="J177" s="198" t="s">
        <v>3132</v>
      </c>
      <c r="K177" s="197" t="s">
        <v>2189</v>
      </c>
      <c r="L177" s="197" t="s">
        <v>1034</v>
      </c>
      <c r="M177" s="197" t="s">
        <v>1544</v>
      </c>
      <c r="N177" s="567">
        <v>45344</v>
      </c>
      <c r="O177" s="197" t="s">
        <v>2190</v>
      </c>
    </row>
    <row r="178" spans="1:15" s="200" customFormat="1" ht="8.1" customHeight="1" x14ac:dyDescent="0.25">
      <c r="A178" s="199" t="s">
        <v>2608</v>
      </c>
      <c r="B178" s="197" t="s">
        <v>2191</v>
      </c>
      <c r="C178" s="197" t="s">
        <v>2192</v>
      </c>
      <c r="D178" s="197" t="s">
        <v>1119</v>
      </c>
      <c r="E178" s="382" t="s">
        <v>1051</v>
      </c>
      <c r="F178" s="442">
        <v>45341.683703703704</v>
      </c>
      <c r="G178" s="473">
        <v>0.6837037037037037</v>
      </c>
      <c r="H178" s="456">
        <v>19970</v>
      </c>
      <c r="I178" s="457">
        <v>2999.57</v>
      </c>
      <c r="J178" s="198" t="s">
        <v>3133</v>
      </c>
      <c r="K178" s="197" t="s">
        <v>2193</v>
      </c>
      <c r="L178" s="197" t="s">
        <v>1034</v>
      </c>
      <c r="M178" s="197" t="s">
        <v>1544</v>
      </c>
      <c r="N178" s="567">
        <v>45344</v>
      </c>
      <c r="O178" s="197" t="s">
        <v>2190</v>
      </c>
    </row>
    <row r="179" spans="1:15" s="200" customFormat="1" ht="8.1" customHeight="1" x14ac:dyDescent="0.25">
      <c r="A179" s="199" t="s">
        <v>2609</v>
      </c>
      <c r="B179" s="197" t="s">
        <v>2194</v>
      </c>
      <c r="C179" s="197" t="s">
        <v>2195</v>
      </c>
      <c r="D179" s="197" t="s">
        <v>1098</v>
      </c>
      <c r="E179" s="382" t="s">
        <v>1051</v>
      </c>
      <c r="F179" s="442">
        <v>45326.643472222226</v>
      </c>
      <c r="G179" s="473">
        <v>0.64347222222222222</v>
      </c>
      <c r="H179" s="456">
        <v>13941.17</v>
      </c>
      <c r="I179" s="457">
        <v>13941.17</v>
      </c>
      <c r="J179" s="198" t="s">
        <v>1397</v>
      </c>
      <c r="K179" s="197" t="s">
        <v>1079</v>
      </c>
      <c r="L179" s="197" t="s">
        <v>1034</v>
      </c>
      <c r="M179" s="197" t="s">
        <v>1318</v>
      </c>
      <c r="N179" s="567">
        <v>45345</v>
      </c>
      <c r="O179" s="197" t="s">
        <v>1215</v>
      </c>
    </row>
    <row r="180" spans="1:15" s="200" customFormat="1" ht="8.1" customHeight="1" x14ac:dyDescent="0.25">
      <c r="A180" s="199" t="s">
        <v>2610</v>
      </c>
      <c r="B180" s="197" t="s">
        <v>2196</v>
      </c>
      <c r="C180" s="197" t="s">
        <v>2197</v>
      </c>
      <c r="D180" s="197" t="s">
        <v>2198</v>
      </c>
      <c r="E180" s="382" t="s">
        <v>1051</v>
      </c>
      <c r="F180" s="442">
        <v>45344.74659722222</v>
      </c>
      <c r="G180" s="473">
        <v>0.74659722222222225</v>
      </c>
      <c r="H180" s="456">
        <v>22154.32</v>
      </c>
      <c r="I180" s="457">
        <v>1000</v>
      </c>
      <c r="J180" s="198" t="s">
        <v>3134</v>
      </c>
      <c r="K180" s="197" t="s">
        <v>2199</v>
      </c>
      <c r="L180" s="197" t="s">
        <v>1034</v>
      </c>
      <c r="M180" s="197" t="s">
        <v>1544</v>
      </c>
      <c r="N180" s="567">
        <v>45345</v>
      </c>
      <c r="O180" s="197" t="s">
        <v>2200</v>
      </c>
    </row>
    <row r="181" spans="1:15" s="200" customFormat="1" ht="8.1" customHeight="1" x14ac:dyDescent="0.25">
      <c r="A181" s="199" t="s">
        <v>2611</v>
      </c>
      <c r="B181" s="197" t="s">
        <v>2201</v>
      </c>
      <c r="C181" s="197" t="s">
        <v>2202</v>
      </c>
      <c r="D181" s="197" t="s">
        <v>2203</v>
      </c>
      <c r="E181" s="382" t="s">
        <v>1051</v>
      </c>
      <c r="F181" s="442">
        <v>45343.744039351855</v>
      </c>
      <c r="G181" s="473">
        <v>0.74403935185185188</v>
      </c>
      <c r="H181" s="456">
        <v>24150</v>
      </c>
      <c r="I181" s="457">
        <v>557.08000000000004</v>
      </c>
      <c r="J181" s="198" t="s">
        <v>3135</v>
      </c>
      <c r="K181" s="197" t="s">
        <v>2204</v>
      </c>
      <c r="L181" s="197" t="s">
        <v>1034</v>
      </c>
      <c r="M181" s="197" t="s">
        <v>1544</v>
      </c>
      <c r="N181" s="567">
        <v>45345</v>
      </c>
      <c r="O181" s="197" t="s">
        <v>1470</v>
      </c>
    </row>
    <row r="182" spans="1:15" s="200" customFormat="1" ht="8.1" customHeight="1" x14ac:dyDescent="0.25">
      <c r="A182" s="199" t="s">
        <v>2612</v>
      </c>
      <c r="B182" s="197" t="s">
        <v>2205</v>
      </c>
      <c r="C182" s="197" t="s">
        <v>2206</v>
      </c>
      <c r="D182" s="197" t="s">
        <v>1098</v>
      </c>
      <c r="E182" s="382" t="s">
        <v>1051</v>
      </c>
      <c r="F182" s="442">
        <v>45336.684895833336</v>
      </c>
      <c r="G182" s="473">
        <v>0.68489583333333337</v>
      </c>
      <c r="H182" s="443">
        <v>498</v>
      </c>
      <c r="I182" s="444">
        <v>498</v>
      </c>
      <c r="J182" s="198" t="s">
        <v>1397</v>
      </c>
      <c r="K182" s="197" t="s">
        <v>1079</v>
      </c>
      <c r="L182" s="197" t="s">
        <v>1034</v>
      </c>
      <c r="M182" s="197" t="s">
        <v>1318</v>
      </c>
      <c r="N182" s="567">
        <v>45348</v>
      </c>
      <c r="O182" s="197" t="s">
        <v>2207</v>
      </c>
    </row>
    <row r="183" spans="1:15" s="200" customFormat="1" ht="8.1" customHeight="1" x14ac:dyDescent="0.25">
      <c r="A183" s="199" t="s">
        <v>2613</v>
      </c>
      <c r="B183" s="197" t="s">
        <v>2208</v>
      </c>
      <c r="C183" s="197" t="s">
        <v>2209</v>
      </c>
      <c r="D183" s="197" t="s">
        <v>1165</v>
      </c>
      <c r="E183" s="382" t="s">
        <v>1051</v>
      </c>
      <c r="F183" s="442">
        <v>45350.533425925925</v>
      </c>
      <c r="G183" s="473">
        <v>0.53342592592592586</v>
      </c>
      <c r="H183" s="456">
        <v>16097.15</v>
      </c>
      <c r="I183" s="457">
        <v>6</v>
      </c>
      <c r="J183" s="198" t="s">
        <v>3136</v>
      </c>
      <c r="K183" s="197" t="s">
        <v>2210</v>
      </c>
      <c r="L183" s="197" t="s">
        <v>1034</v>
      </c>
      <c r="M183" s="197" t="s">
        <v>1544</v>
      </c>
      <c r="N183" s="567">
        <v>45351</v>
      </c>
      <c r="O183" s="197" t="s">
        <v>2211</v>
      </c>
    </row>
    <row r="184" spans="1:15" s="200" customFormat="1" ht="8.1" customHeight="1" x14ac:dyDescent="0.25">
      <c r="A184" s="199" t="s">
        <v>2614</v>
      </c>
      <c r="B184" s="197" t="s">
        <v>2212</v>
      </c>
      <c r="C184" s="197" t="s">
        <v>2213</v>
      </c>
      <c r="D184" s="197" t="s">
        <v>1050</v>
      </c>
      <c r="E184" s="382" t="s">
        <v>1051</v>
      </c>
      <c r="F184" s="442">
        <v>45351.656030092592</v>
      </c>
      <c r="G184" s="473">
        <v>0.6560300925925926</v>
      </c>
      <c r="H184" s="456">
        <v>547.5</v>
      </c>
      <c r="I184" s="457">
        <v>300</v>
      </c>
      <c r="J184" s="198" t="s">
        <v>3137</v>
      </c>
      <c r="K184" s="197" t="s">
        <v>2214</v>
      </c>
      <c r="L184" s="197" t="s">
        <v>1034</v>
      </c>
      <c r="M184" s="197" t="s">
        <v>1544</v>
      </c>
      <c r="N184" s="567">
        <v>45352</v>
      </c>
      <c r="O184" s="197" t="s">
        <v>2215</v>
      </c>
    </row>
    <row r="185" spans="1:15" s="200" customFormat="1" ht="8.1" customHeight="1" x14ac:dyDescent="0.25">
      <c r="A185" s="199" t="s">
        <v>2615</v>
      </c>
      <c r="B185" s="197" t="s">
        <v>2299</v>
      </c>
      <c r="C185" s="197" t="s">
        <v>2300</v>
      </c>
      <c r="D185" s="197" t="s">
        <v>1050</v>
      </c>
      <c r="E185" s="382" t="s">
        <v>1051</v>
      </c>
      <c r="F185" s="442">
        <v>45352.657349537039</v>
      </c>
      <c r="G185" s="473">
        <v>0.65734953703703702</v>
      </c>
      <c r="H185" s="443">
        <v>8616</v>
      </c>
      <c r="I185" s="457">
        <v>1800</v>
      </c>
      <c r="J185" s="198" t="s">
        <v>3138</v>
      </c>
      <c r="K185" s="197" t="s">
        <v>2301</v>
      </c>
      <c r="L185" s="197" t="s">
        <v>1034</v>
      </c>
      <c r="M185" s="197" t="s">
        <v>1544</v>
      </c>
      <c r="N185" s="567">
        <v>45353</v>
      </c>
      <c r="O185" s="197" t="s">
        <v>1333</v>
      </c>
    </row>
    <row r="186" spans="1:15" s="200" customFormat="1" ht="8.1" customHeight="1" x14ac:dyDescent="0.25">
      <c r="A186" s="199" t="s">
        <v>2616</v>
      </c>
      <c r="B186" s="197" t="s">
        <v>2216</v>
      </c>
      <c r="C186" s="197" t="s">
        <v>2217</v>
      </c>
      <c r="D186" s="197" t="s">
        <v>1126</v>
      </c>
      <c r="E186" s="382" t="s">
        <v>1051</v>
      </c>
      <c r="F186" s="442">
        <v>45345.703032407408</v>
      </c>
      <c r="G186" s="473">
        <v>0.70303240740740736</v>
      </c>
      <c r="H186" s="456">
        <v>330.2</v>
      </c>
      <c r="I186" s="457">
        <v>330.2</v>
      </c>
      <c r="J186" s="198" t="s">
        <v>1397</v>
      </c>
      <c r="K186" s="197" t="s">
        <v>1079</v>
      </c>
      <c r="L186" s="197" t="s">
        <v>1034</v>
      </c>
      <c r="M186" s="197" t="s">
        <v>1318</v>
      </c>
      <c r="N186" s="567">
        <v>45355</v>
      </c>
      <c r="O186" s="197" t="s">
        <v>2218</v>
      </c>
    </row>
    <row r="187" spans="1:15" s="200" customFormat="1" ht="8.1" customHeight="1" x14ac:dyDescent="0.25">
      <c r="A187" s="199" t="s">
        <v>2617</v>
      </c>
      <c r="B187" s="197" t="s">
        <v>2302</v>
      </c>
      <c r="C187" s="197" t="s">
        <v>2303</v>
      </c>
      <c r="D187" s="197" t="s">
        <v>1127</v>
      </c>
      <c r="E187" s="199" t="s">
        <v>1051</v>
      </c>
      <c r="F187" s="442">
        <v>45356.894189814811</v>
      </c>
      <c r="G187" s="467">
        <v>0.89418981481481474</v>
      </c>
      <c r="H187" s="443">
        <v>11546.78</v>
      </c>
      <c r="I187" s="444">
        <v>11546.78</v>
      </c>
      <c r="J187" s="198" t="s">
        <v>1397</v>
      </c>
      <c r="K187" s="197" t="s">
        <v>1079</v>
      </c>
      <c r="L187" s="197" t="s">
        <v>1034</v>
      </c>
      <c r="M187" s="197" t="s">
        <v>2180</v>
      </c>
      <c r="N187" s="567">
        <v>45359</v>
      </c>
      <c r="O187" s="197" t="s">
        <v>1128</v>
      </c>
    </row>
    <row r="188" spans="1:15" s="200" customFormat="1" ht="8.1" customHeight="1" x14ac:dyDescent="0.25">
      <c r="A188" s="199" t="s">
        <v>2618</v>
      </c>
      <c r="B188" s="197" t="s">
        <v>2304</v>
      </c>
      <c r="C188" s="197" t="s">
        <v>2305</v>
      </c>
      <c r="D188" s="197" t="s">
        <v>1046</v>
      </c>
      <c r="E188" s="199" t="s">
        <v>1051</v>
      </c>
      <c r="F188" s="442">
        <v>45355.697337962964</v>
      </c>
      <c r="G188" s="467">
        <v>0.69733796296296291</v>
      </c>
      <c r="H188" s="443">
        <v>18857.68</v>
      </c>
      <c r="I188" s="444">
        <v>4000</v>
      </c>
      <c r="J188" s="198" t="s">
        <v>3139</v>
      </c>
      <c r="K188" s="197" t="s">
        <v>2306</v>
      </c>
      <c r="L188" s="197" t="s">
        <v>1034</v>
      </c>
      <c r="M188" s="197" t="s">
        <v>1544</v>
      </c>
      <c r="N188" s="567">
        <v>45362</v>
      </c>
      <c r="O188" s="197" t="s">
        <v>1049</v>
      </c>
    </row>
    <row r="189" spans="1:15" s="200" customFormat="1" ht="8.1" customHeight="1" x14ac:dyDescent="0.25">
      <c r="A189" s="199" t="s">
        <v>2619</v>
      </c>
      <c r="B189" s="197" t="s">
        <v>2307</v>
      </c>
      <c r="C189" s="197" t="s">
        <v>2308</v>
      </c>
      <c r="D189" s="197" t="s">
        <v>1046</v>
      </c>
      <c r="E189" s="199" t="s">
        <v>1051</v>
      </c>
      <c r="F189" s="442">
        <v>45365.665925925925</v>
      </c>
      <c r="G189" s="467">
        <v>0.66592592592592592</v>
      </c>
      <c r="H189" s="443">
        <v>19688.099999999999</v>
      </c>
      <c r="I189" s="444">
        <v>1000</v>
      </c>
      <c r="J189" s="198" t="s">
        <v>3140</v>
      </c>
      <c r="K189" s="197" t="s">
        <v>2309</v>
      </c>
      <c r="L189" s="197" t="s">
        <v>1034</v>
      </c>
      <c r="M189" s="197" t="s">
        <v>1544</v>
      </c>
      <c r="N189" s="567">
        <v>45366</v>
      </c>
      <c r="O189" s="197" t="s">
        <v>1496</v>
      </c>
    </row>
    <row r="190" spans="1:15" s="200" customFormat="1" ht="8.1" customHeight="1" x14ac:dyDescent="0.25">
      <c r="A190" s="199" t="s">
        <v>2620</v>
      </c>
      <c r="B190" s="197" t="s">
        <v>2310</v>
      </c>
      <c r="C190" s="447" t="s">
        <v>2621</v>
      </c>
      <c r="D190" s="197" t="s">
        <v>1046</v>
      </c>
      <c r="E190" s="199" t="s">
        <v>1051</v>
      </c>
      <c r="F190" s="442">
        <v>45226.704548611109</v>
      </c>
      <c r="G190" s="467">
        <v>0.70454861111111111</v>
      </c>
      <c r="H190" s="443">
        <v>4948.78</v>
      </c>
      <c r="I190" s="444">
        <v>3000</v>
      </c>
      <c r="J190" s="198" t="s">
        <v>3141</v>
      </c>
      <c r="K190" s="197" t="s">
        <v>2311</v>
      </c>
      <c r="L190" s="197" t="s">
        <v>1034</v>
      </c>
      <c r="M190" s="197" t="s">
        <v>1544</v>
      </c>
      <c r="N190" s="567">
        <v>45370</v>
      </c>
      <c r="O190" s="197" t="s">
        <v>2312</v>
      </c>
    </row>
    <row r="191" spans="1:15" s="200" customFormat="1" ht="8.1" customHeight="1" x14ac:dyDescent="0.25">
      <c r="A191" s="199" t="s">
        <v>2622</v>
      </c>
      <c r="B191" s="197" t="s">
        <v>2313</v>
      </c>
      <c r="C191" s="447" t="s">
        <v>2623</v>
      </c>
      <c r="D191" s="197" t="s">
        <v>1046</v>
      </c>
      <c r="E191" s="199" t="s">
        <v>1051</v>
      </c>
      <c r="F191" s="442">
        <v>45278.632581018515</v>
      </c>
      <c r="G191" s="467">
        <v>0.63258101851851845</v>
      </c>
      <c r="H191" s="443">
        <v>35053.47</v>
      </c>
      <c r="I191" s="444">
        <v>1000</v>
      </c>
      <c r="J191" s="198" t="s">
        <v>3142</v>
      </c>
      <c r="K191" s="197" t="s">
        <v>2314</v>
      </c>
      <c r="L191" s="197" t="s">
        <v>1034</v>
      </c>
      <c r="M191" s="197" t="s">
        <v>1544</v>
      </c>
      <c r="N191" s="567">
        <v>45370</v>
      </c>
      <c r="O191" s="197" t="s">
        <v>2312</v>
      </c>
    </row>
    <row r="192" spans="1:15" s="200" customFormat="1" ht="8.1" customHeight="1" x14ac:dyDescent="0.25">
      <c r="A192" s="199" t="s">
        <v>2624</v>
      </c>
      <c r="B192" s="197" t="s">
        <v>2316</v>
      </c>
      <c r="C192" s="447" t="s">
        <v>2625</v>
      </c>
      <c r="D192" s="197" t="s">
        <v>1050</v>
      </c>
      <c r="E192" s="199" t="s">
        <v>1051</v>
      </c>
      <c r="F192" s="442">
        <v>45374.6953125</v>
      </c>
      <c r="G192" s="467">
        <v>0.6953125</v>
      </c>
      <c r="H192" s="443">
        <v>19426.939999999999</v>
      </c>
      <c r="I192" s="444">
        <v>2997</v>
      </c>
      <c r="J192" s="198" t="s">
        <v>3143</v>
      </c>
      <c r="K192" s="197" t="s">
        <v>2317</v>
      </c>
      <c r="L192" s="197" t="s">
        <v>1034</v>
      </c>
      <c r="M192" s="197" t="s">
        <v>1544</v>
      </c>
      <c r="N192" s="567">
        <v>45376</v>
      </c>
      <c r="O192" s="197" t="s">
        <v>2318</v>
      </c>
    </row>
    <row r="193" spans="1:15" s="200" customFormat="1" ht="8.1" customHeight="1" x14ac:dyDescent="0.25">
      <c r="A193" s="199" t="s">
        <v>2626</v>
      </c>
      <c r="B193" s="197" t="s">
        <v>2319</v>
      </c>
      <c r="C193" s="447" t="s">
        <v>2627</v>
      </c>
      <c r="D193" s="197" t="s">
        <v>1126</v>
      </c>
      <c r="E193" s="199" t="s">
        <v>1051</v>
      </c>
      <c r="F193" s="442">
        <v>45379.710509259261</v>
      </c>
      <c r="G193" s="467">
        <v>0.71050925925925934</v>
      </c>
      <c r="H193" s="443">
        <v>11496.97</v>
      </c>
      <c r="I193" s="444">
        <v>7569.24</v>
      </c>
      <c r="J193" s="198" t="s">
        <v>2320</v>
      </c>
      <c r="K193" s="197" t="s">
        <v>2321</v>
      </c>
      <c r="L193" s="197" t="s">
        <v>1034</v>
      </c>
      <c r="M193" s="197" t="s">
        <v>1544</v>
      </c>
      <c r="N193" s="567">
        <v>45385</v>
      </c>
      <c r="O193" s="197" t="s">
        <v>2322</v>
      </c>
    </row>
    <row r="194" spans="1:15" s="200" customFormat="1" ht="8.1" customHeight="1" x14ac:dyDescent="0.25">
      <c r="A194" s="199" t="s">
        <v>2628</v>
      </c>
      <c r="B194" s="197" t="s">
        <v>2323</v>
      </c>
      <c r="C194" s="447" t="s">
        <v>2629</v>
      </c>
      <c r="D194" s="197" t="s">
        <v>2324</v>
      </c>
      <c r="E194" s="199" t="s">
        <v>1051</v>
      </c>
      <c r="F194" s="442">
        <v>45381.694641203707</v>
      </c>
      <c r="G194" s="467">
        <v>0.69464120370370364</v>
      </c>
      <c r="H194" s="443">
        <v>9026</v>
      </c>
      <c r="I194" s="444">
        <v>8935.74</v>
      </c>
      <c r="J194" s="198" t="s">
        <v>2325</v>
      </c>
      <c r="K194" s="197" t="s">
        <v>2326</v>
      </c>
      <c r="L194" s="197" t="s">
        <v>1034</v>
      </c>
      <c r="M194" s="197" t="s">
        <v>1544</v>
      </c>
      <c r="N194" s="567">
        <v>45385</v>
      </c>
      <c r="O194" s="197" t="s">
        <v>2327</v>
      </c>
    </row>
    <row r="195" spans="1:15" s="200" customFormat="1" ht="8.1" customHeight="1" x14ac:dyDescent="0.25">
      <c r="A195" s="199" t="s">
        <v>2630</v>
      </c>
      <c r="B195" s="197" t="s">
        <v>2328</v>
      </c>
      <c r="C195" s="447" t="s">
        <v>2631</v>
      </c>
      <c r="D195" s="197" t="s">
        <v>1046</v>
      </c>
      <c r="E195" s="199" t="s">
        <v>1051</v>
      </c>
      <c r="F195" s="442">
        <v>45379.712372685186</v>
      </c>
      <c r="G195" s="197" t="s">
        <v>2132</v>
      </c>
      <c r="H195" s="443">
        <v>15569.2</v>
      </c>
      <c r="I195" s="444">
        <v>3000</v>
      </c>
      <c r="J195" s="198" t="s">
        <v>2329</v>
      </c>
      <c r="K195" s="197" t="s">
        <v>2330</v>
      </c>
      <c r="L195" s="197" t="s">
        <v>1034</v>
      </c>
      <c r="M195" s="197" t="s">
        <v>1544</v>
      </c>
      <c r="N195" s="567">
        <v>45385</v>
      </c>
      <c r="O195" s="197" t="s">
        <v>1496</v>
      </c>
    </row>
    <row r="196" spans="1:15" s="200" customFormat="1" ht="8.1" customHeight="1" x14ac:dyDescent="0.25">
      <c r="A196" s="199" t="s">
        <v>2632</v>
      </c>
      <c r="B196" s="197" t="s">
        <v>2331</v>
      </c>
      <c r="C196" s="197" t="s">
        <v>2633</v>
      </c>
      <c r="D196" s="197" t="s">
        <v>1126</v>
      </c>
      <c r="E196" s="199" t="s">
        <v>1051</v>
      </c>
      <c r="F196" s="458">
        <v>45193.718055555553</v>
      </c>
      <c r="G196" s="467">
        <v>0.71805555555555556</v>
      </c>
      <c r="H196" s="443">
        <v>50000</v>
      </c>
      <c r="I196" s="444">
        <v>50000</v>
      </c>
      <c r="J196" s="198" t="s">
        <v>1160</v>
      </c>
      <c r="K196" s="197"/>
      <c r="L196" s="197"/>
      <c r="M196" s="197"/>
      <c r="N196" s="567">
        <v>45209</v>
      </c>
      <c r="O196" s="197" t="s">
        <v>2332</v>
      </c>
    </row>
    <row r="197" spans="1:15" s="200" customFormat="1" ht="8.1" customHeight="1" x14ac:dyDescent="0.25">
      <c r="A197" s="199" t="s">
        <v>2634</v>
      </c>
      <c r="B197" s="197" t="s">
        <v>2333</v>
      </c>
      <c r="C197" s="447" t="s">
        <v>2635</v>
      </c>
      <c r="D197" s="197" t="s">
        <v>1050</v>
      </c>
      <c r="E197" s="199" t="s">
        <v>1051</v>
      </c>
      <c r="F197" s="442">
        <v>45295.818229166667</v>
      </c>
      <c r="G197" s="467">
        <v>0.81822916666666667</v>
      </c>
      <c r="H197" s="443">
        <v>50000</v>
      </c>
      <c r="I197" s="444">
        <v>50000</v>
      </c>
      <c r="J197" s="198" t="s">
        <v>1160</v>
      </c>
      <c r="K197" s="197"/>
      <c r="L197" s="197"/>
      <c r="M197" s="197"/>
      <c r="N197" s="567">
        <v>45322</v>
      </c>
      <c r="O197" s="197" t="s">
        <v>2334</v>
      </c>
    </row>
    <row r="198" spans="1:15" s="200" customFormat="1" ht="8.1" customHeight="1" x14ac:dyDescent="0.25">
      <c r="A198" s="199" t="s">
        <v>2636</v>
      </c>
      <c r="B198" s="197" t="s">
        <v>2335</v>
      </c>
      <c r="C198" s="197" t="s">
        <v>2637</v>
      </c>
      <c r="D198" s="197" t="s">
        <v>1050</v>
      </c>
      <c r="E198" s="199" t="s">
        <v>1051</v>
      </c>
      <c r="F198" s="442">
        <v>45246.698298611111</v>
      </c>
      <c r="G198" s="467">
        <v>0.69829861111111102</v>
      </c>
      <c r="H198" s="443">
        <v>8000</v>
      </c>
      <c r="I198" s="444">
        <v>8000</v>
      </c>
      <c r="J198" s="198" t="s">
        <v>1160</v>
      </c>
      <c r="K198" s="197" t="s">
        <v>1161</v>
      </c>
      <c r="L198" s="197"/>
      <c r="M198" s="197" t="s">
        <v>1161</v>
      </c>
      <c r="N198" s="567">
        <v>45322</v>
      </c>
      <c r="O198" s="197" t="s">
        <v>2336</v>
      </c>
    </row>
    <row r="199" spans="1:15" s="200" customFormat="1" ht="8.1" customHeight="1" x14ac:dyDescent="0.25">
      <c r="A199" s="197" t="s">
        <v>2638</v>
      </c>
      <c r="B199" s="197" t="s">
        <v>2337</v>
      </c>
      <c r="C199" s="197" t="s">
        <v>2639</v>
      </c>
      <c r="D199" s="197" t="s">
        <v>1046</v>
      </c>
      <c r="E199" s="199" t="s">
        <v>1051</v>
      </c>
      <c r="F199" s="442">
        <v>45385.902939814812</v>
      </c>
      <c r="G199" s="467">
        <v>0.90293981481481478</v>
      </c>
      <c r="H199" s="443">
        <v>6312.34</v>
      </c>
      <c r="I199" s="444">
        <v>5000</v>
      </c>
      <c r="J199" s="198" t="s">
        <v>2338</v>
      </c>
      <c r="K199" s="197" t="s">
        <v>2339</v>
      </c>
      <c r="L199" s="197" t="s">
        <v>1034</v>
      </c>
      <c r="M199" s="197" t="s">
        <v>1544</v>
      </c>
      <c r="N199" s="567">
        <v>45386</v>
      </c>
      <c r="O199" s="197" t="s">
        <v>1285</v>
      </c>
    </row>
    <row r="200" spans="1:15" s="200" customFormat="1" ht="8.1" customHeight="1" x14ac:dyDescent="0.25">
      <c r="A200" s="197" t="s">
        <v>2640</v>
      </c>
      <c r="B200" s="197" t="s">
        <v>2224</v>
      </c>
      <c r="C200" s="447" t="s">
        <v>2641</v>
      </c>
      <c r="D200" s="197" t="s">
        <v>1050</v>
      </c>
      <c r="E200" s="199" t="s">
        <v>1051</v>
      </c>
      <c r="F200" s="442">
        <v>45370.631585648145</v>
      </c>
      <c r="G200" s="467">
        <v>0.63158564814814822</v>
      </c>
      <c r="H200" s="443">
        <v>11326.15</v>
      </c>
      <c r="I200" s="444">
        <v>11326.15</v>
      </c>
      <c r="J200" s="198" t="s">
        <v>1002</v>
      </c>
      <c r="K200" s="455" t="s">
        <v>2225</v>
      </c>
      <c r="L200" s="197" t="s">
        <v>1037</v>
      </c>
      <c r="M200" s="197" t="s">
        <v>1354</v>
      </c>
      <c r="N200" s="567">
        <v>45386</v>
      </c>
      <c r="O200" s="197" t="s">
        <v>1329</v>
      </c>
    </row>
    <row r="201" spans="1:15" s="200" customFormat="1" ht="8.1" customHeight="1" x14ac:dyDescent="0.25">
      <c r="A201" s="197" t="s">
        <v>2642</v>
      </c>
      <c r="B201" s="197" t="s">
        <v>2340</v>
      </c>
      <c r="C201" s="447" t="s">
        <v>2643</v>
      </c>
      <c r="D201" s="197" t="s">
        <v>1098</v>
      </c>
      <c r="E201" s="199" t="s">
        <v>1051</v>
      </c>
      <c r="F201" s="442">
        <v>45386.719293981485</v>
      </c>
      <c r="G201" s="467">
        <v>0.71929398148148149</v>
      </c>
      <c r="H201" s="443">
        <v>6064.18</v>
      </c>
      <c r="I201" s="444">
        <v>4058.52</v>
      </c>
      <c r="J201" s="198" t="s">
        <v>2341</v>
      </c>
      <c r="K201" s="197" t="s">
        <v>2342</v>
      </c>
      <c r="L201" s="197" t="s">
        <v>1034</v>
      </c>
      <c r="M201" s="197" t="s">
        <v>1544</v>
      </c>
      <c r="N201" s="567">
        <v>45390</v>
      </c>
      <c r="O201" s="197" t="s">
        <v>1215</v>
      </c>
    </row>
    <row r="202" spans="1:15" s="200" customFormat="1" ht="8.1" customHeight="1" x14ac:dyDescent="0.25">
      <c r="A202" s="197" t="s">
        <v>2644</v>
      </c>
      <c r="B202" s="197" t="s">
        <v>2343</v>
      </c>
      <c r="C202" s="447" t="s">
        <v>2645</v>
      </c>
      <c r="D202" s="197" t="s">
        <v>1089</v>
      </c>
      <c r="E202" s="199" t="s">
        <v>1051</v>
      </c>
      <c r="F202" s="442">
        <v>45389.59002314815</v>
      </c>
      <c r="G202" s="467">
        <v>0.59002314814814816</v>
      </c>
      <c r="H202" s="443">
        <v>38938.89</v>
      </c>
      <c r="I202" s="444">
        <v>3000</v>
      </c>
      <c r="J202" s="198" t="s">
        <v>2344</v>
      </c>
      <c r="K202" s="197" t="s">
        <v>2345</v>
      </c>
      <c r="L202" s="197" t="s">
        <v>1034</v>
      </c>
      <c r="M202" s="197" t="s">
        <v>1544</v>
      </c>
      <c r="N202" s="567">
        <v>45390</v>
      </c>
      <c r="O202" s="197" t="s">
        <v>1469</v>
      </c>
    </row>
    <row r="203" spans="1:15" s="200" customFormat="1" ht="8.1" customHeight="1" x14ac:dyDescent="0.25">
      <c r="A203" s="197" t="s">
        <v>2646</v>
      </c>
      <c r="B203" s="197" t="s">
        <v>2346</v>
      </c>
      <c r="C203" s="447" t="s">
        <v>2647</v>
      </c>
      <c r="D203" s="197" t="s">
        <v>1089</v>
      </c>
      <c r="E203" s="199" t="s">
        <v>1051</v>
      </c>
      <c r="F203" s="442">
        <v>45387.686597222222</v>
      </c>
      <c r="G203" s="467">
        <v>0.68659722222222219</v>
      </c>
      <c r="H203" s="443">
        <v>12106.18</v>
      </c>
      <c r="I203" s="444">
        <v>12106.18</v>
      </c>
      <c r="J203" s="198" t="s">
        <v>1397</v>
      </c>
      <c r="K203" s="197" t="s">
        <v>1079</v>
      </c>
      <c r="L203" s="197" t="s">
        <v>1034</v>
      </c>
      <c r="M203" s="197" t="s">
        <v>1318</v>
      </c>
      <c r="N203" s="567">
        <v>45395</v>
      </c>
      <c r="O203" s="197" t="s">
        <v>2144</v>
      </c>
    </row>
    <row r="204" spans="1:15" s="200" customFormat="1" ht="8.1" customHeight="1" x14ac:dyDescent="0.25">
      <c r="A204" s="197" t="s">
        <v>2648</v>
      </c>
      <c r="B204" s="197" t="s">
        <v>2347</v>
      </c>
      <c r="C204" s="447" t="s">
        <v>2649</v>
      </c>
      <c r="D204" s="197" t="s">
        <v>1089</v>
      </c>
      <c r="E204" s="199" t="s">
        <v>1051</v>
      </c>
      <c r="F204" s="442">
        <v>45389.693761574075</v>
      </c>
      <c r="G204" s="467">
        <v>0.69376157407407402</v>
      </c>
      <c r="H204" s="443">
        <v>9789.75</v>
      </c>
      <c r="I204" s="444">
        <v>3000</v>
      </c>
      <c r="J204" s="198" t="s">
        <v>2348</v>
      </c>
      <c r="K204" s="197" t="s">
        <v>2349</v>
      </c>
      <c r="L204" s="197" t="s">
        <v>1034</v>
      </c>
      <c r="M204" s="197" t="s">
        <v>1544</v>
      </c>
      <c r="N204" s="567">
        <v>45398</v>
      </c>
      <c r="O204" s="197" t="s">
        <v>2271</v>
      </c>
    </row>
    <row r="205" spans="1:15" s="200" customFormat="1" ht="8.1" customHeight="1" x14ac:dyDescent="0.25">
      <c r="A205" s="197" t="s">
        <v>2650</v>
      </c>
      <c r="B205" s="197" t="s">
        <v>2350</v>
      </c>
      <c r="C205" s="447" t="s">
        <v>2651</v>
      </c>
      <c r="D205" s="197" t="s">
        <v>1089</v>
      </c>
      <c r="E205" s="199" t="s">
        <v>1051</v>
      </c>
      <c r="F205" s="442">
        <v>45393.718101851853</v>
      </c>
      <c r="G205" s="467">
        <v>0.71810185185185194</v>
      </c>
      <c r="H205" s="443">
        <v>7800.67</v>
      </c>
      <c r="I205" s="444">
        <v>7800.67</v>
      </c>
      <c r="J205" s="198" t="s">
        <v>1397</v>
      </c>
      <c r="K205" s="197" t="s">
        <v>1079</v>
      </c>
      <c r="L205" s="197" t="s">
        <v>1034</v>
      </c>
      <c r="M205" s="197" t="s">
        <v>1318</v>
      </c>
      <c r="N205" s="567">
        <v>45398</v>
      </c>
      <c r="O205" s="197" t="s">
        <v>2144</v>
      </c>
    </row>
    <row r="206" spans="1:15" s="200" customFormat="1" ht="8.1" customHeight="1" x14ac:dyDescent="0.25">
      <c r="A206" s="197" t="s">
        <v>2652</v>
      </c>
      <c r="B206" s="197" t="s">
        <v>2351</v>
      </c>
      <c r="C206" s="447" t="s">
        <v>2653</v>
      </c>
      <c r="D206" s="197" t="s">
        <v>1055</v>
      </c>
      <c r="E206" s="199" t="s">
        <v>1051</v>
      </c>
      <c r="F206" s="442">
        <v>45390.605370370373</v>
      </c>
      <c r="G206" s="467">
        <v>0.60537037037037034</v>
      </c>
      <c r="H206" s="443">
        <v>48883.23</v>
      </c>
      <c r="I206" s="444">
        <v>44000</v>
      </c>
      <c r="J206" s="198" t="s">
        <v>2352</v>
      </c>
      <c r="K206" s="197" t="s">
        <v>2353</v>
      </c>
      <c r="L206" s="197" t="s">
        <v>1034</v>
      </c>
      <c r="M206" s="197" t="s">
        <v>1544</v>
      </c>
      <c r="N206" s="567">
        <v>45398</v>
      </c>
      <c r="O206" s="197" t="s">
        <v>1433</v>
      </c>
    </row>
    <row r="207" spans="1:15" s="200" customFormat="1" ht="8.1" customHeight="1" x14ac:dyDescent="0.25">
      <c r="A207" s="197" t="s">
        <v>2654</v>
      </c>
      <c r="B207" s="197" t="s">
        <v>2354</v>
      </c>
      <c r="C207" s="447" t="s">
        <v>2655</v>
      </c>
      <c r="D207" s="197" t="s">
        <v>1050</v>
      </c>
      <c r="E207" s="199" t="s">
        <v>1051</v>
      </c>
      <c r="F207" s="442">
        <v>45399.516840277778</v>
      </c>
      <c r="G207" s="467">
        <v>0.51684027777777775</v>
      </c>
      <c r="H207" s="443">
        <v>3100</v>
      </c>
      <c r="I207" s="444">
        <v>3100</v>
      </c>
      <c r="J207" s="198" t="s">
        <v>1397</v>
      </c>
      <c r="K207" s="197" t="s">
        <v>1079</v>
      </c>
      <c r="L207" s="197" t="s">
        <v>1034</v>
      </c>
      <c r="M207" s="197" t="s">
        <v>1318</v>
      </c>
      <c r="N207" s="567">
        <v>45402</v>
      </c>
      <c r="O207" s="197" t="s">
        <v>2355</v>
      </c>
    </row>
    <row r="208" spans="1:15" s="200" customFormat="1" ht="8.1" customHeight="1" x14ac:dyDescent="0.25">
      <c r="A208" s="197" t="s">
        <v>2656</v>
      </c>
      <c r="B208" s="197" t="s">
        <v>2356</v>
      </c>
      <c r="C208" s="447" t="s">
        <v>2657</v>
      </c>
      <c r="D208" s="197" t="s">
        <v>1345</v>
      </c>
      <c r="E208" s="199" t="s">
        <v>1051</v>
      </c>
      <c r="F208" s="442">
        <v>45394.902094907404</v>
      </c>
      <c r="G208" s="467">
        <v>0.90209490740740739</v>
      </c>
      <c r="H208" s="443">
        <v>1289.22</v>
      </c>
      <c r="I208" s="444">
        <v>1289.22</v>
      </c>
      <c r="J208" s="198" t="s">
        <v>1002</v>
      </c>
      <c r="K208" s="455" t="s">
        <v>2357</v>
      </c>
      <c r="L208" s="197" t="s">
        <v>1037</v>
      </c>
      <c r="M208" s="197" t="s">
        <v>1354</v>
      </c>
      <c r="N208" s="567">
        <v>45404</v>
      </c>
      <c r="O208" s="197" t="s">
        <v>1100</v>
      </c>
    </row>
    <row r="209" spans="1:15" s="200" customFormat="1" ht="8.1" customHeight="1" x14ac:dyDescent="0.25">
      <c r="A209" s="197" t="s">
        <v>2658</v>
      </c>
      <c r="B209" s="197" t="s">
        <v>2358</v>
      </c>
      <c r="C209" s="447" t="s">
        <v>2659</v>
      </c>
      <c r="D209" s="197" t="s">
        <v>2359</v>
      </c>
      <c r="E209" s="199" t="s">
        <v>1051</v>
      </c>
      <c r="F209" s="442">
        <v>45398.695104166669</v>
      </c>
      <c r="G209" s="467">
        <v>0.69510416666666675</v>
      </c>
      <c r="H209" s="443">
        <v>15004.51</v>
      </c>
      <c r="I209" s="444">
        <v>15004.51</v>
      </c>
      <c r="J209" s="198" t="s">
        <v>1002</v>
      </c>
      <c r="K209" s="455" t="s">
        <v>2360</v>
      </c>
      <c r="L209" s="197" t="s">
        <v>1037</v>
      </c>
      <c r="M209" s="197" t="s">
        <v>1354</v>
      </c>
      <c r="N209" s="567">
        <v>45404</v>
      </c>
      <c r="O209" s="197" t="s">
        <v>2361</v>
      </c>
    </row>
    <row r="210" spans="1:15" s="200" customFormat="1" ht="8.1" customHeight="1" x14ac:dyDescent="0.25">
      <c r="A210" s="197" t="s">
        <v>2660</v>
      </c>
      <c r="B210" s="197" t="s">
        <v>2363</v>
      </c>
      <c r="C210" s="447" t="s">
        <v>2661</v>
      </c>
      <c r="D210" s="197" t="s">
        <v>1127</v>
      </c>
      <c r="E210" s="199" t="s">
        <v>1051</v>
      </c>
      <c r="F210" s="442">
        <v>45395.814074074071</v>
      </c>
      <c r="G210" s="467">
        <v>0.81407407407407406</v>
      </c>
      <c r="H210" s="443">
        <v>34481.08</v>
      </c>
      <c r="I210" s="444">
        <v>23542.04</v>
      </c>
      <c r="J210" s="198" t="s">
        <v>2364</v>
      </c>
      <c r="K210" s="197" t="s">
        <v>2365</v>
      </c>
      <c r="L210" s="197" t="s">
        <v>1034</v>
      </c>
      <c r="M210" s="197" t="s">
        <v>1544</v>
      </c>
      <c r="N210" s="567">
        <v>45415</v>
      </c>
      <c r="O210" s="197" t="s">
        <v>1128</v>
      </c>
    </row>
    <row r="211" spans="1:15" s="200" customFormat="1" ht="8.1" customHeight="1" x14ac:dyDescent="0.25">
      <c r="A211" s="197" t="s">
        <v>2662</v>
      </c>
      <c r="B211" s="197" t="s">
        <v>2366</v>
      </c>
      <c r="C211" s="447" t="s">
        <v>2663</v>
      </c>
      <c r="D211" s="197" t="s">
        <v>1046</v>
      </c>
      <c r="E211" s="199" t="s">
        <v>1051</v>
      </c>
      <c r="F211" s="442">
        <v>45414.894490740742</v>
      </c>
      <c r="G211" s="467">
        <v>0.89449074074074064</v>
      </c>
      <c r="H211" s="443">
        <v>15752.12</v>
      </c>
      <c r="I211" s="444">
        <v>15752.12</v>
      </c>
      <c r="J211" s="198" t="s">
        <v>1002</v>
      </c>
      <c r="K211" s="455" t="s">
        <v>2367</v>
      </c>
      <c r="L211" s="197" t="s">
        <v>1037</v>
      </c>
      <c r="M211" s="197" t="s">
        <v>1354</v>
      </c>
      <c r="N211" s="567">
        <v>45418</v>
      </c>
      <c r="O211" s="197" t="s">
        <v>1068</v>
      </c>
    </row>
    <row r="212" spans="1:15" s="200" customFormat="1" ht="8.1" customHeight="1" x14ac:dyDescent="0.25">
      <c r="A212" s="197" t="s">
        <v>2664</v>
      </c>
      <c r="B212" s="197" t="s">
        <v>2368</v>
      </c>
      <c r="C212" s="447" t="s">
        <v>2665</v>
      </c>
      <c r="D212" s="197" t="s">
        <v>1050</v>
      </c>
      <c r="E212" s="199" t="s">
        <v>1051</v>
      </c>
      <c r="F212" s="442">
        <v>45416.557199074072</v>
      </c>
      <c r="G212" s="467">
        <v>0.5571990740740741</v>
      </c>
      <c r="H212" s="443">
        <v>6415.4</v>
      </c>
      <c r="I212" s="444">
        <v>270</v>
      </c>
      <c r="J212" s="198" t="s">
        <v>2369</v>
      </c>
      <c r="K212" s="197" t="s">
        <v>2370</v>
      </c>
      <c r="L212" s="197" t="s">
        <v>1034</v>
      </c>
      <c r="M212" s="197" t="s">
        <v>1544</v>
      </c>
      <c r="N212" s="567">
        <v>45418</v>
      </c>
      <c r="O212" s="197" t="s">
        <v>2361</v>
      </c>
    </row>
    <row r="213" spans="1:15" s="200" customFormat="1" ht="8.1" customHeight="1" x14ac:dyDescent="0.25">
      <c r="A213" s="197" t="s">
        <v>2666</v>
      </c>
      <c r="B213" s="197" t="s">
        <v>2371</v>
      </c>
      <c r="C213" s="197" t="s">
        <v>2667</v>
      </c>
      <c r="D213" s="197" t="s">
        <v>1050</v>
      </c>
      <c r="E213" s="199" t="s">
        <v>1051</v>
      </c>
      <c r="F213" s="442">
        <v>45413.578368055554</v>
      </c>
      <c r="G213" s="467">
        <v>0.57836805555555559</v>
      </c>
      <c r="H213" s="443">
        <v>9476.41</v>
      </c>
      <c r="I213" s="444">
        <v>4500</v>
      </c>
      <c r="J213" s="198" t="s">
        <v>2372</v>
      </c>
      <c r="K213" s="197" t="s">
        <v>2373</v>
      </c>
      <c r="L213" s="197" t="s">
        <v>1034</v>
      </c>
      <c r="M213" s="197" t="s">
        <v>1544</v>
      </c>
      <c r="N213" s="567">
        <v>45420</v>
      </c>
      <c r="O213" s="197" t="s">
        <v>1081</v>
      </c>
    </row>
    <row r="214" spans="1:15" s="200" customFormat="1" ht="8.1" customHeight="1" x14ac:dyDescent="0.25">
      <c r="A214" s="197" t="s">
        <v>2668</v>
      </c>
      <c r="B214" s="197" t="s">
        <v>2374</v>
      </c>
      <c r="C214" s="197" t="s">
        <v>2669</v>
      </c>
      <c r="D214" s="197" t="s">
        <v>1186</v>
      </c>
      <c r="E214" s="199" t="s">
        <v>1051</v>
      </c>
      <c r="F214" s="442">
        <v>45415.776956018519</v>
      </c>
      <c r="G214" s="467">
        <v>0.77695601851851848</v>
      </c>
      <c r="H214" s="443">
        <v>13894.91</v>
      </c>
      <c r="I214" s="444">
        <v>1000</v>
      </c>
      <c r="J214" s="198" t="s">
        <v>2375</v>
      </c>
      <c r="K214" s="197" t="s">
        <v>2376</v>
      </c>
      <c r="L214" s="197" t="s">
        <v>1034</v>
      </c>
      <c r="M214" s="197" t="s">
        <v>1544</v>
      </c>
      <c r="N214" s="567">
        <v>45420</v>
      </c>
      <c r="O214" s="197" t="s">
        <v>1081</v>
      </c>
    </row>
    <row r="215" spans="1:15" s="200" customFormat="1" ht="8.1" customHeight="1" x14ac:dyDescent="0.25">
      <c r="A215" s="197" t="s">
        <v>2670</v>
      </c>
      <c r="B215" s="197" t="s">
        <v>2377</v>
      </c>
      <c r="C215" s="197" t="s">
        <v>2671</v>
      </c>
      <c r="D215" s="197" t="s">
        <v>1098</v>
      </c>
      <c r="E215" s="199" t="s">
        <v>1051</v>
      </c>
      <c r="F215" s="442">
        <v>45418.642916666664</v>
      </c>
      <c r="G215" s="467">
        <v>0.64291666666666669</v>
      </c>
      <c r="H215" s="443">
        <v>6850</v>
      </c>
      <c r="I215" s="444">
        <v>6781.5</v>
      </c>
      <c r="J215" s="198" t="s">
        <v>2378</v>
      </c>
      <c r="K215" s="197" t="s">
        <v>2379</v>
      </c>
      <c r="L215" s="197" t="s">
        <v>1034</v>
      </c>
      <c r="M215" s="197" t="s">
        <v>1544</v>
      </c>
      <c r="N215" s="567">
        <v>45420</v>
      </c>
      <c r="O215" s="197" t="s">
        <v>2380</v>
      </c>
    </row>
    <row r="216" spans="1:15" s="200" customFormat="1" ht="8.1" customHeight="1" x14ac:dyDescent="0.25">
      <c r="A216" s="197" t="s">
        <v>2672</v>
      </c>
      <c r="B216" s="197" t="s">
        <v>2381</v>
      </c>
      <c r="C216" s="197" t="s">
        <v>2673</v>
      </c>
      <c r="D216" s="199" t="s">
        <v>2315</v>
      </c>
      <c r="E216" s="199" t="s">
        <v>1051</v>
      </c>
      <c r="F216" s="442">
        <v>45405.652719907404</v>
      </c>
      <c r="G216" s="467">
        <v>0.65271990740740737</v>
      </c>
      <c r="H216" s="443">
        <v>3142.68</v>
      </c>
      <c r="I216" s="444">
        <v>1000</v>
      </c>
      <c r="J216" s="198" t="s">
        <v>2382</v>
      </c>
      <c r="K216" s="197" t="s">
        <v>2383</v>
      </c>
      <c r="L216" s="197" t="s">
        <v>1034</v>
      </c>
      <c r="M216" s="197" t="s">
        <v>1544</v>
      </c>
      <c r="N216" s="567">
        <v>45433</v>
      </c>
      <c r="O216" s="197" t="s">
        <v>2322</v>
      </c>
    </row>
    <row r="217" spans="1:15" s="200" customFormat="1" ht="8.1" customHeight="1" x14ac:dyDescent="0.25">
      <c r="A217" s="197" t="s">
        <v>2674</v>
      </c>
      <c r="B217" s="197" t="s">
        <v>2384</v>
      </c>
      <c r="C217" s="447" t="s">
        <v>2675</v>
      </c>
      <c r="D217" s="199" t="s">
        <v>1126</v>
      </c>
      <c r="E217" s="199" t="s">
        <v>1051</v>
      </c>
      <c r="F217" s="442">
        <v>45425.86513888889</v>
      </c>
      <c r="G217" s="467">
        <v>0.86513888888888879</v>
      </c>
      <c r="H217" s="443">
        <v>17587.45</v>
      </c>
      <c r="I217" s="444">
        <v>17587.45</v>
      </c>
      <c r="J217" s="198" t="s">
        <v>1002</v>
      </c>
      <c r="K217" s="455" t="s">
        <v>2385</v>
      </c>
      <c r="L217" s="197" t="s">
        <v>1037</v>
      </c>
      <c r="M217" s="197" t="s">
        <v>1354</v>
      </c>
      <c r="N217" s="567">
        <v>45433</v>
      </c>
      <c r="O217" s="197" t="s">
        <v>2386</v>
      </c>
    </row>
    <row r="218" spans="1:15" s="200" customFormat="1" ht="8.1" customHeight="1" x14ac:dyDescent="0.25">
      <c r="A218" s="197" t="s">
        <v>2676</v>
      </c>
      <c r="B218" s="197" t="s">
        <v>2387</v>
      </c>
      <c r="C218" s="197" t="s">
        <v>2677</v>
      </c>
      <c r="D218" s="197" t="s">
        <v>1127</v>
      </c>
      <c r="E218" s="199" t="s">
        <v>1051</v>
      </c>
      <c r="F218" s="442">
        <v>45425.900937500002</v>
      </c>
      <c r="G218" s="467">
        <v>0.90093749999999995</v>
      </c>
      <c r="H218" s="443">
        <v>7379</v>
      </c>
      <c r="I218" s="444">
        <v>6000</v>
      </c>
      <c r="J218" s="198" t="s">
        <v>2388</v>
      </c>
      <c r="K218" s="197" t="s">
        <v>2389</v>
      </c>
      <c r="L218" s="197" t="s">
        <v>1034</v>
      </c>
      <c r="M218" s="197" t="s">
        <v>1544</v>
      </c>
      <c r="N218" s="567">
        <v>45433</v>
      </c>
      <c r="O218" s="197" t="s">
        <v>1311</v>
      </c>
    </row>
    <row r="219" spans="1:15" s="200" customFormat="1" ht="8.1" customHeight="1" x14ac:dyDescent="0.25">
      <c r="A219" s="197" t="s">
        <v>2678</v>
      </c>
      <c r="B219" s="197" t="s">
        <v>2390</v>
      </c>
      <c r="C219" s="197" t="s">
        <v>2679</v>
      </c>
      <c r="D219" s="197" t="s">
        <v>1046</v>
      </c>
      <c r="E219" s="199" t="s">
        <v>1051</v>
      </c>
      <c r="F219" s="442">
        <v>45428.673506944448</v>
      </c>
      <c r="G219" s="467">
        <v>0.67350694444444448</v>
      </c>
      <c r="H219" s="443">
        <v>20743.98</v>
      </c>
      <c r="I219" s="444">
        <v>270</v>
      </c>
      <c r="J219" s="198" t="s">
        <v>2391</v>
      </c>
      <c r="K219" s="197" t="s">
        <v>2392</v>
      </c>
      <c r="L219" s="197" t="s">
        <v>1034</v>
      </c>
      <c r="M219" s="197" t="s">
        <v>1544</v>
      </c>
      <c r="N219" s="567">
        <v>45433</v>
      </c>
      <c r="O219" s="197" t="s">
        <v>2393</v>
      </c>
    </row>
    <row r="220" spans="1:15" s="200" customFormat="1" ht="8.1" customHeight="1" x14ac:dyDescent="0.25">
      <c r="A220" s="197" t="s">
        <v>2680</v>
      </c>
      <c r="B220" s="197" t="s">
        <v>2394</v>
      </c>
      <c r="C220" s="197" t="s">
        <v>2681</v>
      </c>
      <c r="D220" s="197" t="s">
        <v>1046</v>
      </c>
      <c r="E220" s="199" t="s">
        <v>1051</v>
      </c>
      <c r="F220" s="442">
        <v>45427.574525462966</v>
      </c>
      <c r="G220" s="467">
        <v>0.57452546296296292</v>
      </c>
      <c r="H220" s="443">
        <v>12851</v>
      </c>
      <c r="I220" s="444">
        <v>12004.44</v>
      </c>
      <c r="J220" s="198" t="s">
        <v>2395</v>
      </c>
      <c r="K220" s="197" t="s">
        <v>2396</v>
      </c>
      <c r="L220" s="197" t="s">
        <v>1034</v>
      </c>
      <c r="M220" s="197" t="s">
        <v>1544</v>
      </c>
      <c r="N220" s="567">
        <v>45434</v>
      </c>
      <c r="O220" s="197" t="s">
        <v>2397</v>
      </c>
    </row>
    <row r="221" spans="1:15" s="259" customFormat="1" ht="8.1" customHeight="1" x14ac:dyDescent="0.25">
      <c r="A221" s="197" t="s">
        <v>2682</v>
      </c>
      <c r="B221" s="199" t="s">
        <v>2683</v>
      </c>
      <c r="C221" s="199" t="s">
        <v>2684</v>
      </c>
      <c r="D221" s="199" t="s">
        <v>1126</v>
      </c>
      <c r="E221" s="199" t="s">
        <v>1051</v>
      </c>
      <c r="F221" s="442">
        <v>45422.678437499999</v>
      </c>
      <c r="G221" s="467">
        <v>0.67843749999999992</v>
      </c>
      <c r="H221" s="459">
        <v>50000</v>
      </c>
      <c r="I221" s="460">
        <v>50000</v>
      </c>
      <c r="J221" s="461" t="s">
        <v>1002</v>
      </c>
      <c r="K221" s="455" t="s">
        <v>2685</v>
      </c>
      <c r="L221" s="197" t="s">
        <v>1037</v>
      </c>
      <c r="M221" s="197" t="s">
        <v>1354</v>
      </c>
      <c r="N221" s="567">
        <v>45437</v>
      </c>
      <c r="O221" s="199" t="s">
        <v>2686</v>
      </c>
    </row>
    <row r="222" spans="1:15" s="259" customFormat="1" ht="8.1" customHeight="1" x14ac:dyDescent="0.25">
      <c r="A222" s="197" t="s">
        <v>2687</v>
      </c>
      <c r="B222" s="199" t="s">
        <v>2688</v>
      </c>
      <c r="C222" s="199" t="s">
        <v>2689</v>
      </c>
      <c r="D222" s="199" t="s">
        <v>2315</v>
      </c>
      <c r="E222" s="199" t="s">
        <v>1051</v>
      </c>
      <c r="F222" s="442">
        <v>45423.721701388888</v>
      </c>
      <c r="G222" s="467">
        <v>0.72170138888888891</v>
      </c>
      <c r="H222" s="459">
        <v>17743.400000000001</v>
      </c>
      <c r="I222" s="460">
        <v>17743.400000000001</v>
      </c>
      <c r="J222" s="461" t="s">
        <v>1002</v>
      </c>
      <c r="K222" s="455" t="s">
        <v>2690</v>
      </c>
      <c r="L222" s="197" t="s">
        <v>1037</v>
      </c>
      <c r="M222" s="197" t="s">
        <v>1354</v>
      </c>
      <c r="N222" s="567">
        <v>45440</v>
      </c>
      <c r="O222" s="199" t="s">
        <v>2691</v>
      </c>
    </row>
    <row r="223" spans="1:15" s="259" customFormat="1" ht="8.1" customHeight="1" x14ac:dyDescent="0.25">
      <c r="A223" s="197" t="s">
        <v>2692</v>
      </c>
      <c r="B223" s="199" t="s">
        <v>2693</v>
      </c>
      <c r="C223" s="199" t="s">
        <v>2694</v>
      </c>
      <c r="D223" s="199" t="s">
        <v>1098</v>
      </c>
      <c r="E223" s="199" t="s">
        <v>1051</v>
      </c>
      <c r="F223" s="442">
        <v>45423.712129629632</v>
      </c>
      <c r="G223" s="467">
        <v>0.71212962962962967</v>
      </c>
      <c r="H223" s="459">
        <v>403.9</v>
      </c>
      <c r="I223" s="460">
        <v>403.9</v>
      </c>
      <c r="J223" s="461" t="s">
        <v>1002</v>
      </c>
      <c r="K223" s="455" t="s">
        <v>2695</v>
      </c>
      <c r="L223" s="197" t="s">
        <v>1037</v>
      </c>
      <c r="M223" s="197" t="s">
        <v>1354</v>
      </c>
      <c r="N223" s="567">
        <v>45443</v>
      </c>
      <c r="O223" s="199" t="s">
        <v>2696</v>
      </c>
    </row>
    <row r="224" spans="1:15" s="259" customFormat="1" ht="8.1" customHeight="1" x14ac:dyDescent="0.25">
      <c r="A224" s="197" t="s">
        <v>2697</v>
      </c>
      <c r="B224" s="199" t="s">
        <v>2698</v>
      </c>
      <c r="C224" s="199" t="s">
        <v>2699</v>
      </c>
      <c r="D224" s="199" t="s">
        <v>1050</v>
      </c>
      <c r="E224" s="199" t="s">
        <v>1051</v>
      </c>
      <c r="F224" s="442">
        <v>45436.663124999999</v>
      </c>
      <c r="G224" s="467">
        <v>0.66312499999999996</v>
      </c>
      <c r="H224" s="459">
        <v>5762.88</v>
      </c>
      <c r="I224" s="460">
        <v>5762.88</v>
      </c>
      <c r="J224" s="461" t="s">
        <v>1002</v>
      </c>
      <c r="K224" s="455" t="s">
        <v>2700</v>
      </c>
      <c r="L224" s="197" t="s">
        <v>1037</v>
      </c>
      <c r="M224" s="197" t="s">
        <v>1354</v>
      </c>
      <c r="N224" s="567">
        <v>45443</v>
      </c>
      <c r="O224" s="199" t="s">
        <v>1552</v>
      </c>
    </row>
    <row r="225" spans="1:15" s="259" customFormat="1" ht="8.1" customHeight="1" x14ac:dyDescent="0.25">
      <c r="A225" s="197" t="s">
        <v>2701</v>
      </c>
      <c r="B225" s="199" t="s">
        <v>2702</v>
      </c>
      <c r="C225" s="199" t="s">
        <v>2703</v>
      </c>
      <c r="D225" s="199" t="s">
        <v>1089</v>
      </c>
      <c r="E225" s="199" t="s">
        <v>1051</v>
      </c>
      <c r="F225" s="442">
        <v>45433.695914351854</v>
      </c>
      <c r="G225" s="467">
        <v>0.6959143518518518</v>
      </c>
      <c r="H225" s="459">
        <v>8729.08</v>
      </c>
      <c r="I225" s="460">
        <v>8729.08</v>
      </c>
      <c r="J225" s="461" t="s">
        <v>1002</v>
      </c>
      <c r="K225" s="455" t="s">
        <v>2704</v>
      </c>
      <c r="L225" s="197" t="s">
        <v>1037</v>
      </c>
      <c r="M225" s="197" t="s">
        <v>1354</v>
      </c>
      <c r="N225" s="567">
        <v>45443</v>
      </c>
      <c r="O225" s="199" t="s">
        <v>1139</v>
      </c>
    </row>
    <row r="226" spans="1:15" s="259" customFormat="1" ht="8.1" customHeight="1" x14ac:dyDescent="0.25">
      <c r="A226" s="197" t="s">
        <v>2705</v>
      </c>
      <c r="B226" s="199" t="s">
        <v>2706</v>
      </c>
      <c r="C226" s="199" t="s">
        <v>2707</v>
      </c>
      <c r="D226" s="199" t="s">
        <v>1046</v>
      </c>
      <c r="E226" s="199" t="s">
        <v>1051</v>
      </c>
      <c r="F226" s="442">
        <v>45445.648819444446</v>
      </c>
      <c r="G226" s="467">
        <v>0.6488194444444445</v>
      </c>
      <c r="H226" s="459">
        <v>31974.35</v>
      </c>
      <c r="I226" s="460">
        <v>10000</v>
      </c>
      <c r="J226" s="461" t="s">
        <v>2708</v>
      </c>
      <c r="K226" s="197" t="s">
        <v>2709</v>
      </c>
      <c r="L226" s="197" t="s">
        <v>1034</v>
      </c>
      <c r="M226" s="197" t="s">
        <v>1544</v>
      </c>
      <c r="N226" s="567">
        <v>45446</v>
      </c>
      <c r="O226" s="199" t="s">
        <v>2710</v>
      </c>
    </row>
    <row r="227" spans="1:15" s="259" customFormat="1" ht="8.1" customHeight="1" x14ac:dyDescent="0.25">
      <c r="A227" s="197" t="s">
        <v>2711</v>
      </c>
      <c r="B227" s="199" t="s">
        <v>2712</v>
      </c>
      <c r="C227" s="199" t="s">
        <v>2713</v>
      </c>
      <c r="D227" s="199" t="s">
        <v>1050</v>
      </c>
      <c r="E227" s="199" t="s">
        <v>1051</v>
      </c>
      <c r="F227" s="442">
        <v>45450.610925925925</v>
      </c>
      <c r="G227" s="467">
        <v>0.61092592592592598</v>
      </c>
      <c r="H227" s="459">
        <v>21375.22</v>
      </c>
      <c r="I227" s="460">
        <v>1670.6700000000019</v>
      </c>
      <c r="J227" s="461" t="s">
        <v>2714</v>
      </c>
      <c r="K227" s="197" t="s">
        <v>2715</v>
      </c>
      <c r="L227" s="197" t="s">
        <v>1034</v>
      </c>
      <c r="M227" s="197" t="s">
        <v>1544</v>
      </c>
      <c r="N227" s="567">
        <v>45453</v>
      </c>
      <c r="O227" s="199" t="s">
        <v>2134</v>
      </c>
    </row>
    <row r="228" spans="1:15" s="259" customFormat="1" ht="8.1" customHeight="1" x14ac:dyDescent="0.25">
      <c r="A228" s="197" t="s">
        <v>2716</v>
      </c>
      <c r="B228" s="199" t="s">
        <v>2717</v>
      </c>
      <c r="C228" s="199" t="s">
        <v>2718</v>
      </c>
      <c r="D228" s="199" t="s">
        <v>2719</v>
      </c>
      <c r="E228" s="199" t="s">
        <v>1051</v>
      </c>
      <c r="F228" s="442">
        <v>45443.415381944447</v>
      </c>
      <c r="G228" s="467">
        <v>0.41538194444444443</v>
      </c>
      <c r="H228" s="459">
        <v>5000</v>
      </c>
      <c r="I228" s="460">
        <v>5000</v>
      </c>
      <c r="J228" s="461" t="s">
        <v>1002</v>
      </c>
      <c r="K228" s="455" t="s">
        <v>2720</v>
      </c>
      <c r="L228" s="197" t="s">
        <v>1037</v>
      </c>
      <c r="M228" s="197" t="s">
        <v>1354</v>
      </c>
      <c r="N228" s="567">
        <v>45453</v>
      </c>
      <c r="O228" s="199" t="s">
        <v>2721</v>
      </c>
    </row>
    <row r="229" spans="1:15" s="259" customFormat="1" ht="8.1" customHeight="1" x14ac:dyDescent="0.25">
      <c r="A229" s="197" t="s">
        <v>2722</v>
      </c>
      <c r="B229" s="199" t="s">
        <v>2723</v>
      </c>
      <c r="C229" s="199" t="s">
        <v>2724</v>
      </c>
      <c r="D229" s="197" t="s">
        <v>1050</v>
      </c>
      <c r="E229" s="199" t="s">
        <v>1051</v>
      </c>
      <c r="F229" s="442">
        <v>45464.704571759263</v>
      </c>
      <c r="G229" s="467">
        <v>0.70457175925925919</v>
      </c>
      <c r="H229" s="459">
        <v>29017.86</v>
      </c>
      <c r="I229" s="460">
        <v>29017.86</v>
      </c>
      <c r="J229" s="461" t="s">
        <v>1002</v>
      </c>
      <c r="K229" s="455" t="s">
        <v>2725</v>
      </c>
      <c r="L229" s="197" t="s">
        <v>1037</v>
      </c>
      <c r="M229" s="197" t="s">
        <v>1354</v>
      </c>
      <c r="N229" s="567">
        <v>45468</v>
      </c>
      <c r="O229" s="199" t="s">
        <v>1442</v>
      </c>
    </row>
    <row r="230" spans="1:15" s="259" customFormat="1" ht="8.1" customHeight="1" x14ac:dyDescent="0.25">
      <c r="A230" s="197" t="s">
        <v>2726</v>
      </c>
      <c r="B230" s="199" t="s">
        <v>2727</v>
      </c>
      <c r="C230" s="199" t="s">
        <v>2728</v>
      </c>
      <c r="D230" s="197" t="s">
        <v>1050</v>
      </c>
      <c r="E230" s="199" t="s">
        <v>1051</v>
      </c>
      <c r="F230" s="442">
        <v>45463.661249999997</v>
      </c>
      <c r="G230" s="467">
        <v>0.66125</v>
      </c>
      <c r="H230" s="459">
        <v>7032.44</v>
      </c>
      <c r="I230" s="460">
        <v>6000</v>
      </c>
      <c r="J230" s="461" t="s">
        <v>2729</v>
      </c>
      <c r="K230" s="197" t="s">
        <v>2730</v>
      </c>
      <c r="L230" s="197" t="s">
        <v>1034</v>
      </c>
      <c r="M230" s="197" t="s">
        <v>1544</v>
      </c>
      <c r="N230" s="567">
        <v>45468</v>
      </c>
      <c r="O230" s="199" t="s">
        <v>1258</v>
      </c>
    </row>
    <row r="231" spans="1:15" s="259" customFormat="1" ht="8.1" customHeight="1" x14ac:dyDescent="0.25">
      <c r="A231" s="197" t="s">
        <v>2731</v>
      </c>
      <c r="B231" s="199" t="s">
        <v>2732</v>
      </c>
      <c r="C231" s="199" t="s">
        <v>2733</v>
      </c>
      <c r="D231" s="197" t="s">
        <v>1126</v>
      </c>
      <c r="E231" s="199" t="s">
        <v>1051</v>
      </c>
      <c r="F231" s="442">
        <v>45460.660393518519</v>
      </c>
      <c r="G231" s="467">
        <v>0.66039351851851846</v>
      </c>
      <c r="H231" s="459">
        <v>33478</v>
      </c>
      <c r="I231" s="460">
        <v>3000</v>
      </c>
      <c r="J231" s="461" t="s">
        <v>2734</v>
      </c>
      <c r="K231" s="197" t="s">
        <v>2735</v>
      </c>
      <c r="L231" s="197" t="s">
        <v>1034</v>
      </c>
      <c r="M231" s="197" t="s">
        <v>1544</v>
      </c>
      <c r="N231" s="567">
        <v>45468</v>
      </c>
      <c r="O231" s="199" t="s">
        <v>2736</v>
      </c>
    </row>
    <row r="232" spans="1:15" s="259" customFormat="1" ht="8.1" customHeight="1" x14ac:dyDescent="0.25">
      <c r="A232" s="197" t="s">
        <v>2737</v>
      </c>
      <c r="B232" s="199" t="s">
        <v>2738</v>
      </c>
      <c r="C232" s="199" t="s">
        <v>2739</v>
      </c>
      <c r="D232" s="197" t="s">
        <v>1046</v>
      </c>
      <c r="E232" s="199" t="s">
        <v>1051</v>
      </c>
      <c r="F232" s="442">
        <v>45471.666122685187</v>
      </c>
      <c r="G232" s="467">
        <v>0.66612268518518525</v>
      </c>
      <c r="H232" s="459">
        <v>16719.43</v>
      </c>
      <c r="I232" s="460">
        <v>16412.29</v>
      </c>
      <c r="J232" s="461" t="s">
        <v>2740</v>
      </c>
      <c r="K232" s="197" t="s">
        <v>2741</v>
      </c>
      <c r="L232" s="197" t="s">
        <v>1034</v>
      </c>
      <c r="M232" s="197" t="s">
        <v>1544</v>
      </c>
      <c r="N232" s="567">
        <v>45474</v>
      </c>
      <c r="O232" s="199" t="s">
        <v>2103</v>
      </c>
    </row>
    <row r="233" spans="1:15" s="200" customFormat="1" ht="8.1" customHeight="1" x14ac:dyDescent="0.25">
      <c r="A233" s="197" t="s">
        <v>2742</v>
      </c>
      <c r="B233" s="197" t="s">
        <v>2743</v>
      </c>
      <c r="C233" s="197" t="s">
        <v>2997</v>
      </c>
      <c r="D233" s="197" t="s">
        <v>1050</v>
      </c>
      <c r="E233" s="466" t="s">
        <v>1051</v>
      </c>
      <c r="F233" s="442">
        <v>45471.408831018518</v>
      </c>
      <c r="G233" s="467">
        <v>0.4088310185185185</v>
      </c>
      <c r="H233" s="443">
        <v>13086.76</v>
      </c>
      <c r="I233" s="444">
        <v>13086.76</v>
      </c>
      <c r="J233" s="461" t="s">
        <v>1002</v>
      </c>
      <c r="K233" s="197" t="s">
        <v>2744</v>
      </c>
      <c r="L233" s="197" t="s">
        <v>1037</v>
      </c>
      <c r="M233" s="197" t="s">
        <v>1354</v>
      </c>
      <c r="N233" s="567">
        <v>45484</v>
      </c>
      <c r="O233" s="197" t="s">
        <v>2745</v>
      </c>
    </row>
    <row r="234" spans="1:15" s="200" customFormat="1" ht="8.1" customHeight="1" x14ac:dyDescent="0.25">
      <c r="A234" s="197" t="s">
        <v>2746</v>
      </c>
      <c r="B234" s="197" t="s">
        <v>2747</v>
      </c>
      <c r="C234" s="197" t="s">
        <v>2998</v>
      </c>
      <c r="D234" s="197" t="s">
        <v>1050</v>
      </c>
      <c r="E234" s="466" t="s">
        <v>1051</v>
      </c>
      <c r="F234" s="442">
        <v>45483.728912037041</v>
      </c>
      <c r="G234" s="467">
        <v>0.72891203703703711</v>
      </c>
      <c r="H234" s="463">
        <v>5561.06</v>
      </c>
      <c r="I234" s="464">
        <v>5561.06</v>
      </c>
      <c r="J234" s="198" t="s">
        <v>2748</v>
      </c>
      <c r="K234" s="197" t="s">
        <v>2749</v>
      </c>
      <c r="L234" s="197" t="s">
        <v>1034</v>
      </c>
      <c r="M234" s="197" t="s">
        <v>1544</v>
      </c>
      <c r="N234" s="567">
        <v>45484</v>
      </c>
      <c r="O234" s="197" t="s">
        <v>2750</v>
      </c>
    </row>
    <row r="235" spans="1:15" s="200" customFormat="1" ht="8.1" customHeight="1" x14ac:dyDescent="0.25">
      <c r="A235" s="197" t="s">
        <v>2751</v>
      </c>
      <c r="B235" s="197" t="s">
        <v>2752</v>
      </c>
      <c r="C235" s="197" t="s">
        <v>2999</v>
      </c>
      <c r="D235" s="197" t="s">
        <v>1050</v>
      </c>
      <c r="E235" s="466" t="s">
        <v>1051</v>
      </c>
      <c r="F235" s="442">
        <v>45484.589317129627</v>
      </c>
      <c r="G235" s="467">
        <v>0.58931712962962968</v>
      </c>
      <c r="H235" s="443">
        <v>6066.99</v>
      </c>
      <c r="I235" s="444">
        <v>60</v>
      </c>
      <c r="J235" s="198" t="s">
        <v>2753</v>
      </c>
      <c r="K235" s="197" t="s">
        <v>2754</v>
      </c>
      <c r="L235" s="197" t="s">
        <v>1034</v>
      </c>
      <c r="M235" s="197" t="s">
        <v>1544</v>
      </c>
      <c r="N235" s="567">
        <v>45485</v>
      </c>
      <c r="O235" s="197" t="s">
        <v>2755</v>
      </c>
    </row>
    <row r="236" spans="1:15" s="200" customFormat="1" ht="8.1" customHeight="1" x14ac:dyDescent="0.25">
      <c r="A236" s="197" t="s">
        <v>2756</v>
      </c>
      <c r="B236" s="197" t="s">
        <v>2757</v>
      </c>
      <c r="C236" s="197" t="s">
        <v>3000</v>
      </c>
      <c r="D236" s="197" t="s">
        <v>1050</v>
      </c>
      <c r="E236" s="466" t="s">
        <v>1051</v>
      </c>
      <c r="F236" s="442">
        <v>45481.687974537039</v>
      </c>
      <c r="G236" s="467">
        <v>0.68797453703703704</v>
      </c>
      <c r="H236" s="443">
        <v>6171.33</v>
      </c>
      <c r="I236" s="444">
        <v>6171.33</v>
      </c>
      <c r="J236" s="461" t="s">
        <v>1397</v>
      </c>
      <c r="K236" s="197" t="s">
        <v>1079</v>
      </c>
      <c r="L236" s="197" t="s">
        <v>1034</v>
      </c>
      <c r="M236" s="197" t="s">
        <v>1318</v>
      </c>
      <c r="N236" s="567">
        <v>45492</v>
      </c>
      <c r="O236" s="197" t="s">
        <v>2758</v>
      </c>
    </row>
    <row r="237" spans="1:15" s="200" customFormat="1" ht="8.1" customHeight="1" x14ac:dyDescent="0.25">
      <c r="A237" s="197" t="s">
        <v>2759</v>
      </c>
      <c r="B237" s="197" t="s">
        <v>2760</v>
      </c>
      <c r="C237" s="197" t="s">
        <v>3001</v>
      </c>
      <c r="D237" s="197" t="s">
        <v>1055</v>
      </c>
      <c r="E237" s="466" t="s">
        <v>1051</v>
      </c>
      <c r="F237" s="442">
        <v>45497.893425925926</v>
      </c>
      <c r="G237" s="467">
        <v>0.89342592592592596</v>
      </c>
      <c r="H237" s="443">
        <v>35249.699999999997</v>
      </c>
      <c r="I237" s="444">
        <v>2000</v>
      </c>
      <c r="J237" s="198" t="s">
        <v>2761</v>
      </c>
      <c r="K237" s="197" t="s">
        <v>2762</v>
      </c>
      <c r="L237" s="197" t="s">
        <v>1034</v>
      </c>
      <c r="M237" s="197" t="s">
        <v>1544</v>
      </c>
      <c r="N237" s="567">
        <v>45499</v>
      </c>
      <c r="O237" s="197" t="s">
        <v>2386</v>
      </c>
    </row>
    <row r="238" spans="1:15" s="200" customFormat="1" ht="8.1" customHeight="1" x14ac:dyDescent="0.25">
      <c r="A238" s="197" t="s">
        <v>2763</v>
      </c>
      <c r="B238" s="197" t="s">
        <v>2764</v>
      </c>
      <c r="C238" s="197" t="s">
        <v>3002</v>
      </c>
      <c r="D238" s="197" t="s">
        <v>1050</v>
      </c>
      <c r="E238" s="466" t="s">
        <v>1051</v>
      </c>
      <c r="F238" s="442">
        <v>45498.6718287037</v>
      </c>
      <c r="G238" s="467">
        <v>0.67182870370370373</v>
      </c>
      <c r="H238" s="443">
        <v>38364.28</v>
      </c>
      <c r="I238" s="444">
        <v>6000</v>
      </c>
      <c r="J238" s="198" t="s">
        <v>2765</v>
      </c>
      <c r="K238" s="197" t="s">
        <v>2766</v>
      </c>
      <c r="L238" s="197" t="s">
        <v>1034</v>
      </c>
      <c r="M238" s="197" t="s">
        <v>1544</v>
      </c>
      <c r="N238" s="567">
        <v>45502</v>
      </c>
      <c r="O238" s="197" t="s">
        <v>1299</v>
      </c>
    </row>
    <row r="239" spans="1:15" s="200" customFormat="1" ht="8.1" customHeight="1" x14ac:dyDescent="0.25">
      <c r="A239" s="197" t="s">
        <v>2767</v>
      </c>
      <c r="B239" s="197" t="s">
        <v>2768</v>
      </c>
      <c r="C239" s="197" t="s">
        <v>3003</v>
      </c>
      <c r="D239" s="197" t="s">
        <v>2769</v>
      </c>
      <c r="E239" s="466" t="s">
        <v>1051</v>
      </c>
      <c r="F239" s="442">
        <v>45505.711712962962</v>
      </c>
      <c r="G239" s="467">
        <v>0.71171296296296294</v>
      </c>
      <c r="H239" s="443">
        <v>35162.76</v>
      </c>
      <c r="I239" s="444">
        <v>10000</v>
      </c>
      <c r="J239" s="198" t="s">
        <v>2770</v>
      </c>
      <c r="K239" s="197" t="s">
        <v>2771</v>
      </c>
      <c r="L239" s="197" t="s">
        <v>1034</v>
      </c>
      <c r="M239" s="197" t="s">
        <v>1544</v>
      </c>
      <c r="N239" s="567">
        <v>45506</v>
      </c>
      <c r="O239" s="197" t="s">
        <v>2772</v>
      </c>
    </row>
    <row r="240" spans="1:15" s="200" customFormat="1" ht="8.1" customHeight="1" x14ac:dyDescent="0.25">
      <c r="A240" s="197" t="s">
        <v>2773</v>
      </c>
      <c r="B240" s="197" t="s">
        <v>2774</v>
      </c>
      <c r="C240" s="197" t="s">
        <v>3004</v>
      </c>
      <c r="D240" s="197" t="s">
        <v>2775</v>
      </c>
      <c r="E240" s="466" t="s">
        <v>1051</v>
      </c>
      <c r="F240" s="442">
        <v>45492.372754629629</v>
      </c>
      <c r="G240" s="467">
        <v>0.37275462962962963</v>
      </c>
      <c r="H240" s="463">
        <v>5371.68</v>
      </c>
      <c r="I240" s="464">
        <v>5371.68</v>
      </c>
      <c r="J240" s="461" t="s">
        <v>1002</v>
      </c>
      <c r="K240" s="197" t="s">
        <v>2776</v>
      </c>
      <c r="L240" s="197" t="s">
        <v>1037</v>
      </c>
      <c r="M240" s="197" t="s">
        <v>1354</v>
      </c>
      <c r="N240" s="567">
        <v>45509</v>
      </c>
      <c r="O240" s="197" t="s">
        <v>2777</v>
      </c>
    </row>
    <row r="241" spans="1:15" s="200" customFormat="1" ht="8.1" customHeight="1" x14ac:dyDescent="0.25">
      <c r="A241" s="197" t="s">
        <v>2778</v>
      </c>
      <c r="B241" s="197" t="s">
        <v>2779</v>
      </c>
      <c r="C241" s="197" t="s">
        <v>3005</v>
      </c>
      <c r="D241" s="197" t="s">
        <v>1050</v>
      </c>
      <c r="E241" s="466" t="s">
        <v>1051</v>
      </c>
      <c r="F241" s="442">
        <v>45511.967615740738</v>
      </c>
      <c r="G241" s="467">
        <v>0.96761574074074075</v>
      </c>
      <c r="H241" s="443">
        <v>3871.14</v>
      </c>
      <c r="I241" s="444">
        <v>658.7</v>
      </c>
      <c r="J241" s="198" t="s">
        <v>2780</v>
      </c>
      <c r="K241" s="197" t="s">
        <v>2781</v>
      </c>
      <c r="L241" s="197" t="s">
        <v>1034</v>
      </c>
      <c r="M241" s="197" t="s">
        <v>1544</v>
      </c>
      <c r="N241" s="567">
        <v>45513</v>
      </c>
      <c r="O241" s="197" t="s">
        <v>2207</v>
      </c>
    </row>
    <row r="242" spans="1:15" s="200" customFormat="1" ht="8.1" customHeight="1" x14ac:dyDescent="0.25">
      <c r="A242" s="197" t="s">
        <v>2782</v>
      </c>
      <c r="B242" s="197" t="s">
        <v>2783</v>
      </c>
      <c r="C242" s="197" t="s">
        <v>3006</v>
      </c>
      <c r="D242" s="197" t="s">
        <v>1118</v>
      </c>
      <c r="E242" s="466" t="s">
        <v>1051</v>
      </c>
      <c r="F242" s="442">
        <v>45478.434363425928</v>
      </c>
      <c r="G242" s="467">
        <v>0.43436342592592592</v>
      </c>
      <c r="H242" s="443">
        <v>31382.09</v>
      </c>
      <c r="I242" s="444">
        <v>2153</v>
      </c>
      <c r="J242" s="198" t="s">
        <v>2784</v>
      </c>
      <c r="K242" s="197" t="s">
        <v>2785</v>
      </c>
      <c r="L242" s="197" t="s">
        <v>1034</v>
      </c>
      <c r="M242" s="197" t="s">
        <v>1544</v>
      </c>
      <c r="N242" s="567">
        <v>45513</v>
      </c>
      <c r="O242" s="197" t="s">
        <v>2786</v>
      </c>
    </row>
    <row r="243" spans="1:15" s="259" customFormat="1" ht="8.1" customHeight="1" x14ac:dyDescent="0.25">
      <c r="A243" s="465" t="s">
        <v>2787</v>
      </c>
      <c r="B243" s="199" t="s">
        <v>2788</v>
      </c>
      <c r="C243" s="199" t="s">
        <v>3007</v>
      </c>
      <c r="D243" s="199" t="s">
        <v>1098</v>
      </c>
      <c r="E243" s="466" t="s">
        <v>1051</v>
      </c>
      <c r="F243" s="442">
        <v>45502.859166666669</v>
      </c>
      <c r="G243" s="467">
        <v>0.85916666666666675</v>
      </c>
      <c r="H243" s="459">
        <v>5206.3100000000004</v>
      </c>
      <c r="I243" s="460">
        <v>5206.3100000000004</v>
      </c>
      <c r="J243" s="461" t="s">
        <v>1397</v>
      </c>
      <c r="K243" s="199" t="s">
        <v>1079</v>
      </c>
      <c r="L243" s="199" t="s">
        <v>1034</v>
      </c>
      <c r="M243" s="199" t="s">
        <v>1318</v>
      </c>
      <c r="N243" s="567">
        <v>45513</v>
      </c>
      <c r="O243" s="199" t="s">
        <v>1095</v>
      </c>
    </row>
    <row r="244" spans="1:15" s="200" customFormat="1" ht="8.1" customHeight="1" x14ac:dyDescent="0.25">
      <c r="A244" s="445" t="s">
        <v>2790</v>
      </c>
      <c r="B244" s="445" t="s">
        <v>2791</v>
      </c>
      <c r="C244" s="445" t="s">
        <v>3008</v>
      </c>
      <c r="D244" s="445" t="s">
        <v>1055</v>
      </c>
      <c r="E244" s="474" t="s">
        <v>1051</v>
      </c>
      <c r="F244" s="450">
        <v>45518.419259259259</v>
      </c>
      <c r="G244" s="472">
        <v>0.41925925925925928</v>
      </c>
      <c r="H244" s="451">
        <v>12766.76</v>
      </c>
      <c r="I244" s="452">
        <v>2276.2199999999998</v>
      </c>
      <c r="J244" s="453" t="s">
        <v>2792</v>
      </c>
      <c r="K244" s="445" t="s">
        <v>2793</v>
      </c>
      <c r="L244" s="445" t="s">
        <v>1034</v>
      </c>
      <c r="M244" s="445" t="s">
        <v>1544</v>
      </c>
      <c r="N244" s="568">
        <v>45519</v>
      </c>
      <c r="O244" s="445" t="s">
        <v>2777</v>
      </c>
    </row>
    <row r="245" spans="1:15" s="200" customFormat="1" ht="8.1" customHeight="1" x14ac:dyDescent="0.25">
      <c r="A245" s="197" t="s">
        <v>2794</v>
      </c>
      <c r="B245" s="197" t="s">
        <v>2795</v>
      </c>
      <c r="C245" s="197" t="s">
        <v>3009</v>
      </c>
      <c r="D245" s="197" t="s">
        <v>2315</v>
      </c>
      <c r="E245" s="466" t="s">
        <v>1051</v>
      </c>
      <c r="F245" s="442">
        <v>45525.716909722221</v>
      </c>
      <c r="G245" s="467">
        <v>0.71690972222222227</v>
      </c>
      <c r="H245" s="443">
        <v>13301.49</v>
      </c>
      <c r="I245" s="444">
        <v>2000</v>
      </c>
      <c r="J245" s="198" t="s">
        <v>2796</v>
      </c>
      <c r="K245" s="197" t="s">
        <v>2797</v>
      </c>
      <c r="L245" s="197" t="s">
        <v>1034</v>
      </c>
      <c r="M245" s="197" t="s">
        <v>1544</v>
      </c>
      <c r="N245" s="567">
        <v>45531</v>
      </c>
      <c r="O245" s="197" t="s">
        <v>2798</v>
      </c>
    </row>
    <row r="246" spans="1:15" s="259" customFormat="1" ht="8.1" customHeight="1" x14ac:dyDescent="0.25">
      <c r="A246" s="199" t="s">
        <v>2799</v>
      </c>
      <c r="B246" s="199" t="s">
        <v>2800</v>
      </c>
      <c r="C246" s="199" t="s">
        <v>3010</v>
      </c>
      <c r="D246" s="199" t="s">
        <v>2801</v>
      </c>
      <c r="E246" s="466" t="s">
        <v>1051</v>
      </c>
      <c r="F246" s="442">
        <v>45517.693692129629</v>
      </c>
      <c r="G246" s="467">
        <v>0.69369212962962967</v>
      </c>
      <c r="H246" s="459">
        <v>3673.23</v>
      </c>
      <c r="I246" s="460">
        <v>3673.23</v>
      </c>
      <c r="J246" s="461" t="s">
        <v>1397</v>
      </c>
      <c r="K246" s="199" t="s">
        <v>1079</v>
      </c>
      <c r="L246" s="199" t="s">
        <v>1034</v>
      </c>
      <c r="M246" s="199" t="s">
        <v>1318</v>
      </c>
      <c r="N246" s="567">
        <v>45534</v>
      </c>
      <c r="O246" s="199" t="s">
        <v>1301</v>
      </c>
    </row>
    <row r="247" spans="1:15" s="259" customFormat="1" ht="8.1" customHeight="1" x14ac:dyDescent="0.25">
      <c r="A247" s="199" t="s">
        <v>2802</v>
      </c>
      <c r="B247" s="197" t="s">
        <v>2803</v>
      </c>
      <c r="C247" s="197" t="s">
        <v>3011</v>
      </c>
      <c r="D247" s="197" t="s">
        <v>1089</v>
      </c>
      <c r="E247" s="466" t="s">
        <v>1051</v>
      </c>
      <c r="F247" s="442">
        <v>45532.647638888891</v>
      </c>
      <c r="G247" s="467">
        <v>0.64763888888888888</v>
      </c>
      <c r="H247" s="459">
        <v>9679.44</v>
      </c>
      <c r="I247" s="460">
        <v>2000</v>
      </c>
      <c r="J247" s="198" t="s">
        <v>2804</v>
      </c>
      <c r="K247" s="197" t="s">
        <v>2805</v>
      </c>
      <c r="L247" s="197" t="s">
        <v>1034</v>
      </c>
      <c r="M247" s="197" t="s">
        <v>1544</v>
      </c>
      <c r="N247" s="567">
        <v>45534</v>
      </c>
      <c r="O247" s="197" t="s">
        <v>1214</v>
      </c>
    </row>
    <row r="248" spans="1:15" s="200" customFormat="1" ht="8.1" customHeight="1" x14ac:dyDescent="0.25">
      <c r="A248" s="199" t="s">
        <v>2806</v>
      </c>
      <c r="B248" s="197" t="s">
        <v>2807</v>
      </c>
      <c r="C248" s="197" t="s">
        <v>3012</v>
      </c>
      <c r="D248" s="197" t="s">
        <v>1046</v>
      </c>
      <c r="E248" s="466" t="s">
        <v>1051</v>
      </c>
      <c r="F248" s="442">
        <v>45532.030810185184</v>
      </c>
      <c r="G248" s="467">
        <v>3.0810185185185187E-2</v>
      </c>
      <c r="H248" s="459">
        <v>21187.89</v>
      </c>
      <c r="I248" s="460">
        <v>17000</v>
      </c>
      <c r="J248" s="198" t="s">
        <v>2808</v>
      </c>
      <c r="K248" s="197" t="s">
        <v>2809</v>
      </c>
      <c r="L248" s="197" t="s">
        <v>1034</v>
      </c>
      <c r="M248" s="197" t="s">
        <v>1544</v>
      </c>
      <c r="N248" s="567">
        <v>45534</v>
      </c>
      <c r="O248" s="197" t="s">
        <v>1285</v>
      </c>
    </row>
    <row r="249" spans="1:15" s="200" customFormat="1" ht="8.1" customHeight="1" x14ac:dyDescent="0.25">
      <c r="A249" s="199" t="s">
        <v>2810</v>
      </c>
      <c r="B249" s="197" t="s">
        <v>2811</v>
      </c>
      <c r="C249" s="197" t="s">
        <v>3013</v>
      </c>
      <c r="D249" s="197" t="s">
        <v>1126</v>
      </c>
      <c r="E249" s="466" t="s">
        <v>1051</v>
      </c>
      <c r="F249" s="442">
        <v>45516.641932870371</v>
      </c>
      <c r="G249" s="467">
        <v>0.64193287037037039</v>
      </c>
      <c r="H249" s="463">
        <v>13234.24</v>
      </c>
      <c r="I249" s="464">
        <v>13234.24</v>
      </c>
      <c r="J249" s="461" t="s">
        <v>1397</v>
      </c>
      <c r="K249" s="199" t="s">
        <v>1079</v>
      </c>
      <c r="L249" s="199" t="s">
        <v>1034</v>
      </c>
      <c r="M249" s="199" t="s">
        <v>1318</v>
      </c>
      <c r="N249" s="567">
        <v>45538</v>
      </c>
      <c r="O249" s="197" t="s">
        <v>2812</v>
      </c>
    </row>
    <row r="250" spans="1:15" s="200" customFormat="1" ht="8.1" customHeight="1" x14ac:dyDescent="0.25">
      <c r="A250" s="199" t="s">
        <v>2813</v>
      </c>
      <c r="B250" s="197" t="s">
        <v>2814</v>
      </c>
      <c r="C250" s="197" t="s">
        <v>3014</v>
      </c>
      <c r="D250" s="197" t="s">
        <v>2815</v>
      </c>
      <c r="E250" s="466" t="s">
        <v>1051</v>
      </c>
      <c r="F250" s="442">
        <v>45539.708645833336</v>
      </c>
      <c r="G250" s="467">
        <v>0.70864583333333331</v>
      </c>
      <c r="H250" s="463">
        <v>3534.53</v>
      </c>
      <c r="I250" s="464">
        <v>1000</v>
      </c>
      <c r="J250" s="198" t="s">
        <v>2816</v>
      </c>
      <c r="K250" s="197" t="s">
        <v>2817</v>
      </c>
      <c r="L250" s="197" t="s">
        <v>1034</v>
      </c>
      <c r="M250" s="197" t="s">
        <v>1544</v>
      </c>
      <c r="N250" s="567">
        <v>45545</v>
      </c>
      <c r="O250" s="197" t="s">
        <v>2818</v>
      </c>
    </row>
    <row r="251" spans="1:15" s="200" customFormat="1" ht="8.1" customHeight="1" x14ac:dyDescent="0.25">
      <c r="A251" s="199" t="s">
        <v>2819</v>
      </c>
      <c r="B251" s="197" t="s">
        <v>2820</v>
      </c>
      <c r="C251" s="197" t="s">
        <v>3015</v>
      </c>
      <c r="D251" s="446" t="s">
        <v>1126</v>
      </c>
      <c r="E251" s="199" t="s">
        <v>1051</v>
      </c>
      <c r="F251" s="442">
        <v>45518.72210648148</v>
      </c>
      <c r="G251" s="467">
        <v>0.72210648148148149</v>
      </c>
      <c r="H251" s="443">
        <v>1202.51</v>
      </c>
      <c r="I251" s="444">
        <v>1202.51</v>
      </c>
      <c r="J251" s="461" t="s">
        <v>1002</v>
      </c>
      <c r="K251" s="197" t="s">
        <v>2821</v>
      </c>
      <c r="L251" s="197" t="s">
        <v>1037</v>
      </c>
      <c r="M251" s="197" t="s">
        <v>1354</v>
      </c>
      <c r="N251" s="567">
        <v>45551</v>
      </c>
      <c r="O251" s="197" t="s">
        <v>2822</v>
      </c>
    </row>
    <row r="252" spans="1:15" s="200" customFormat="1" ht="8.1" customHeight="1" x14ac:dyDescent="0.25">
      <c r="A252" s="199" t="s">
        <v>2823</v>
      </c>
      <c r="B252" s="197" t="s">
        <v>2824</v>
      </c>
      <c r="C252" s="197" t="s">
        <v>3016</v>
      </c>
      <c r="D252" s="197" t="s">
        <v>1127</v>
      </c>
      <c r="E252" s="466" t="s">
        <v>1051</v>
      </c>
      <c r="F252" s="442">
        <v>45508.718819444446</v>
      </c>
      <c r="G252" s="467">
        <v>0.71881944444444434</v>
      </c>
      <c r="H252" s="443">
        <v>3860.82</v>
      </c>
      <c r="I252" s="444">
        <v>3860.82</v>
      </c>
      <c r="J252" s="461" t="s">
        <v>1002</v>
      </c>
      <c r="K252" s="197" t="s">
        <v>2825</v>
      </c>
      <c r="L252" s="197" t="s">
        <v>1037</v>
      </c>
      <c r="M252" s="197" t="s">
        <v>1354</v>
      </c>
      <c r="N252" s="567">
        <v>45551</v>
      </c>
      <c r="O252" s="197" t="s">
        <v>1531</v>
      </c>
    </row>
    <row r="253" spans="1:15" s="200" customFormat="1" ht="8.1" customHeight="1" x14ac:dyDescent="0.25">
      <c r="A253" s="199" t="s">
        <v>2826</v>
      </c>
      <c r="B253" s="197" t="s">
        <v>2827</v>
      </c>
      <c r="C253" s="197" t="s">
        <v>3017</v>
      </c>
      <c r="D253" s="197" t="s">
        <v>1126</v>
      </c>
      <c r="E253" s="466" t="s">
        <v>1051</v>
      </c>
      <c r="F253" s="442">
        <v>45520.788171296299</v>
      </c>
      <c r="G253" s="467">
        <v>0.78817129629629623</v>
      </c>
      <c r="H253" s="456">
        <v>106.73</v>
      </c>
      <c r="I253" s="457">
        <v>106.73</v>
      </c>
      <c r="J253" s="461" t="s">
        <v>1002</v>
      </c>
      <c r="K253" s="197" t="s">
        <v>2828</v>
      </c>
      <c r="L253" s="197" t="s">
        <v>1037</v>
      </c>
      <c r="M253" s="197" t="s">
        <v>1354</v>
      </c>
      <c r="N253" s="567">
        <v>45551</v>
      </c>
      <c r="O253" s="197" t="s">
        <v>2829</v>
      </c>
    </row>
    <row r="254" spans="1:15" s="200" customFormat="1" ht="8.1" customHeight="1" x14ac:dyDescent="0.25">
      <c r="A254" s="199" t="s">
        <v>2830</v>
      </c>
      <c r="B254" s="197" t="s">
        <v>2831</v>
      </c>
      <c r="C254" s="197" t="s">
        <v>3018</v>
      </c>
      <c r="D254" s="199" t="s">
        <v>1186</v>
      </c>
      <c r="E254" s="475" t="s">
        <v>1051</v>
      </c>
      <c r="F254" s="442">
        <v>45525.74009259259</v>
      </c>
      <c r="G254" s="467">
        <v>0.74009259259259252</v>
      </c>
      <c r="H254" s="456">
        <v>8022.04</v>
      </c>
      <c r="I254" s="457">
        <v>8022.04</v>
      </c>
      <c r="J254" s="461" t="s">
        <v>1002</v>
      </c>
      <c r="K254" s="197" t="s">
        <v>2832</v>
      </c>
      <c r="L254" s="197" t="s">
        <v>1037</v>
      </c>
      <c r="M254" s="197" t="s">
        <v>1354</v>
      </c>
      <c r="N254" s="567">
        <v>45551</v>
      </c>
      <c r="O254" s="197" t="s">
        <v>2833</v>
      </c>
    </row>
    <row r="255" spans="1:15" s="200" customFormat="1" ht="8.1" customHeight="1" x14ac:dyDescent="0.25">
      <c r="A255" s="199" t="s">
        <v>2834</v>
      </c>
      <c r="B255" s="197" t="s">
        <v>2835</v>
      </c>
      <c r="C255" s="197" t="s">
        <v>3019</v>
      </c>
      <c r="D255" s="199" t="s">
        <v>2836</v>
      </c>
      <c r="E255" s="475" t="s">
        <v>1051</v>
      </c>
      <c r="F255" s="442">
        <v>45525.718043981484</v>
      </c>
      <c r="G255" s="467">
        <v>0.71804398148148152</v>
      </c>
      <c r="H255" s="456">
        <v>7900.92</v>
      </c>
      <c r="I255" s="457">
        <v>7900.92</v>
      </c>
      <c r="J255" s="461" t="s">
        <v>1002</v>
      </c>
      <c r="K255" s="197" t="s">
        <v>2837</v>
      </c>
      <c r="L255" s="197" t="s">
        <v>1037</v>
      </c>
      <c r="M255" s="197" t="s">
        <v>1354</v>
      </c>
      <c r="N255" s="567">
        <v>45551</v>
      </c>
      <c r="O255" s="197" t="s">
        <v>2838</v>
      </c>
    </row>
    <row r="256" spans="1:15" s="200" customFormat="1" ht="8.1" customHeight="1" x14ac:dyDescent="0.25">
      <c r="A256" s="199" t="s">
        <v>2839</v>
      </c>
      <c r="B256" s="197" t="s">
        <v>2840</v>
      </c>
      <c r="C256" s="197" t="s">
        <v>3020</v>
      </c>
      <c r="D256" s="199" t="s">
        <v>1046</v>
      </c>
      <c r="E256" s="475" t="s">
        <v>1051</v>
      </c>
      <c r="F256" s="442">
        <v>45525.716157407405</v>
      </c>
      <c r="G256" s="467">
        <v>0.71615740740740741</v>
      </c>
      <c r="H256" s="456">
        <v>8878.6</v>
      </c>
      <c r="I256" s="457">
        <v>8878.6</v>
      </c>
      <c r="J256" s="461" t="s">
        <v>1002</v>
      </c>
      <c r="K256" s="197" t="s">
        <v>2841</v>
      </c>
      <c r="L256" s="197" t="s">
        <v>1037</v>
      </c>
      <c r="M256" s="197" t="s">
        <v>1354</v>
      </c>
      <c r="N256" s="567">
        <v>45551</v>
      </c>
      <c r="O256" s="197" t="s">
        <v>1228</v>
      </c>
    </row>
    <row r="257" spans="1:15" s="200" customFormat="1" ht="8.1" customHeight="1" x14ac:dyDescent="0.25">
      <c r="A257" s="199" t="s">
        <v>2842</v>
      </c>
      <c r="B257" s="197" t="s">
        <v>2843</v>
      </c>
      <c r="C257" s="197" t="s">
        <v>3021</v>
      </c>
      <c r="D257" s="197" t="s">
        <v>2844</v>
      </c>
      <c r="E257" s="466" t="s">
        <v>1051</v>
      </c>
      <c r="F257" s="442">
        <v>45525.714444444442</v>
      </c>
      <c r="G257" s="467">
        <v>0.71444444444444455</v>
      </c>
      <c r="H257" s="443">
        <v>5930.82</v>
      </c>
      <c r="I257" s="444">
        <v>5930.82</v>
      </c>
      <c r="J257" s="461" t="s">
        <v>1002</v>
      </c>
      <c r="K257" s="197" t="s">
        <v>2845</v>
      </c>
      <c r="L257" s="197" t="s">
        <v>1037</v>
      </c>
      <c r="M257" s="197" t="s">
        <v>1354</v>
      </c>
      <c r="N257" s="567">
        <v>45551</v>
      </c>
      <c r="O257" s="197" t="s">
        <v>2362</v>
      </c>
    </row>
    <row r="258" spans="1:15" s="200" customFormat="1" ht="8.1" customHeight="1" x14ac:dyDescent="0.25">
      <c r="A258" s="199" t="s">
        <v>2846</v>
      </c>
      <c r="B258" s="197" t="s">
        <v>2847</v>
      </c>
      <c r="C258" s="197" t="s">
        <v>3022</v>
      </c>
      <c r="D258" s="197" t="s">
        <v>1118</v>
      </c>
      <c r="E258" s="466" t="s">
        <v>1051</v>
      </c>
      <c r="F258" s="442">
        <v>45534.706550925926</v>
      </c>
      <c r="G258" s="467">
        <v>0.70655092592592583</v>
      </c>
      <c r="H258" s="443">
        <v>30000</v>
      </c>
      <c r="I258" s="444">
        <v>30000</v>
      </c>
      <c r="J258" s="198" t="s">
        <v>1002</v>
      </c>
      <c r="K258" s="197" t="s">
        <v>2848</v>
      </c>
      <c r="L258" s="197" t="s">
        <v>1037</v>
      </c>
      <c r="M258" s="197" t="s">
        <v>1354</v>
      </c>
      <c r="N258" s="567">
        <v>45554</v>
      </c>
      <c r="O258" s="197" t="s">
        <v>2849</v>
      </c>
    </row>
    <row r="259" spans="1:15" s="200" customFormat="1" ht="8.1" customHeight="1" x14ac:dyDescent="0.25">
      <c r="A259" s="199" t="s">
        <v>2850</v>
      </c>
      <c r="B259" s="197" t="s">
        <v>2851</v>
      </c>
      <c r="C259" s="197" t="s">
        <v>3023</v>
      </c>
      <c r="D259" s="197" t="s">
        <v>1050</v>
      </c>
      <c r="E259" s="466" t="s">
        <v>1051</v>
      </c>
      <c r="F259" s="442">
        <v>45531.70516203704</v>
      </c>
      <c r="G259" s="467">
        <v>0.70516203703703706</v>
      </c>
      <c r="H259" s="443">
        <v>50000</v>
      </c>
      <c r="I259" s="444">
        <v>50000</v>
      </c>
      <c r="J259" s="198" t="s">
        <v>1002</v>
      </c>
      <c r="K259" s="197" t="s">
        <v>2852</v>
      </c>
      <c r="L259" s="197" t="s">
        <v>1037</v>
      </c>
      <c r="M259" s="197" t="s">
        <v>1354</v>
      </c>
      <c r="N259" s="567">
        <v>45554</v>
      </c>
      <c r="O259" s="197" t="s">
        <v>2853</v>
      </c>
    </row>
    <row r="260" spans="1:15" s="200" customFormat="1" ht="8.1" customHeight="1" x14ac:dyDescent="0.25">
      <c r="A260" s="199" t="s">
        <v>2854</v>
      </c>
      <c r="B260" s="197" t="s">
        <v>2855</v>
      </c>
      <c r="C260" s="197" t="s">
        <v>3024</v>
      </c>
      <c r="D260" s="197" t="s">
        <v>1050</v>
      </c>
      <c r="E260" s="466" t="s">
        <v>1051</v>
      </c>
      <c r="F260" s="442">
        <v>45542.693738425929</v>
      </c>
      <c r="G260" s="467">
        <v>0.69373842592592594</v>
      </c>
      <c r="H260" s="443">
        <v>22693.59</v>
      </c>
      <c r="I260" s="444">
        <v>22693.59</v>
      </c>
      <c r="J260" s="198" t="s">
        <v>1002</v>
      </c>
      <c r="K260" s="197" t="s">
        <v>2856</v>
      </c>
      <c r="L260" s="197" t="s">
        <v>1037</v>
      </c>
      <c r="M260" s="197" t="s">
        <v>1354</v>
      </c>
      <c r="N260" s="567">
        <v>45555</v>
      </c>
      <c r="O260" s="197" t="s">
        <v>2133</v>
      </c>
    </row>
    <row r="261" spans="1:15" s="200" customFormat="1" ht="8.1" customHeight="1" x14ac:dyDescent="0.25">
      <c r="A261" s="199" t="s">
        <v>2857</v>
      </c>
      <c r="B261" s="197" t="s">
        <v>2858</v>
      </c>
      <c r="C261" s="197" t="s">
        <v>3025</v>
      </c>
      <c r="D261" s="197" t="s">
        <v>1186</v>
      </c>
      <c r="E261" s="466" t="s">
        <v>1051</v>
      </c>
      <c r="F261" s="442">
        <v>45554.961712962962</v>
      </c>
      <c r="G261" s="467">
        <v>0.96171296296296294</v>
      </c>
      <c r="H261" s="443">
        <v>35713.550000000003</v>
      </c>
      <c r="I261" s="444">
        <v>35713.550000000003</v>
      </c>
      <c r="J261" s="198" t="s">
        <v>1002</v>
      </c>
      <c r="K261" s="197" t="s">
        <v>2859</v>
      </c>
      <c r="L261" s="197" t="s">
        <v>1037</v>
      </c>
      <c r="M261" s="197" t="s">
        <v>1354</v>
      </c>
      <c r="N261" s="567">
        <v>45558</v>
      </c>
      <c r="O261" s="197" t="s">
        <v>1081</v>
      </c>
    </row>
    <row r="262" spans="1:15" s="200" customFormat="1" ht="8.1" customHeight="1" x14ac:dyDescent="0.25">
      <c r="A262" s="199" t="s">
        <v>2860</v>
      </c>
      <c r="B262" s="197" t="s">
        <v>2861</v>
      </c>
      <c r="C262" s="197" t="s">
        <v>3026</v>
      </c>
      <c r="D262" s="197" t="s">
        <v>2862</v>
      </c>
      <c r="E262" s="466" t="s">
        <v>1051</v>
      </c>
      <c r="F262" s="442">
        <v>45554.604189814818</v>
      </c>
      <c r="G262" s="467">
        <v>0.60418981481481482</v>
      </c>
      <c r="H262" s="443">
        <v>12707.64</v>
      </c>
      <c r="I262" s="444">
        <v>12707.64</v>
      </c>
      <c r="J262" s="198" t="s">
        <v>1002</v>
      </c>
      <c r="K262" s="197" t="s">
        <v>2863</v>
      </c>
      <c r="L262" s="197" t="s">
        <v>1037</v>
      </c>
      <c r="M262" s="197" t="s">
        <v>1354</v>
      </c>
      <c r="N262" s="567">
        <v>45558</v>
      </c>
      <c r="O262" s="197" t="s">
        <v>2864</v>
      </c>
    </row>
    <row r="263" spans="1:15" s="200" customFormat="1" ht="8.1" customHeight="1" x14ac:dyDescent="0.25">
      <c r="A263" s="199" t="s">
        <v>2865</v>
      </c>
      <c r="B263" s="197" t="s">
        <v>2866</v>
      </c>
      <c r="C263" s="197" t="s">
        <v>3027</v>
      </c>
      <c r="D263" s="197" t="s">
        <v>1126</v>
      </c>
      <c r="E263" s="466" t="s">
        <v>1051</v>
      </c>
      <c r="F263" s="442">
        <v>45525.700173611112</v>
      </c>
      <c r="G263" s="467">
        <v>0.70017361111111109</v>
      </c>
      <c r="H263" s="443">
        <v>4373.5</v>
      </c>
      <c r="I263" s="444">
        <v>4373.5</v>
      </c>
      <c r="J263" s="198" t="s">
        <v>1002</v>
      </c>
      <c r="K263" s="197" t="s">
        <v>2867</v>
      </c>
      <c r="L263" s="197" t="s">
        <v>1037</v>
      </c>
      <c r="M263" s="197" t="s">
        <v>1354</v>
      </c>
      <c r="N263" s="567">
        <v>45559</v>
      </c>
      <c r="O263" s="197" t="s">
        <v>2218</v>
      </c>
    </row>
    <row r="264" spans="1:15" s="200" customFormat="1" ht="8.1" customHeight="1" x14ac:dyDescent="0.25">
      <c r="A264" s="199" t="s">
        <v>2868</v>
      </c>
      <c r="B264" s="197" t="s">
        <v>2869</v>
      </c>
      <c r="C264" s="197" t="s">
        <v>3028</v>
      </c>
      <c r="D264" s="197" t="s">
        <v>1046</v>
      </c>
      <c r="E264" s="199" t="s">
        <v>1051</v>
      </c>
      <c r="F264" s="442">
        <v>45561.817615740743</v>
      </c>
      <c r="G264" s="467">
        <v>0.81761574074074073</v>
      </c>
      <c r="H264" s="443">
        <v>26160.11</v>
      </c>
      <c r="I264" s="464">
        <v>1000</v>
      </c>
      <c r="J264" s="198" t="s">
        <v>2870</v>
      </c>
      <c r="K264" s="197" t="s">
        <v>2871</v>
      </c>
      <c r="L264" s="197" t="s">
        <v>1034</v>
      </c>
      <c r="M264" s="197" t="s">
        <v>1544</v>
      </c>
      <c r="N264" s="567">
        <v>45565</v>
      </c>
      <c r="O264" s="197" t="s">
        <v>1311</v>
      </c>
    </row>
    <row r="265" spans="1:15" s="200" customFormat="1" ht="8.1" customHeight="1" x14ac:dyDescent="0.25">
      <c r="A265" s="199" t="s">
        <v>2872</v>
      </c>
      <c r="B265" s="197" t="s">
        <v>2873</v>
      </c>
      <c r="C265" s="197" t="s">
        <v>3029</v>
      </c>
      <c r="D265" s="197" t="s">
        <v>1050</v>
      </c>
      <c r="E265" s="466" t="s">
        <v>1051</v>
      </c>
      <c r="F265" s="442">
        <v>45564.647465277776</v>
      </c>
      <c r="G265" s="467">
        <v>0.64746527777777774</v>
      </c>
      <c r="H265" s="443">
        <v>4720.4399999999996</v>
      </c>
      <c r="I265" s="444">
        <v>450</v>
      </c>
      <c r="J265" s="198" t="s">
        <v>2874</v>
      </c>
      <c r="K265" s="197" t="s">
        <v>2875</v>
      </c>
      <c r="L265" s="197" t="s">
        <v>1034</v>
      </c>
      <c r="M265" s="197" t="s">
        <v>1544</v>
      </c>
      <c r="N265" s="567">
        <v>45565</v>
      </c>
      <c r="O265" s="197" t="s">
        <v>2133</v>
      </c>
    </row>
    <row r="266" spans="1:15" s="200" customFormat="1" ht="8.1" customHeight="1" x14ac:dyDescent="0.25">
      <c r="A266" s="199" t="s">
        <v>2876</v>
      </c>
      <c r="B266" s="197" t="s">
        <v>2877</v>
      </c>
      <c r="C266" s="197" t="s">
        <v>3030</v>
      </c>
      <c r="D266" s="197" t="s">
        <v>2878</v>
      </c>
      <c r="E266" s="466" t="s">
        <v>1051</v>
      </c>
      <c r="F266" s="442">
        <v>45568.724004629628</v>
      </c>
      <c r="G266" s="467">
        <v>0.72400462962962964</v>
      </c>
      <c r="H266" s="443">
        <v>27054.59</v>
      </c>
      <c r="I266" s="444">
        <v>3000</v>
      </c>
      <c r="J266" s="198" t="s">
        <v>2879</v>
      </c>
      <c r="K266" s="197" t="s">
        <v>2880</v>
      </c>
      <c r="L266" s="197" t="s">
        <v>1034</v>
      </c>
      <c r="M266" s="197" t="s">
        <v>1544</v>
      </c>
      <c r="N266" s="567">
        <v>45573</v>
      </c>
      <c r="O266" s="197" t="s">
        <v>2881</v>
      </c>
    </row>
    <row r="267" spans="1:15" s="200" customFormat="1" ht="8.1" customHeight="1" x14ac:dyDescent="0.25">
      <c r="A267" s="199" t="s">
        <v>2882</v>
      </c>
      <c r="B267" s="197" t="s">
        <v>2883</v>
      </c>
      <c r="C267" s="197" t="s">
        <v>3031</v>
      </c>
      <c r="D267" s="197" t="s">
        <v>1046</v>
      </c>
      <c r="E267" s="466" t="s">
        <v>1051</v>
      </c>
      <c r="F267" s="442">
        <v>45541.724143518521</v>
      </c>
      <c r="G267" s="467">
        <v>0.72414351851851855</v>
      </c>
      <c r="H267" s="443">
        <v>242.35</v>
      </c>
      <c r="I267" s="444">
        <v>242.35</v>
      </c>
      <c r="J267" s="198" t="s">
        <v>1002</v>
      </c>
      <c r="K267" s="197" t="s">
        <v>2884</v>
      </c>
      <c r="L267" s="197" t="s">
        <v>1037</v>
      </c>
      <c r="M267" s="197" t="s">
        <v>1354</v>
      </c>
      <c r="N267" s="567">
        <v>45573</v>
      </c>
      <c r="O267" s="197" t="s">
        <v>2885</v>
      </c>
    </row>
    <row r="268" spans="1:15" s="200" customFormat="1" ht="8.1" customHeight="1" x14ac:dyDescent="0.25">
      <c r="A268" s="199" t="s">
        <v>2886</v>
      </c>
      <c r="B268" s="197" t="s">
        <v>2887</v>
      </c>
      <c r="C268" s="197" t="s">
        <v>3032</v>
      </c>
      <c r="D268" s="197" t="s">
        <v>1050</v>
      </c>
      <c r="E268" s="466" t="s">
        <v>1051</v>
      </c>
      <c r="F268" s="442">
        <v>45557.381793981483</v>
      </c>
      <c r="G268" s="467">
        <v>0.38179398148148147</v>
      </c>
      <c r="H268" s="443">
        <v>5108.7700000000004</v>
      </c>
      <c r="I268" s="444">
        <v>5108.7700000000004</v>
      </c>
      <c r="J268" s="198" t="s">
        <v>1002</v>
      </c>
      <c r="K268" s="197" t="s">
        <v>2888</v>
      </c>
      <c r="L268" s="197" t="s">
        <v>1037</v>
      </c>
      <c r="M268" s="197" t="s">
        <v>1354</v>
      </c>
      <c r="N268" s="567">
        <v>45573</v>
      </c>
      <c r="O268" s="197" t="s">
        <v>2889</v>
      </c>
    </row>
    <row r="269" spans="1:15" s="200" customFormat="1" ht="8.1" customHeight="1" x14ac:dyDescent="0.25">
      <c r="A269" s="199" t="s">
        <v>2890</v>
      </c>
      <c r="B269" s="197" t="s">
        <v>2891</v>
      </c>
      <c r="C269" s="197" t="s">
        <v>3033</v>
      </c>
      <c r="D269" s="197" t="s">
        <v>1165</v>
      </c>
      <c r="E269" s="466" t="s">
        <v>1051</v>
      </c>
      <c r="F269" s="442">
        <v>45560.683587962965</v>
      </c>
      <c r="G269" s="467">
        <v>0.68358796296296298</v>
      </c>
      <c r="H269" s="443">
        <v>20295</v>
      </c>
      <c r="I269" s="444">
        <v>20295</v>
      </c>
      <c r="J269" s="461" t="s">
        <v>1397</v>
      </c>
      <c r="K269" s="199" t="s">
        <v>1079</v>
      </c>
      <c r="L269" s="199" t="s">
        <v>1034</v>
      </c>
      <c r="M269" s="199" t="s">
        <v>1318</v>
      </c>
      <c r="N269" s="567">
        <v>45580</v>
      </c>
      <c r="O269" s="197" t="s">
        <v>2892</v>
      </c>
    </row>
    <row r="270" spans="1:15" s="200" customFormat="1" ht="8.1" customHeight="1" x14ac:dyDescent="0.25">
      <c r="A270" s="199" t="s">
        <v>2893</v>
      </c>
      <c r="B270" s="197" t="s">
        <v>2894</v>
      </c>
      <c r="C270" s="197" t="s">
        <v>3034</v>
      </c>
      <c r="D270" s="197" t="s">
        <v>2895</v>
      </c>
      <c r="E270" s="466" t="s">
        <v>1051</v>
      </c>
      <c r="F270" s="442">
        <v>45577.714791666665</v>
      </c>
      <c r="G270" s="467">
        <v>0.71479166666666671</v>
      </c>
      <c r="H270" s="443">
        <v>26060.01</v>
      </c>
      <c r="I270" s="444">
        <v>6000</v>
      </c>
      <c r="J270" s="198" t="s">
        <v>2896</v>
      </c>
      <c r="K270" s="197" t="s">
        <v>2897</v>
      </c>
      <c r="L270" s="197" t="s">
        <v>1034</v>
      </c>
      <c r="M270" s="197" t="s">
        <v>1544</v>
      </c>
      <c r="N270" s="567">
        <v>45580</v>
      </c>
      <c r="O270" s="197" t="s">
        <v>2849</v>
      </c>
    </row>
    <row r="271" spans="1:15" s="200" customFormat="1" ht="8.1" customHeight="1" x14ac:dyDescent="0.25">
      <c r="A271" s="199" t="s">
        <v>2898</v>
      </c>
      <c r="B271" s="197" t="s">
        <v>2899</v>
      </c>
      <c r="C271" s="197" t="s">
        <v>3035</v>
      </c>
      <c r="D271" s="197" t="s">
        <v>1050</v>
      </c>
      <c r="E271" s="466" t="s">
        <v>1051</v>
      </c>
      <c r="F271" s="442">
        <v>45563.700497685182</v>
      </c>
      <c r="G271" s="467">
        <v>0.70049768518518529</v>
      </c>
      <c r="H271" s="443">
        <v>20554.47</v>
      </c>
      <c r="I271" s="444">
        <v>20554.47</v>
      </c>
      <c r="J271" s="198" t="s">
        <v>1002</v>
      </c>
      <c r="K271" s="197" t="s">
        <v>2900</v>
      </c>
      <c r="L271" s="197" t="s">
        <v>1037</v>
      </c>
      <c r="M271" s="197" t="s">
        <v>1354</v>
      </c>
      <c r="N271" s="567">
        <v>45580</v>
      </c>
      <c r="O271" s="197" t="s">
        <v>2901</v>
      </c>
    </row>
    <row r="272" spans="1:15" s="200" customFormat="1" ht="8.1" customHeight="1" x14ac:dyDescent="0.25">
      <c r="A272" s="199" t="s">
        <v>2965</v>
      </c>
      <c r="B272" s="197" t="s">
        <v>2966</v>
      </c>
      <c r="C272" s="197" t="s">
        <v>3036</v>
      </c>
      <c r="D272" s="197" t="s">
        <v>2967</v>
      </c>
      <c r="E272" s="466" t="s">
        <v>1051</v>
      </c>
      <c r="F272" s="442">
        <v>45581.644884259258</v>
      </c>
      <c r="G272" s="467">
        <v>0.6448842592592593</v>
      </c>
      <c r="H272" s="443">
        <v>20138.54</v>
      </c>
      <c r="I272" s="444">
        <v>8000</v>
      </c>
      <c r="J272" s="198" t="s">
        <v>2968</v>
      </c>
      <c r="K272" s="197" t="s">
        <v>2969</v>
      </c>
      <c r="L272" s="197" t="s">
        <v>1034</v>
      </c>
      <c r="M272" s="197" t="s">
        <v>1544</v>
      </c>
      <c r="N272" s="567">
        <v>45588</v>
      </c>
      <c r="O272" s="197" t="s">
        <v>2970</v>
      </c>
    </row>
    <row r="273" spans="1:15" s="200" customFormat="1" ht="8.1" customHeight="1" x14ac:dyDescent="0.25">
      <c r="A273" s="199" t="s">
        <v>2971</v>
      </c>
      <c r="B273" s="197" t="s">
        <v>2972</v>
      </c>
      <c r="C273" s="197" t="s">
        <v>3037</v>
      </c>
      <c r="D273" s="197" t="s">
        <v>1055</v>
      </c>
      <c r="E273" s="466" t="s">
        <v>1051</v>
      </c>
      <c r="F273" s="442">
        <v>45540.832685185182</v>
      </c>
      <c r="G273" s="467">
        <v>0.83268518518518519</v>
      </c>
      <c r="H273" s="443">
        <v>9468</v>
      </c>
      <c r="I273" s="444">
        <v>6000</v>
      </c>
      <c r="J273" s="198" t="s">
        <v>2973</v>
      </c>
      <c r="K273" s="197" t="s">
        <v>2974</v>
      </c>
      <c r="L273" s="197" t="s">
        <v>1034</v>
      </c>
      <c r="M273" s="197" t="s">
        <v>1544</v>
      </c>
      <c r="N273" s="567">
        <v>45593</v>
      </c>
      <c r="O273" s="197" t="s">
        <v>1433</v>
      </c>
    </row>
    <row r="274" spans="1:15" s="200" customFormat="1" ht="8.1" customHeight="1" x14ac:dyDescent="0.25">
      <c r="A274" s="199" t="s">
        <v>2975</v>
      </c>
      <c r="B274" s="197" t="s">
        <v>2976</v>
      </c>
      <c r="C274" s="197" t="s">
        <v>3038</v>
      </c>
      <c r="D274" s="197" t="s">
        <v>1046</v>
      </c>
      <c r="E274" s="466" t="s">
        <v>1051</v>
      </c>
      <c r="F274" s="442">
        <v>45588.720543981479</v>
      </c>
      <c r="G274" s="467">
        <v>0.72054398148148147</v>
      </c>
      <c r="H274" s="443">
        <v>490</v>
      </c>
      <c r="I274" s="444">
        <v>49</v>
      </c>
      <c r="J274" s="198" t="s">
        <v>2977</v>
      </c>
      <c r="K274" s="197" t="s">
        <v>2978</v>
      </c>
      <c r="L274" s="197" t="s">
        <v>1034</v>
      </c>
      <c r="M274" s="197" t="s">
        <v>1544</v>
      </c>
      <c r="N274" s="567">
        <v>45593</v>
      </c>
      <c r="O274" s="197" t="s">
        <v>2103</v>
      </c>
    </row>
    <row r="275" spans="1:15" s="200" customFormat="1" ht="8.1" customHeight="1" x14ac:dyDescent="0.25">
      <c r="A275" s="199" t="s">
        <v>2979</v>
      </c>
      <c r="B275" s="197" t="s">
        <v>2980</v>
      </c>
      <c r="C275" s="197" t="s">
        <v>3039</v>
      </c>
      <c r="D275" s="197" t="s">
        <v>1290</v>
      </c>
      <c r="E275" s="466" t="s">
        <v>1051</v>
      </c>
      <c r="F275" s="442">
        <v>45563.679016203707</v>
      </c>
      <c r="G275" s="467">
        <v>0.67901620370370364</v>
      </c>
      <c r="H275" s="443">
        <v>39845.29</v>
      </c>
      <c r="I275" s="444">
        <v>39845.29</v>
      </c>
      <c r="J275" s="461" t="s">
        <v>1397</v>
      </c>
      <c r="K275" s="199" t="s">
        <v>1079</v>
      </c>
      <c r="L275" s="199" t="s">
        <v>1034</v>
      </c>
      <c r="M275" s="199" t="s">
        <v>1318</v>
      </c>
      <c r="N275" s="567">
        <v>45596</v>
      </c>
      <c r="O275" s="197" t="s">
        <v>1483</v>
      </c>
    </row>
    <row r="276" spans="1:15" s="200" customFormat="1" ht="8.1" customHeight="1" x14ac:dyDescent="0.25">
      <c r="A276" s="199" t="s">
        <v>2981</v>
      </c>
      <c r="B276" s="199" t="s">
        <v>2982</v>
      </c>
      <c r="C276" s="199" t="s">
        <v>3040</v>
      </c>
      <c r="D276" s="199" t="s">
        <v>1050</v>
      </c>
      <c r="E276" s="466" t="s">
        <v>1051</v>
      </c>
      <c r="F276" s="442">
        <v>45593.712094907409</v>
      </c>
      <c r="G276" s="467">
        <v>0.71209490740740744</v>
      </c>
      <c r="H276" s="459">
        <v>49409</v>
      </c>
      <c r="I276" s="460">
        <v>7000</v>
      </c>
      <c r="J276" s="461" t="s">
        <v>2983</v>
      </c>
      <c r="K276" s="199" t="s">
        <v>2984</v>
      </c>
      <c r="L276" s="199" t="s">
        <v>1034</v>
      </c>
      <c r="M276" s="199" t="s">
        <v>1544</v>
      </c>
      <c r="N276" s="567">
        <v>45596</v>
      </c>
      <c r="O276" s="199" t="s">
        <v>2985</v>
      </c>
    </row>
    <row r="277" spans="1:15" s="200" customFormat="1" ht="8.1" customHeight="1" x14ac:dyDescent="0.25">
      <c r="A277" s="199" t="s">
        <v>3041</v>
      </c>
      <c r="B277" s="197" t="s">
        <v>3042</v>
      </c>
      <c r="C277" s="199" t="s">
        <v>3043</v>
      </c>
      <c r="D277" s="197" t="s">
        <v>1055</v>
      </c>
      <c r="E277" s="466" t="s">
        <v>1051</v>
      </c>
      <c r="F277" s="442">
        <v>45618.653668981482</v>
      </c>
      <c r="G277" s="467">
        <v>0.65366898148148145</v>
      </c>
      <c r="H277" s="443">
        <v>3391.78</v>
      </c>
      <c r="I277" s="444">
        <v>3391.78</v>
      </c>
      <c r="J277" s="461" t="s">
        <v>1002</v>
      </c>
      <c r="K277" s="199" t="s">
        <v>3044</v>
      </c>
      <c r="L277" s="199" t="s">
        <v>1037</v>
      </c>
      <c r="M277" s="199" t="s">
        <v>1354</v>
      </c>
      <c r="N277" s="567">
        <v>45624</v>
      </c>
      <c r="O277" s="197" t="s">
        <v>1180</v>
      </c>
    </row>
    <row r="278" spans="1:15" s="200" customFormat="1" ht="8.1" customHeight="1" x14ac:dyDescent="0.25">
      <c r="A278" s="199" t="s">
        <v>3045</v>
      </c>
      <c r="B278" s="197" t="s">
        <v>3046</v>
      </c>
      <c r="C278" s="199" t="s">
        <v>3047</v>
      </c>
      <c r="D278" s="197" t="s">
        <v>1186</v>
      </c>
      <c r="E278" s="466" t="s">
        <v>1051</v>
      </c>
      <c r="F278" s="442">
        <v>45626.667534722219</v>
      </c>
      <c r="G278" s="467">
        <v>0.66753472222222221</v>
      </c>
      <c r="H278" s="443">
        <v>13767.37</v>
      </c>
      <c r="I278" s="444">
        <v>1000</v>
      </c>
      <c r="J278" s="461" t="s">
        <v>3048</v>
      </c>
      <c r="K278" s="199" t="s">
        <v>3049</v>
      </c>
      <c r="L278" s="199" t="s">
        <v>1034</v>
      </c>
      <c r="M278" s="199" t="s">
        <v>1544</v>
      </c>
      <c r="N278" s="567">
        <v>45628</v>
      </c>
      <c r="O278" s="197" t="s">
        <v>3050</v>
      </c>
    </row>
    <row r="279" spans="1:15" s="200" customFormat="1" ht="8.1" customHeight="1" x14ac:dyDescent="0.25">
      <c r="A279" s="199" t="s">
        <v>3051</v>
      </c>
      <c r="B279" s="197" t="s">
        <v>3052</v>
      </c>
      <c r="C279" s="197" t="s">
        <v>3053</v>
      </c>
      <c r="D279" s="197" t="s">
        <v>1050</v>
      </c>
      <c r="E279" s="466" t="s">
        <v>1051</v>
      </c>
      <c r="F279" s="442">
        <v>45640.936851851853</v>
      </c>
      <c r="G279" s="467">
        <v>0.93685185185185194</v>
      </c>
      <c r="H279" s="443">
        <v>27865.59</v>
      </c>
      <c r="I279" s="444">
        <v>6260.21</v>
      </c>
      <c r="J279" s="461" t="s">
        <v>3054</v>
      </c>
      <c r="K279" s="199" t="s">
        <v>3055</v>
      </c>
      <c r="L279" s="199" t="s">
        <v>1034</v>
      </c>
      <c r="M279" s="199" t="s">
        <v>1544</v>
      </c>
      <c r="N279" s="567">
        <v>45644</v>
      </c>
      <c r="O279" s="197" t="s">
        <v>1081</v>
      </c>
    </row>
    <row r="280" spans="1:15" s="200" customFormat="1" ht="8.1" customHeight="1" x14ac:dyDescent="0.25">
      <c r="A280" s="199" t="s">
        <v>3056</v>
      </c>
      <c r="B280" s="197" t="s">
        <v>3057</v>
      </c>
      <c r="C280" s="197" t="s">
        <v>3058</v>
      </c>
      <c r="D280" s="197" t="s">
        <v>1046</v>
      </c>
      <c r="E280" s="466" t="s">
        <v>1051</v>
      </c>
      <c r="F280" s="442">
        <v>45644.561805555553</v>
      </c>
      <c r="G280" s="467">
        <v>0.56180555555555556</v>
      </c>
      <c r="H280" s="443">
        <v>7488.88</v>
      </c>
      <c r="I280" s="444">
        <v>6740</v>
      </c>
      <c r="J280" s="461" t="s">
        <v>3059</v>
      </c>
      <c r="K280" s="199" t="s">
        <v>3060</v>
      </c>
      <c r="L280" s="199" t="s">
        <v>1034</v>
      </c>
      <c r="M280" s="199" t="s">
        <v>1544</v>
      </c>
      <c r="N280" s="567">
        <v>45647</v>
      </c>
      <c r="O280" s="197" t="s">
        <v>1399</v>
      </c>
    </row>
    <row r="281" spans="1:15" s="200" customFormat="1" ht="8.1" customHeight="1" x14ac:dyDescent="0.25">
      <c r="A281" s="199" t="s">
        <v>3061</v>
      </c>
      <c r="B281" s="197" t="s">
        <v>3062</v>
      </c>
      <c r="C281" s="197" t="s">
        <v>3063</v>
      </c>
      <c r="D281" s="197" t="s">
        <v>1077</v>
      </c>
      <c r="E281" s="466" t="s">
        <v>1051</v>
      </c>
      <c r="F281" s="442">
        <v>45644.702685185184</v>
      </c>
      <c r="G281" s="467">
        <v>0.70268518518518519</v>
      </c>
      <c r="H281" s="443">
        <v>3402.06</v>
      </c>
      <c r="I281" s="444">
        <v>1188.49</v>
      </c>
      <c r="J281" s="461" t="s">
        <v>3064</v>
      </c>
      <c r="K281" s="199" t="s">
        <v>3065</v>
      </c>
      <c r="L281" s="199" t="s">
        <v>1034</v>
      </c>
      <c r="M281" s="199" t="s">
        <v>1544</v>
      </c>
      <c r="N281" s="567">
        <v>45647</v>
      </c>
      <c r="O281" s="197" t="s">
        <v>3066</v>
      </c>
    </row>
    <row r="282" spans="1:15" s="200" customFormat="1" ht="8.1" customHeight="1" x14ac:dyDescent="0.25">
      <c r="A282" s="199" t="s">
        <v>3067</v>
      </c>
      <c r="B282" s="197" t="s">
        <v>3068</v>
      </c>
      <c r="C282" s="197" t="s">
        <v>3069</v>
      </c>
      <c r="D282" s="197" t="s">
        <v>1089</v>
      </c>
      <c r="E282" s="466" t="s">
        <v>1051</v>
      </c>
      <c r="F282" s="442">
        <v>45650.579375000001</v>
      </c>
      <c r="G282" s="467">
        <v>0.57937499999999997</v>
      </c>
      <c r="H282" s="443">
        <v>15687.72</v>
      </c>
      <c r="I282" s="444">
        <v>15687.72</v>
      </c>
      <c r="J282" s="198" t="s">
        <v>1397</v>
      </c>
      <c r="K282" s="197" t="s">
        <v>1079</v>
      </c>
      <c r="L282" s="197" t="s">
        <v>1034</v>
      </c>
      <c r="M282" s="197" t="s">
        <v>1318</v>
      </c>
      <c r="N282" s="567">
        <v>45665</v>
      </c>
      <c r="O282" s="197" t="s">
        <v>3070</v>
      </c>
    </row>
    <row r="283" spans="1:15" s="200" customFormat="1" ht="8.1" customHeight="1" x14ac:dyDescent="0.25">
      <c r="A283" s="199" t="s">
        <v>3144</v>
      </c>
      <c r="B283" s="197" t="s">
        <v>3145</v>
      </c>
      <c r="C283" s="197" t="s">
        <v>3146</v>
      </c>
      <c r="D283" s="197" t="s">
        <v>1050</v>
      </c>
      <c r="E283" s="466" t="s">
        <v>1051</v>
      </c>
      <c r="F283" s="442">
        <v>45659.678171296298</v>
      </c>
      <c r="G283" s="467">
        <v>0.67817129629629624</v>
      </c>
      <c r="H283" s="443">
        <v>22372.79</v>
      </c>
      <c r="I283" s="444">
        <v>22372.79</v>
      </c>
      <c r="J283" s="198" t="s">
        <v>1397</v>
      </c>
      <c r="K283" s="197" t="s">
        <v>1079</v>
      </c>
      <c r="L283" s="197" t="s">
        <v>1034</v>
      </c>
      <c r="M283" s="197" t="s">
        <v>1318</v>
      </c>
      <c r="N283" s="567">
        <v>45728</v>
      </c>
      <c r="O283" s="197" t="s">
        <v>3147</v>
      </c>
    </row>
    <row r="284" spans="1:15" s="200" customFormat="1" ht="8.1" customHeight="1" x14ac:dyDescent="0.25">
      <c r="A284" s="199" t="s">
        <v>3148</v>
      </c>
      <c r="B284" s="197" t="s">
        <v>3149</v>
      </c>
      <c r="C284" s="197" t="s">
        <v>3150</v>
      </c>
      <c r="D284" s="197" t="s">
        <v>3151</v>
      </c>
      <c r="E284" s="466" t="s">
        <v>1051</v>
      </c>
      <c r="F284" s="442">
        <v>45755.723136574074</v>
      </c>
      <c r="G284" s="467">
        <v>0.72313657407407417</v>
      </c>
      <c r="H284" s="443">
        <v>7408</v>
      </c>
      <c r="I284" s="444">
        <v>7408</v>
      </c>
      <c r="J284" s="198" t="s">
        <v>3152</v>
      </c>
      <c r="K284" s="197" t="s">
        <v>3153</v>
      </c>
      <c r="L284" s="197" t="s">
        <v>1034</v>
      </c>
      <c r="M284" s="197" t="s">
        <v>1035</v>
      </c>
      <c r="N284" s="567">
        <v>45757</v>
      </c>
      <c r="O284" s="197" t="s">
        <v>3154</v>
      </c>
    </row>
    <row r="285" spans="1:15" s="200" customFormat="1" ht="8.1" customHeight="1" x14ac:dyDescent="0.25">
      <c r="A285" s="199" t="s">
        <v>3155</v>
      </c>
      <c r="B285" s="197" t="s">
        <v>3156</v>
      </c>
      <c r="C285" s="197" t="s">
        <v>3157</v>
      </c>
      <c r="D285" s="197" t="s">
        <v>3158</v>
      </c>
      <c r="E285" s="466" t="s">
        <v>1051</v>
      </c>
      <c r="F285" s="442">
        <v>45742.606134259258</v>
      </c>
      <c r="G285" s="467">
        <v>0.60613425925925923</v>
      </c>
      <c r="H285" s="443">
        <v>3893.16</v>
      </c>
      <c r="I285" s="444">
        <v>3893.16</v>
      </c>
      <c r="J285" s="198" t="s">
        <v>3159</v>
      </c>
      <c r="K285" s="197" t="s">
        <v>3160</v>
      </c>
      <c r="L285" s="197" t="s">
        <v>1034</v>
      </c>
      <c r="M285" s="197" t="s">
        <v>1035</v>
      </c>
      <c r="N285" s="567">
        <v>45757</v>
      </c>
      <c r="O285" s="197" t="s">
        <v>2696</v>
      </c>
    </row>
    <row r="286" spans="1:15" s="200" customFormat="1" ht="8.1" customHeight="1" x14ac:dyDescent="0.25">
      <c r="A286" s="199" t="s">
        <v>3161</v>
      </c>
      <c r="B286" s="197" t="s">
        <v>3162</v>
      </c>
      <c r="C286" s="197" t="s">
        <v>3163</v>
      </c>
      <c r="D286" s="197" t="s">
        <v>3164</v>
      </c>
      <c r="E286" s="466" t="s">
        <v>1051</v>
      </c>
      <c r="F286" s="442">
        <v>45744.736967592595</v>
      </c>
      <c r="G286" s="467">
        <v>0.73696759259259259</v>
      </c>
      <c r="H286" s="443">
        <v>15589</v>
      </c>
      <c r="I286" s="444">
        <v>15589</v>
      </c>
      <c r="J286" s="198" t="s">
        <v>3152</v>
      </c>
      <c r="K286" s="197" t="s">
        <v>3153</v>
      </c>
      <c r="L286" s="197" t="s">
        <v>1034</v>
      </c>
      <c r="M286" s="197" t="s">
        <v>1035</v>
      </c>
      <c r="N286" s="567">
        <v>45757</v>
      </c>
      <c r="O286" s="197" t="s">
        <v>3154</v>
      </c>
    </row>
    <row r="287" spans="1:15" s="200" customFormat="1" ht="8.1" customHeight="1" x14ac:dyDescent="0.25">
      <c r="A287" s="199" t="s">
        <v>3192</v>
      </c>
      <c r="B287" s="197" t="s">
        <v>3193</v>
      </c>
      <c r="C287" s="197" t="s">
        <v>3194</v>
      </c>
      <c r="D287" s="197" t="s">
        <v>3195</v>
      </c>
      <c r="E287" s="199" t="s">
        <v>1051</v>
      </c>
      <c r="F287" s="442">
        <v>45749.837418981479</v>
      </c>
      <c r="G287" s="467">
        <v>0.83741898148148142</v>
      </c>
      <c r="H287" s="443">
        <v>22567</v>
      </c>
      <c r="I287" s="444">
        <v>22567</v>
      </c>
      <c r="J287" s="198" t="s">
        <v>3152</v>
      </c>
      <c r="K287" s="197" t="s">
        <v>3153</v>
      </c>
      <c r="L287" s="197" t="s">
        <v>1034</v>
      </c>
      <c r="M287" s="197" t="s">
        <v>1035</v>
      </c>
      <c r="N287" s="567">
        <v>45772</v>
      </c>
      <c r="O287" s="197" t="s">
        <v>1081</v>
      </c>
    </row>
    <row r="288" spans="1:15" s="200" customFormat="1" ht="8.1" customHeight="1" x14ac:dyDescent="0.25">
      <c r="A288" s="199" t="s">
        <v>3196</v>
      </c>
      <c r="B288" s="197" t="s">
        <v>3197</v>
      </c>
      <c r="C288" s="197" t="s">
        <v>3198</v>
      </c>
      <c r="D288" s="197" t="s">
        <v>3199</v>
      </c>
      <c r="E288" s="199" t="s">
        <v>1051</v>
      </c>
      <c r="F288" s="442">
        <v>45761.623657407406</v>
      </c>
      <c r="G288" s="467">
        <v>0.62365740740740738</v>
      </c>
      <c r="H288" s="443">
        <v>13260</v>
      </c>
      <c r="I288" s="444">
        <v>13260</v>
      </c>
      <c r="J288" s="198" t="s">
        <v>3152</v>
      </c>
      <c r="K288" s="197" t="s">
        <v>3153</v>
      </c>
      <c r="L288" s="197" t="s">
        <v>1034</v>
      </c>
      <c r="M288" s="197" t="s">
        <v>1035</v>
      </c>
      <c r="N288" s="567">
        <v>45772</v>
      </c>
      <c r="O288" s="197" t="s">
        <v>3200</v>
      </c>
    </row>
    <row r="289" spans="1:15" s="200" customFormat="1" ht="8.1" customHeight="1" x14ac:dyDescent="0.25">
      <c r="A289" s="199" t="s">
        <v>3201</v>
      </c>
      <c r="B289" s="197" t="s">
        <v>3202</v>
      </c>
      <c r="C289" s="197" t="s">
        <v>3203</v>
      </c>
      <c r="D289" s="462" t="s">
        <v>3204</v>
      </c>
      <c r="E289" s="199" t="s">
        <v>1051</v>
      </c>
      <c r="F289" s="442">
        <v>45758.784560185188</v>
      </c>
      <c r="G289" s="467">
        <v>0.78456018518518522</v>
      </c>
      <c r="H289" s="443">
        <v>21180.23</v>
      </c>
      <c r="I289" s="444">
        <v>21180.23</v>
      </c>
      <c r="J289" s="198" t="s">
        <v>3083</v>
      </c>
      <c r="K289" s="197" t="s">
        <v>3084</v>
      </c>
      <c r="L289" s="197" t="s">
        <v>1034</v>
      </c>
      <c r="M289" s="197" t="s">
        <v>1035</v>
      </c>
      <c r="N289" s="567">
        <v>45772</v>
      </c>
      <c r="O289" s="197" t="s">
        <v>3205</v>
      </c>
    </row>
    <row r="290" spans="1:15" s="200" customFormat="1" ht="8.1" customHeight="1" x14ac:dyDescent="0.25">
      <c r="A290" s="199" t="s">
        <v>3206</v>
      </c>
      <c r="B290" s="197" t="s">
        <v>3207</v>
      </c>
      <c r="C290" s="197" t="s">
        <v>3208</v>
      </c>
      <c r="D290" s="197" t="s">
        <v>1290</v>
      </c>
      <c r="E290" s="199" t="s">
        <v>1051</v>
      </c>
      <c r="F290" s="458">
        <v>45757.685624999998</v>
      </c>
      <c r="G290" s="467">
        <v>0.68562499999999993</v>
      </c>
      <c r="H290" s="443">
        <v>13400</v>
      </c>
      <c r="I290" s="444">
        <v>13400</v>
      </c>
      <c r="J290" s="198" t="s">
        <v>1339</v>
      </c>
      <c r="K290" s="197" t="s">
        <v>3209</v>
      </c>
      <c r="L290" s="197" t="s">
        <v>1034</v>
      </c>
      <c r="M290" s="197" t="s">
        <v>1035</v>
      </c>
      <c r="N290" s="567">
        <v>45772</v>
      </c>
      <c r="O290" s="197" t="s">
        <v>3210</v>
      </c>
    </row>
    <row r="291" spans="1:15" s="200" customFormat="1" ht="8.1" customHeight="1" x14ac:dyDescent="0.25">
      <c r="A291" s="199" t="s">
        <v>3212</v>
      </c>
      <c r="B291" s="197" t="s">
        <v>3213</v>
      </c>
      <c r="C291" s="197" t="s">
        <v>3214</v>
      </c>
      <c r="D291" s="197" t="s">
        <v>1046</v>
      </c>
      <c r="E291" s="462" t="s">
        <v>1051</v>
      </c>
      <c r="F291" s="442">
        <v>45720.707083333335</v>
      </c>
      <c r="G291" s="467">
        <v>0.70708333333333329</v>
      </c>
      <c r="H291" s="443">
        <v>12960.18</v>
      </c>
      <c r="I291" s="444">
        <v>12960.18</v>
      </c>
      <c r="J291" s="461" t="s">
        <v>1002</v>
      </c>
      <c r="K291" s="197" t="s">
        <v>3215</v>
      </c>
      <c r="L291" s="199" t="s">
        <v>1037</v>
      </c>
      <c r="M291" s="199" t="s">
        <v>1354</v>
      </c>
      <c r="N291" s="567">
        <v>45805</v>
      </c>
      <c r="O291" s="197" t="s">
        <v>1062</v>
      </c>
    </row>
    <row r="292" spans="1:15" s="200" customFormat="1" ht="8.1" customHeight="1" x14ac:dyDescent="0.25">
      <c r="A292" s="199" t="s">
        <v>3216</v>
      </c>
      <c r="B292" s="197" t="s">
        <v>3217</v>
      </c>
      <c r="C292" s="197" t="s">
        <v>3218</v>
      </c>
      <c r="D292" s="197" t="s">
        <v>1098</v>
      </c>
      <c r="E292" s="462" t="s">
        <v>1051</v>
      </c>
      <c r="F292" s="442">
        <v>45726.684942129628</v>
      </c>
      <c r="G292" s="467">
        <v>0.68494212962962964</v>
      </c>
      <c r="H292" s="443">
        <v>30419.05</v>
      </c>
      <c r="I292" s="444">
        <v>30419.05</v>
      </c>
      <c r="J292" s="461" t="s">
        <v>1002</v>
      </c>
      <c r="K292" s="197" t="s">
        <v>3219</v>
      </c>
      <c r="L292" s="199" t="s">
        <v>1037</v>
      </c>
      <c r="M292" s="199" t="s">
        <v>1354</v>
      </c>
      <c r="N292" s="567">
        <v>45805</v>
      </c>
      <c r="O292" s="197" t="s">
        <v>1062</v>
      </c>
    </row>
    <row r="293" spans="1:15" s="200" customFormat="1" ht="8.1" customHeight="1" x14ac:dyDescent="0.25">
      <c r="A293" s="199" t="s">
        <v>3237</v>
      </c>
      <c r="B293" s="197" t="s">
        <v>3238</v>
      </c>
      <c r="C293" s="197" t="s">
        <v>3239</v>
      </c>
      <c r="D293" s="197" t="s">
        <v>1126</v>
      </c>
      <c r="E293" s="462" t="s">
        <v>1051</v>
      </c>
      <c r="F293" s="442">
        <v>45831.977256944447</v>
      </c>
      <c r="G293" s="467">
        <v>0.97725694444444444</v>
      </c>
      <c r="H293" s="443">
        <v>2692.93</v>
      </c>
      <c r="I293" s="444">
        <v>2692.93</v>
      </c>
      <c r="J293" s="461" t="s">
        <v>1002</v>
      </c>
      <c r="K293" s="197" t="s">
        <v>3240</v>
      </c>
      <c r="L293" s="199" t="s">
        <v>1037</v>
      </c>
      <c r="M293" s="199" t="s">
        <v>1354</v>
      </c>
      <c r="N293" s="567">
        <v>45847</v>
      </c>
      <c r="O293" s="197" t="s">
        <v>1100</v>
      </c>
    </row>
    <row r="294" spans="1:15" s="200" customFormat="1" ht="8.1" customHeight="1" x14ac:dyDescent="0.25">
      <c r="A294" s="199" t="s">
        <v>3241</v>
      </c>
      <c r="B294" s="197" t="s">
        <v>3242</v>
      </c>
      <c r="C294" s="197" t="s">
        <v>3243</v>
      </c>
      <c r="D294" s="197" t="s">
        <v>3244</v>
      </c>
      <c r="E294" s="462" t="s">
        <v>1051</v>
      </c>
      <c r="F294" s="442">
        <v>45838.632222222222</v>
      </c>
      <c r="G294" s="467">
        <v>0.63222222222222224</v>
      </c>
      <c r="H294" s="443">
        <v>33153</v>
      </c>
      <c r="I294" s="444">
        <v>10730</v>
      </c>
      <c r="J294" s="198" t="s">
        <v>3245</v>
      </c>
      <c r="K294" s="197" t="s">
        <v>3246</v>
      </c>
      <c r="L294" s="197" t="s">
        <v>1034</v>
      </c>
      <c r="M294" s="197" t="s">
        <v>1544</v>
      </c>
      <c r="N294" s="567">
        <v>45847</v>
      </c>
      <c r="O294" s="197" t="s">
        <v>3247</v>
      </c>
    </row>
    <row r="295" spans="1:15" s="200" customFormat="1" ht="8.1" customHeight="1" x14ac:dyDescent="0.25">
      <c r="A295" s="199" t="s">
        <v>3248</v>
      </c>
      <c r="B295" s="197" t="s">
        <v>3249</v>
      </c>
      <c r="C295" s="197" t="s">
        <v>3250</v>
      </c>
      <c r="D295" s="197" t="s">
        <v>3251</v>
      </c>
      <c r="E295" s="197" t="s">
        <v>1051</v>
      </c>
      <c r="F295" s="442">
        <v>45842.702025462961</v>
      </c>
      <c r="G295" s="467">
        <v>0.70202546296296298</v>
      </c>
      <c r="H295" s="535">
        <v>26521</v>
      </c>
      <c r="I295" s="536">
        <v>26521</v>
      </c>
      <c r="J295" s="461" t="s">
        <v>1002</v>
      </c>
      <c r="K295" s="197" t="s">
        <v>3252</v>
      </c>
      <c r="L295" s="199" t="s">
        <v>1037</v>
      </c>
      <c r="M295" s="199" t="s">
        <v>1354</v>
      </c>
      <c r="N295" s="567">
        <v>45854</v>
      </c>
      <c r="O295" s="197" t="s">
        <v>3253</v>
      </c>
    </row>
    <row r="296" spans="1:15" s="200" customFormat="1" ht="8.1" customHeight="1" x14ac:dyDescent="0.25">
      <c r="A296" s="199" t="s">
        <v>3254</v>
      </c>
      <c r="B296" s="197" t="s">
        <v>3255</v>
      </c>
      <c r="C296" s="197" t="s">
        <v>3256</v>
      </c>
      <c r="D296" s="197" t="s">
        <v>3257</v>
      </c>
      <c r="E296" s="197" t="s">
        <v>1051</v>
      </c>
      <c r="F296" s="442">
        <v>45853.368125000001</v>
      </c>
      <c r="G296" s="467">
        <v>0.36812500000000004</v>
      </c>
      <c r="H296" s="443">
        <v>48000</v>
      </c>
      <c r="I296" s="444">
        <v>8000</v>
      </c>
      <c r="J296" s="198" t="s">
        <v>3258</v>
      </c>
      <c r="K296" s="197" t="s">
        <v>3259</v>
      </c>
      <c r="L296" s="197" t="s">
        <v>1034</v>
      </c>
      <c r="M296" s="197" t="s">
        <v>1544</v>
      </c>
      <c r="N296" s="567">
        <v>45854</v>
      </c>
      <c r="O296" s="197" t="s">
        <v>3260</v>
      </c>
    </row>
    <row r="297" spans="1:15" s="200" customFormat="1" ht="8.1" customHeight="1" x14ac:dyDescent="0.25">
      <c r="A297" s="199" t="s">
        <v>3261</v>
      </c>
      <c r="B297" s="197" t="s">
        <v>3262</v>
      </c>
      <c r="C297" s="197" t="s">
        <v>3263</v>
      </c>
      <c r="D297" s="197" t="s">
        <v>3264</v>
      </c>
      <c r="E297" s="462" t="s">
        <v>1051</v>
      </c>
      <c r="F297" s="442">
        <v>45855.380208333336</v>
      </c>
      <c r="G297" s="197" t="s">
        <v>2132</v>
      </c>
      <c r="H297" s="443">
        <v>16065.25</v>
      </c>
      <c r="I297" s="444">
        <v>1000</v>
      </c>
      <c r="J297" s="198" t="s">
        <v>3265</v>
      </c>
      <c r="K297" s="197" t="s">
        <v>3266</v>
      </c>
      <c r="L297" s="197" t="s">
        <v>1034</v>
      </c>
      <c r="M297" s="197" t="s">
        <v>1544</v>
      </c>
      <c r="N297" s="567">
        <v>45867</v>
      </c>
      <c r="O297" s="197" t="s">
        <v>3267</v>
      </c>
    </row>
    <row r="298" spans="1:15" s="200" customFormat="1" ht="8.1" customHeight="1" x14ac:dyDescent="0.25">
      <c r="A298" s="199" t="s">
        <v>3268</v>
      </c>
      <c r="B298" s="197" t="s">
        <v>3269</v>
      </c>
      <c r="C298" s="197" t="s">
        <v>3270</v>
      </c>
      <c r="D298" s="197" t="s">
        <v>1089</v>
      </c>
      <c r="E298" s="462" t="s">
        <v>1051</v>
      </c>
      <c r="F298" s="442">
        <v>45839.688692129632</v>
      </c>
      <c r="G298" s="197" t="s">
        <v>2132</v>
      </c>
      <c r="H298" s="443">
        <v>944.33</v>
      </c>
      <c r="I298" s="444">
        <v>944.33</v>
      </c>
      <c r="J298" s="461" t="s">
        <v>1397</v>
      </c>
      <c r="K298" s="197" t="s">
        <v>1079</v>
      </c>
      <c r="L298" s="197" t="s">
        <v>1034</v>
      </c>
      <c r="M298" s="197" t="s">
        <v>1318</v>
      </c>
      <c r="N298" s="567">
        <v>45867</v>
      </c>
      <c r="O298" s="197" t="s">
        <v>3223</v>
      </c>
    </row>
    <row r="299" spans="1:15" s="200" customFormat="1" ht="8.1" customHeight="1" x14ac:dyDescent="0.25">
      <c r="A299" s="199" t="s">
        <v>3271</v>
      </c>
      <c r="B299" s="197" t="s">
        <v>3272</v>
      </c>
      <c r="C299" s="197" t="s">
        <v>3273</v>
      </c>
      <c r="D299" s="197" t="s">
        <v>1098</v>
      </c>
      <c r="E299" s="462" t="s">
        <v>1051</v>
      </c>
      <c r="F299" s="442">
        <v>45681.434351851851</v>
      </c>
      <c r="G299" s="197" t="s">
        <v>2132</v>
      </c>
      <c r="H299" s="443">
        <v>17049</v>
      </c>
      <c r="I299" s="444">
        <v>17049</v>
      </c>
      <c r="J299" s="461" t="s">
        <v>1002</v>
      </c>
      <c r="K299" s="197" t="s">
        <v>3274</v>
      </c>
      <c r="L299" s="199" t="s">
        <v>1037</v>
      </c>
      <c r="M299" s="199" t="s">
        <v>1354</v>
      </c>
      <c r="N299" s="567">
        <v>45867</v>
      </c>
      <c r="O299" s="197" t="s">
        <v>3275</v>
      </c>
    </row>
    <row r="300" spans="1:15" s="200" customFormat="1" ht="8.1" customHeight="1" x14ac:dyDescent="0.25">
      <c r="A300" s="199" t="s">
        <v>3276</v>
      </c>
      <c r="B300" s="197" t="s">
        <v>3277</v>
      </c>
      <c r="C300" s="197" t="s">
        <v>3278</v>
      </c>
      <c r="D300" s="197" t="s">
        <v>1098</v>
      </c>
      <c r="E300" s="462" t="s">
        <v>1051</v>
      </c>
      <c r="F300" s="442">
        <v>45811.37127314815</v>
      </c>
      <c r="G300" s="467">
        <v>0.37127314814814816</v>
      </c>
      <c r="H300" s="443">
        <v>20538.55</v>
      </c>
      <c r="I300" s="444">
        <v>20538.55</v>
      </c>
      <c r="J300" s="461" t="s">
        <v>1397</v>
      </c>
      <c r="K300" s="197" t="s">
        <v>1079</v>
      </c>
      <c r="L300" s="199" t="s">
        <v>1037</v>
      </c>
      <c r="M300" s="199" t="s">
        <v>1354</v>
      </c>
      <c r="N300" s="567">
        <v>45874</v>
      </c>
      <c r="O300" s="197" t="s">
        <v>3279</v>
      </c>
    </row>
    <row r="301" spans="1:15" s="200" customFormat="1" ht="8.1" customHeight="1" x14ac:dyDescent="0.25">
      <c r="A301" s="199" t="s">
        <v>3280</v>
      </c>
      <c r="B301" s="197" t="s">
        <v>3281</v>
      </c>
      <c r="C301" s="197" t="s">
        <v>3282</v>
      </c>
      <c r="D301" s="197" t="s">
        <v>1050</v>
      </c>
      <c r="E301" s="462" t="s">
        <v>1051</v>
      </c>
      <c r="F301" s="442">
        <v>45869.561030092591</v>
      </c>
      <c r="G301" s="467">
        <v>0.56103009259259262</v>
      </c>
      <c r="H301" s="443">
        <v>16863.11</v>
      </c>
      <c r="I301" s="444">
        <v>16863.11</v>
      </c>
      <c r="J301" s="461" t="s">
        <v>1397</v>
      </c>
      <c r="K301" s="197" t="s">
        <v>1079</v>
      </c>
      <c r="L301" s="199" t="s">
        <v>1037</v>
      </c>
      <c r="M301" s="199" t="s">
        <v>1354</v>
      </c>
      <c r="N301" s="567">
        <v>45874</v>
      </c>
      <c r="O301" s="197" t="s">
        <v>1258</v>
      </c>
    </row>
    <row r="302" spans="1:15" s="200" customFormat="1" ht="8.1" customHeight="1" x14ac:dyDescent="0.25">
      <c r="A302" s="199" t="s">
        <v>3283</v>
      </c>
      <c r="B302" s="197" t="s">
        <v>3284</v>
      </c>
      <c r="C302" s="197" t="s">
        <v>3285</v>
      </c>
      <c r="D302" s="197" t="s">
        <v>3286</v>
      </c>
      <c r="E302" s="462" t="s">
        <v>1051</v>
      </c>
      <c r="F302" s="442">
        <v>45840.371921296297</v>
      </c>
      <c r="G302" s="467">
        <v>0.37192129629629633</v>
      </c>
      <c r="H302" s="443">
        <v>3161.16</v>
      </c>
      <c r="I302" s="444">
        <v>3161.16</v>
      </c>
      <c r="J302" s="461" t="s">
        <v>1397</v>
      </c>
      <c r="K302" s="197" t="s">
        <v>1079</v>
      </c>
      <c r="L302" s="199" t="s">
        <v>1037</v>
      </c>
      <c r="M302" s="199" t="s">
        <v>1354</v>
      </c>
      <c r="N302" s="567">
        <v>45874</v>
      </c>
      <c r="O302" s="197" t="s">
        <v>3287</v>
      </c>
    </row>
    <row r="303" spans="1:15" s="200" customFormat="1" ht="8.1" customHeight="1" x14ac:dyDescent="0.25">
      <c r="A303" s="199" t="s">
        <v>3288</v>
      </c>
      <c r="B303" s="197" t="s">
        <v>3289</v>
      </c>
      <c r="C303" s="197" t="s">
        <v>3290</v>
      </c>
      <c r="D303" s="197" t="s">
        <v>1050</v>
      </c>
      <c r="E303" s="462" t="s">
        <v>1051</v>
      </c>
      <c r="F303" s="442">
        <v>45826.728761574072</v>
      </c>
      <c r="G303" s="467">
        <v>0.72876157407407405</v>
      </c>
      <c r="H303" s="443">
        <v>14022.37</v>
      </c>
      <c r="I303" s="444">
        <v>14022.37</v>
      </c>
      <c r="J303" s="461" t="s">
        <v>1397</v>
      </c>
      <c r="K303" s="197" t="s">
        <v>1079</v>
      </c>
      <c r="L303" s="199" t="s">
        <v>1037</v>
      </c>
      <c r="M303" s="199" t="s">
        <v>1354</v>
      </c>
      <c r="N303" s="567">
        <v>45874</v>
      </c>
      <c r="O303" s="197" t="s">
        <v>2750</v>
      </c>
    </row>
    <row r="304" spans="1:15" s="200" customFormat="1" ht="8.1" customHeight="1" x14ac:dyDescent="0.25">
      <c r="A304" s="199" t="s">
        <v>3291</v>
      </c>
      <c r="B304" s="197" t="s">
        <v>3292</v>
      </c>
      <c r="C304" s="197" t="s">
        <v>3293</v>
      </c>
      <c r="D304" s="197" t="s">
        <v>3294</v>
      </c>
      <c r="E304" s="462" t="s">
        <v>1051</v>
      </c>
      <c r="F304" s="442">
        <v>45871.658645833333</v>
      </c>
      <c r="G304" s="467">
        <v>0.65864583333333326</v>
      </c>
      <c r="H304" s="443">
        <v>16676.46</v>
      </c>
      <c r="I304" s="444">
        <v>5000</v>
      </c>
      <c r="J304" s="198" t="s">
        <v>3295</v>
      </c>
      <c r="K304" s="197" t="s">
        <v>3296</v>
      </c>
      <c r="L304" s="197" t="s">
        <v>1034</v>
      </c>
      <c r="M304" s="197" t="s">
        <v>1544</v>
      </c>
      <c r="N304" s="567">
        <v>45877</v>
      </c>
      <c r="O304" s="197" t="s">
        <v>3211</v>
      </c>
    </row>
    <row r="305" spans="1:15" s="200" customFormat="1" ht="8.1" customHeight="1" x14ac:dyDescent="0.25">
      <c r="A305" s="199" t="s">
        <v>3331</v>
      </c>
      <c r="B305" s="197" t="s">
        <v>3332</v>
      </c>
      <c r="C305" s="197" t="s">
        <v>3333</v>
      </c>
      <c r="D305" s="197" t="s">
        <v>1119</v>
      </c>
      <c r="E305" s="462" t="s">
        <v>1051</v>
      </c>
      <c r="F305" s="442">
        <v>45883.651354166665</v>
      </c>
      <c r="G305" s="467">
        <v>0.65135416666666668</v>
      </c>
      <c r="H305" s="443">
        <v>20153.38</v>
      </c>
      <c r="I305" s="444">
        <v>20153.38</v>
      </c>
      <c r="J305" s="461" t="s">
        <v>1397</v>
      </c>
      <c r="K305" s="197" t="s">
        <v>1079</v>
      </c>
      <c r="L305" s="199" t="s">
        <v>1037</v>
      </c>
      <c r="M305" s="199" t="s">
        <v>1354</v>
      </c>
      <c r="N305" s="567">
        <v>45891</v>
      </c>
      <c r="O305" s="197" t="s">
        <v>3334</v>
      </c>
    </row>
    <row r="306" spans="1:15" s="200" customFormat="1" ht="8.1" customHeight="1" x14ac:dyDescent="0.25">
      <c r="A306" s="199" t="s">
        <v>3335</v>
      </c>
      <c r="B306" s="197" t="s">
        <v>3336</v>
      </c>
      <c r="C306" s="197" t="s">
        <v>3337</v>
      </c>
      <c r="D306" s="197" t="s">
        <v>1050</v>
      </c>
      <c r="E306" s="462" t="s">
        <v>1051</v>
      </c>
      <c r="F306" s="442">
        <v>45883.657893518517</v>
      </c>
      <c r="G306" s="467">
        <v>0.65789351851851852</v>
      </c>
      <c r="H306" s="443">
        <v>2346.2199999999998</v>
      </c>
      <c r="I306" s="444">
        <v>2346.2199999999998</v>
      </c>
      <c r="J306" s="461" t="s">
        <v>1397</v>
      </c>
      <c r="K306" s="197" t="s">
        <v>1079</v>
      </c>
      <c r="L306" s="199" t="s">
        <v>1037</v>
      </c>
      <c r="M306" s="199" t="s">
        <v>1354</v>
      </c>
      <c r="N306" s="567">
        <v>45891</v>
      </c>
      <c r="O306" s="197" t="s">
        <v>3338</v>
      </c>
    </row>
    <row r="307" spans="1:15" s="200" customFormat="1" ht="8.1" customHeight="1" x14ac:dyDescent="0.25">
      <c r="A307" s="199" t="s">
        <v>3339</v>
      </c>
      <c r="B307" s="197" t="s">
        <v>3340</v>
      </c>
      <c r="C307" s="197" t="s">
        <v>3341</v>
      </c>
      <c r="D307" s="197" t="s">
        <v>3342</v>
      </c>
      <c r="E307" s="462" t="s">
        <v>1051</v>
      </c>
      <c r="F307" s="442">
        <v>45883.759780092594</v>
      </c>
      <c r="G307" s="467">
        <v>0.75978009259259249</v>
      </c>
      <c r="H307" s="443">
        <v>40688.589999999997</v>
      </c>
      <c r="I307" s="444">
        <v>40688.589999999997</v>
      </c>
      <c r="J307" s="461" t="s">
        <v>1002</v>
      </c>
      <c r="K307" s="197" t="s">
        <v>3343</v>
      </c>
      <c r="L307" s="199" t="s">
        <v>1037</v>
      </c>
      <c r="M307" s="199" t="s">
        <v>1354</v>
      </c>
      <c r="N307" s="567">
        <v>45891</v>
      </c>
      <c r="O307" s="197" t="s">
        <v>3344</v>
      </c>
    </row>
    <row r="308" spans="1:15" s="200" customFormat="1" ht="8.1" customHeight="1" x14ac:dyDescent="0.25">
      <c r="A308" s="199" t="s">
        <v>3345</v>
      </c>
      <c r="B308" s="197" t="s">
        <v>3346</v>
      </c>
      <c r="C308" s="197" t="s">
        <v>3347</v>
      </c>
      <c r="D308" s="197" t="s">
        <v>3348</v>
      </c>
      <c r="E308" s="462" t="s">
        <v>1051</v>
      </c>
      <c r="F308" s="442">
        <v>45870.311319444445</v>
      </c>
      <c r="G308" s="467">
        <v>0.31131944444444443</v>
      </c>
      <c r="H308" s="443">
        <v>20000</v>
      </c>
      <c r="I308" s="444">
        <v>20000</v>
      </c>
      <c r="J308" s="461" t="s">
        <v>1002</v>
      </c>
      <c r="K308" s="197" t="s">
        <v>3349</v>
      </c>
      <c r="L308" s="199" t="s">
        <v>1037</v>
      </c>
      <c r="M308" s="199" t="s">
        <v>1354</v>
      </c>
      <c r="N308" s="567">
        <v>45891</v>
      </c>
      <c r="O308" s="197" t="s">
        <v>3350</v>
      </c>
    </row>
    <row r="309" spans="1:15" s="200" customFormat="1" ht="8.1" customHeight="1" x14ac:dyDescent="0.25">
      <c r="A309" s="199" t="s">
        <v>3351</v>
      </c>
      <c r="B309" s="197" t="s">
        <v>3352</v>
      </c>
      <c r="C309" s="197" t="s">
        <v>3353</v>
      </c>
      <c r="D309" s="197" t="s">
        <v>3354</v>
      </c>
      <c r="E309" s="462" t="s">
        <v>1051</v>
      </c>
      <c r="F309" s="442">
        <v>45883.713425925926</v>
      </c>
      <c r="G309" s="467">
        <v>0.71342592592592602</v>
      </c>
      <c r="H309" s="443">
        <v>9380.15</v>
      </c>
      <c r="I309" s="444">
        <v>9380.15</v>
      </c>
      <c r="J309" s="461" t="s">
        <v>1397</v>
      </c>
      <c r="K309" s="197" t="s">
        <v>1079</v>
      </c>
      <c r="L309" s="199" t="s">
        <v>1037</v>
      </c>
      <c r="M309" s="199" t="s">
        <v>1354</v>
      </c>
      <c r="N309" s="567">
        <v>45891</v>
      </c>
      <c r="O309" s="197" t="s">
        <v>3355</v>
      </c>
    </row>
    <row r="310" spans="1:15" s="200" customFormat="1" ht="8.1" customHeight="1" x14ac:dyDescent="0.25">
      <c r="A310" s="197" t="s">
        <v>3356</v>
      </c>
      <c r="B310" s="197" t="s">
        <v>3357</v>
      </c>
      <c r="C310" s="197" t="s">
        <v>3358</v>
      </c>
      <c r="D310" s="197" t="s">
        <v>3359</v>
      </c>
      <c r="E310" s="462" t="s">
        <v>1051</v>
      </c>
      <c r="F310" s="442">
        <v>45873.353576388887</v>
      </c>
      <c r="G310" s="467">
        <v>0.35357638888888893</v>
      </c>
      <c r="H310" s="443">
        <v>615.34</v>
      </c>
      <c r="I310" s="444">
        <v>615.34</v>
      </c>
      <c r="J310" s="198" t="s">
        <v>1397</v>
      </c>
      <c r="K310" s="197" t="s">
        <v>1079</v>
      </c>
      <c r="L310" s="197" t="s">
        <v>1037</v>
      </c>
      <c r="M310" s="197" t="s">
        <v>1354</v>
      </c>
      <c r="N310" s="567">
        <v>45891</v>
      </c>
      <c r="O310" s="197" t="s">
        <v>3360</v>
      </c>
    </row>
    <row r="311" spans="1:15" s="200" customFormat="1" ht="8.1" customHeight="1" x14ac:dyDescent="0.25">
      <c r="A311" s="197" t="s">
        <v>3361</v>
      </c>
      <c r="B311" s="197" t="s">
        <v>3362</v>
      </c>
      <c r="C311" s="197" t="s">
        <v>3363</v>
      </c>
      <c r="D311" s="197" t="s">
        <v>3364</v>
      </c>
      <c r="E311" s="462" t="s">
        <v>1051</v>
      </c>
      <c r="F311" s="442">
        <v>45883.758449074077</v>
      </c>
      <c r="G311" s="467">
        <v>0.75844907407407414</v>
      </c>
      <c r="H311" s="443">
        <v>16949.41</v>
      </c>
      <c r="I311" s="444">
        <v>16949.41</v>
      </c>
      <c r="J311" s="198" t="s">
        <v>1397</v>
      </c>
      <c r="K311" s="197" t="s">
        <v>1079</v>
      </c>
      <c r="L311" s="197" t="s">
        <v>1037</v>
      </c>
      <c r="M311" s="197" t="s">
        <v>1354</v>
      </c>
      <c r="N311" s="567">
        <v>45891</v>
      </c>
      <c r="O311" s="197" t="s">
        <v>3365</v>
      </c>
    </row>
    <row r="312" spans="1:15" s="200" customFormat="1" ht="8.1" customHeight="1" x14ac:dyDescent="0.25">
      <c r="A312" s="197" t="s">
        <v>3366</v>
      </c>
      <c r="B312" s="197" t="s">
        <v>3367</v>
      </c>
      <c r="C312" s="197" t="s">
        <v>3368</v>
      </c>
      <c r="D312" s="197" t="s">
        <v>3364</v>
      </c>
      <c r="E312" s="197" t="s">
        <v>1051</v>
      </c>
      <c r="F312" s="442">
        <v>45883.761053240742</v>
      </c>
      <c r="G312" s="467">
        <v>0.76105324074074077</v>
      </c>
      <c r="H312" s="443">
        <v>16949.41</v>
      </c>
      <c r="I312" s="444">
        <v>16949.41</v>
      </c>
      <c r="J312" s="198" t="s">
        <v>1397</v>
      </c>
      <c r="K312" s="197" t="s">
        <v>1079</v>
      </c>
      <c r="L312" s="197" t="s">
        <v>1037</v>
      </c>
      <c r="M312" s="197" t="s">
        <v>1354</v>
      </c>
      <c r="N312" s="567">
        <v>45891</v>
      </c>
      <c r="O312" s="197" t="s">
        <v>3365</v>
      </c>
    </row>
    <row r="313" spans="1:15" s="200" customFormat="1" ht="8.1" customHeight="1" x14ac:dyDescent="0.25">
      <c r="A313" s="197" t="s">
        <v>3369</v>
      </c>
      <c r="B313" s="197" t="s">
        <v>3370</v>
      </c>
      <c r="C313" s="197" t="s">
        <v>3371</v>
      </c>
      <c r="D313" s="197" t="s">
        <v>1050</v>
      </c>
      <c r="E313" s="462" t="s">
        <v>1051</v>
      </c>
      <c r="F313" s="442">
        <v>45890.389351851853</v>
      </c>
      <c r="G313" s="467">
        <v>0.38935185185185189</v>
      </c>
      <c r="H313" s="443">
        <v>22</v>
      </c>
      <c r="I313" s="444">
        <v>22</v>
      </c>
      <c r="J313" s="461" t="s">
        <v>1002</v>
      </c>
      <c r="K313" s="197" t="s">
        <v>3372</v>
      </c>
      <c r="L313" s="199" t="s">
        <v>1037</v>
      </c>
      <c r="M313" s="199" t="s">
        <v>1354</v>
      </c>
      <c r="N313" s="567">
        <v>45896</v>
      </c>
      <c r="O313" s="197" t="s">
        <v>3373</v>
      </c>
    </row>
    <row r="314" spans="1:15" s="200" customFormat="1" ht="8.1" customHeight="1" x14ac:dyDescent="0.25">
      <c r="A314" s="197" t="s">
        <v>3374</v>
      </c>
      <c r="B314" s="197" t="s">
        <v>3375</v>
      </c>
      <c r="C314" s="197" t="s">
        <v>3376</v>
      </c>
      <c r="D314" s="197" t="s">
        <v>1046</v>
      </c>
      <c r="E314" s="462" t="s">
        <v>1051</v>
      </c>
      <c r="F314" s="442">
        <v>45890.387569444443</v>
      </c>
      <c r="G314" s="467">
        <v>0.38756944444444441</v>
      </c>
      <c r="H314" s="443">
        <v>45</v>
      </c>
      <c r="I314" s="444">
        <v>45</v>
      </c>
      <c r="J314" s="461" t="s">
        <v>1002</v>
      </c>
      <c r="K314" s="197" t="s">
        <v>3377</v>
      </c>
      <c r="L314" s="199" t="s">
        <v>1037</v>
      </c>
      <c r="M314" s="199" t="s">
        <v>1354</v>
      </c>
      <c r="N314" s="567">
        <v>45896</v>
      </c>
      <c r="O314" s="197" t="s">
        <v>1049</v>
      </c>
    </row>
    <row r="315" spans="1:15" s="200" customFormat="1" ht="8.1" customHeight="1" x14ac:dyDescent="0.25">
      <c r="A315" s="197" t="s">
        <v>3378</v>
      </c>
      <c r="B315" s="199" t="s">
        <v>1158</v>
      </c>
      <c r="C315" s="199" t="s">
        <v>1159</v>
      </c>
      <c r="D315" s="199" t="s">
        <v>1126</v>
      </c>
      <c r="E315" s="199" t="s">
        <v>1051</v>
      </c>
      <c r="F315" s="442">
        <v>44905.741527777776</v>
      </c>
      <c r="G315" s="467">
        <v>0.74152777777777779</v>
      </c>
      <c r="H315" s="459">
        <v>25185.74</v>
      </c>
      <c r="I315" s="460">
        <v>25185.74</v>
      </c>
      <c r="J315" s="198" t="s">
        <v>2902</v>
      </c>
      <c r="K315" s="476"/>
      <c r="L315" s="199"/>
      <c r="M315" s="199"/>
      <c r="N315" s="567">
        <v>45475</v>
      </c>
      <c r="O315" s="199" t="s">
        <v>1162</v>
      </c>
    </row>
    <row r="316" spans="1:15" s="200" customFormat="1" ht="8.1" customHeight="1" x14ac:dyDescent="0.25">
      <c r="A316" s="197" t="s">
        <v>3379</v>
      </c>
      <c r="B316" s="199" t="s">
        <v>2331</v>
      </c>
      <c r="C316" s="199" t="s">
        <v>2633</v>
      </c>
      <c r="D316" s="199" t="s">
        <v>1126</v>
      </c>
      <c r="E316" s="199" t="s">
        <v>1051</v>
      </c>
      <c r="F316" s="442">
        <v>45193.718055555553</v>
      </c>
      <c r="G316" s="467">
        <v>0.71805555555555556</v>
      </c>
      <c r="H316" s="459">
        <v>50000</v>
      </c>
      <c r="I316" s="460">
        <v>50000</v>
      </c>
      <c r="J316" s="198" t="s">
        <v>2902</v>
      </c>
      <c r="K316" s="476"/>
      <c r="L316" s="199"/>
      <c r="M316" s="199"/>
      <c r="N316" s="567">
        <v>45475</v>
      </c>
      <c r="O316" s="199" t="s">
        <v>2332</v>
      </c>
    </row>
    <row r="317" spans="1:15" s="200" customFormat="1" ht="8.1" customHeight="1" x14ac:dyDescent="0.25">
      <c r="A317" s="197" t="s">
        <v>3380</v>
      </c>
      <c r="B317" s="199" t="s">
        <v>2335</v>
      </c>
      <c r="C317" s="199" t="s">
        <v>2637</v>
      </c>
      <c r="D317" s="199" t="s">
        <v>1050</v>
      </c>
      <c r="E317" s="199" t="s">
        <v>1051</v>
      </c>
      <c r="F317" s="442">
        <v>45246.698298611111</v>
      </c>
      <c r="G317" s="467">
        <v>0.69829861111111102</v>
      </c>
      <c r="H317" s="459">
        <v>8000</v>
      </c>
      <c r="I317" s="460">
        <v>8000</v>
      </c>
      <c r="J317" s="198" t="s">
        <v>2902</v>
      </c>
      <c r="K317" s="476"/>
      <c r="L317" s="199"/>
      <c r="M317" s="199"/>
      <c r="N317" s="567">
        <v>45475</v>
      </c>
      <c r="O317" s="199" t="s">
        <v>2336</v>
      </c>
    </row>
    <row r="318" spans="1:15" s="200" customFormat="1" ht="8.1" customHeight="1" x14ac:dyDescent="0.25">
      <c r="A318" s="197" t="s">
        <v>3381</v>
      </c>
      <c r="B318" s="199" t="s">
        <v>2333</v>
      </c>
      <c r="C318" s="199" t="s">
        <v>2635</v>
      </c>
      <c r="D318" s="199" t="s">
        <v>1050</v>
      </c>
      <c r="E318" s="199" t="s">
        <v>1051</v>
      </c>
      <c r="F318" s="442">
        <v>45295.818229166667</v>
      </c>
      <c r="G318" s="467">
        <v>0.81822916666666667</v>
      </c>
      <c r="H318" s="459">
        <v>50000</v>
      </c>
      <c r="I318" s="460">
        <v>50000</v>
      </c>
      <c r="J318" s="198" t="s">
        <v>2902</v>
      </c>
      <c r="K318" s="476"/>
      <c r="L318" s="199"/>
      <c r="M318" s="199"/>
      <c r="N318" s="567">
        <v>45475</v>
      </c>
      <c r="O318" s="199" t="s">
        <v>2334</v>
      </c>
    </row>
    <row r="319" spans="1:15" s="200" customFormat="1" ht="8.1" customHeight="1" x14ac:dyDescent="0.25">
      <c r="A319" s="197" t="s">
        <v>3382</v>
      </c>
      <c r="B319" s="199" t="s">
        <v>2905</v>
      </c>
      <c r="C319" s="199" t="s">
        <v>2906</v>
      </c>
      <c r="D319" s="199" t="s">
        <v>1225</v>
      </c>
      <c r="E319" s="199" t="s">
        <v>1051</v>
      </c>
      <c r="F319" s="442">
        <v>45338.664270833331</v>
      </c>
      <c r="G319" s="467">
        <v>0.66427083333333337</v>
      </c>
      <c r="H319" s="459">
        <v>4579.82</v>
      </c>
      <c r="I319" s="460">
        <v>4579.82</v>
      </c>
      <c r="J319" s="198" t="s">
        <v>2902</v>
      </c>
      <c r="K319" s="476"/>
      <c r="L319" s="199"/>
      <c r="M319" s="199"/>
      <c r="N319" s="567">
        <v>45475</v>
      </c>
      <c r="O319" s="199" t="s">
        <v>1103</v>
      </c>
    </row>
    <row r="320" spans="1:15" s="200" customFormat="1" ht="8.1" customHeight="1" x14ac:dyDescent="0.25">
      <c r="A320" s="197" t="s">
        <v>3383</v>
      </c>
      <c r="B320" s="199" t="s">
        <v>2907</v>
      </c>
      <c r="C320" s="199" t="s">
        <v>2908</v>
      </c>
      <c r="D320" s="199" t="s">
        <v>1126</v>
      </c>
      <c r="E320" s="199" t="s">
        <v>1051</v>
      </c>
      <c r="F320" s="442">
        <v>45338.727812500001</v>
      </c>
      <c r="G320" s="467">
        <v>0.72781250000000008</v>
      </c>
      <c r="H320" s="459">
        <v>4278.41</v>
      </c>
      <c r="I320" s="460">
        <v>4278.41</v>
      </c>
      <c r="J320" s="198" t="s">
        <v>2902</v>
      </c>
      <c r="K320" s="476"/>
      <c r="L320" s="199"/>
      <c r="M320" s="199"/>
      <c r="N320" s="567">
        <v>45475</v>
      </c>
      <c r="O320" s="199" t="s">
        <v>2909</v>
      </c>
    </row>
    <row r="321" spans="1:15" s="200" customFormat="1" ht="8.1" customHeight="1" x14ac:dyDescent="0.25">
      <c r="A321" s="197" t="s">
        <v>3384</v>
      </c>
      <c r="B321" s="199" t="s">
        <v>2910</v>
      </c>
      <c r="C321" s="199" t="s">
        <v>2911</v>
      </c>
      <c r="D321" s="199" t="s">
        <v>1089</v>
      </c>
      <c r="E321" s="199" t="s">
        <v>1051</v>
      </c>
      <c r="F321" s="442">
        <v>45339.631423611114</v>
      </c>
      <c r="G321" s="467">
        <v>0.63142361111111112</v>
      </c>
      <c r="H321" s="459">
        <v>4945.55</v>
      </c>
      <c r="I321" s="460">
        <v>4945.55</v>
      </c>
      <c r="J321" s="198" t="s">
        <v>2902</v>
      </c>
      <c r="K321" s="476"/>
      <c r="L321" s="199"/>
      <c r="M321" s="199"/>
      <c r="N321" s="567">
        <v>45475</v>
      </c>
      <c r="O321" s="199" t="s">
        <v>1214</v>
      </c>
    </row>
    <row r="322" spans="1:15" s="200" customFormat="1" ht="8.1" customHeight="1" x14ac:dyDescent="0.25">
      <c r="A322" s="197" t="s">
        <v>3385</v>
      </c>
      <c r="B322" s="199" t="s">
        <v>2912</v>
      </c>
      <c r="C322" s="199" t="s">
        <v>2913</v>
      </c>
      <c r="D322" s="199" t="s">
        <v>2315</v>
      </c>
      <c r="E322" s="199" t="s">
        <v>1051</v>
      </c>
      <c r="F322" s="442">
        <v>45339.696145833332</v>
      </c>
      <c r="G322" s="467">
        <v>0.69614583333333335</v>
      </c>
      <c r="H322" s="459">
        <v>6251.63</v>
      </c>
      <c r="I322" s="460">
        <v>6251.63</v>
      </c>
      <c r="J322" s="198" t="s">
        <v>2902</v>
      </c>
      <c r="K322" s="476"/>
      <c r="L322" s="199"/>
      <c r="M322" s="199"/>
      <c r="N322" s="567">
        <v>45475</v>
      </c>
      <c r="O322" s="199" t="s">
        <v>2789</v>
      </c>
    </row>
    <row r="323" spans="1:15" s="200" customFormat="1" ht="8.1" customHeight="1" x14ac:dyDescent="0.25">
      <c r="A323" s="197" t="s">
        <v>3386</v>
      </c>
      <c r="B323" s="199" t="s">
        <v>2914</v>
      </c>
      <c r="C323" s="199" t="s">
        <v>2915</v>
      </c>
      <c r="D323" s="199" t="s">
        <v>1089</v>
      </c>
      <c r="E323" s="199" t="s">
        <v>1051</v>
      </c>
      <c r="F323" s="442">
        <v>45339.690925925926</v>
      </c>
      <c r="G323" s="467">
        <v>0.69092592592592583</v>
      </c>
      <c r="H323" s="459">
        <v>6474.41</v>
      </c>
      <c r="I323" s="460">
        <v>6474.41</v>
      </c>
      <c r="J323" s="198" t="s">
        <v>2902</v>
      </c>
      <c r="K323" s="476"/>
      <c r="L323" s="199"/>
      <c r="M323" s="199"/>
      <c r="N323" s="567">
        <v>45475</v>
      </c>
      <c r="O323" s="199" t="s">
        <v>2144</v>
      </c>
    </row>
    <row r="324" spans="1:15" s="200" customFormat="1" ht="8.1" customHeight="1" x14ac:dyDescent="0.25">
      <c r="A324" s="197" t="s">
        <v>3387</v>
      </c>
      <c r="B324" s="199" t="s">
        <v>2916</v>
      </c>
      <c r="C324" s="199" t="s">
        <v>2917</v>
      </c>
      <c r="D324" s="199" t="s">
        <v>2878</v>
      </c>
      <c r="E324" s="199" t="s">
        <v>1051</v>
      </c>
      <c r="F324" s="442">
        <v>45340.545532407406</v>
      </c>
      <c r="G324" s="467">
        <v>0.54553240740740738</v>
      </c>
      <c r="H324" s="459">
        <v>11053.72</v>
      </c>
      <c r="I324" s="460">
        <v>11053.72</v>
      </c>
      <c r="J324" s="198" t="s">
        <v>2902</v>
      </c>
      <c r="K324" s="476"/>
      <c r="L324" s="199"/>
      <c r="M324" s="199"/>
      <c r="N324" s="567">
        <v>45475</v>
      </c>
      <c r="O324" s="199" t="s">
        <v>2881</v>
      </c>
    </row>
    <row r="325" spans="1:15" s="200" customFormat="1" ht="8.1" customHeight="1" x14ac:dyDescent="0.25">
      <c r="A325" s="197" t="s">
        <v>3388</v>
      </c>
      <c r="B325" s="199" t="s">
        <v>2918</v>
      </c>
      <c r="C325" s="199" t="s">
        <v>2919</v>
      </c>
      <c r="D325" s="199" t="s">
        <v>1119</v>
      </c>
      <c r="E325" s="199" t="s">
        <v>1051</v>
      </c>
      <c r="F325" s="442">
        <v>45340.652685185189</v>
      </c>
      <c r="G325" s="467">
        <v>0.65268518518518526</v>
      </c>
      <c r="H325" s="459">
        <v>33768.93</v>
      </c>
      <c r="I325" s="460">
        <v>33768.93</v>
      </c>
      <c r="J325" s="198" t="s">
        <v>2902</v>
      </c>
      <c r="K325" s="476"/>
      <c r="L325" s="199"/>
      <c r="M325" s="199"/>
      <c r="N325" s="567">
        <v>45475</v>
      </c>
      <c r="O325" s="199" t="s">
        <v>2920</v>
      </c>
    </row>
    <row r="326" spans="1:15" s="200" customFormat="1" ht="8.1" customHeight="1" x14ac:dyDescent="0.25">
      <c r="A326" s="197" t="s">
        <v>3389</v>
      </c>
      <c r="B326" s="199" t="s">
        <v>2921</v>
      </c>
      <c r="C326" s="199" t="s">
        <v>2922</v>
      </c>
      <c r="D326" s="199" t="s">
        <v>1259</v>
      </c>
      <c r="E326" s="199" t="s">
        <v>1051</v>
      </c>
      <c r="F326" s="442">
        <v>45340.809236111112</v>
      </c>
      <c r="G326" s="467">
        <v>0.80923611111111116</v>
      </c>
      <c r="H326" s="459">
        <v>9479.1299999999992</v>
      </c>
      <c r="I326" s="460">
        <v>9479.1299999999992</v>
      </c>
      <c r="J326" s="198" t="s">
        <v>2902</v>
      </c>
      <c r="K326" s="476"/>
      <c r="L326" s="199"/>
      <c r="M326" s="199"/>
      <c r="N326" s="567">
        <v>45475</v>
      </c>
      <c r="O326" s="199" t="s">
        <v>1180</v>
      </c>
    </row>
    <row r="327" spans="1:15" s="200" customFormat="1" ht="8.1" customHeight="1" x14ac:dyDescent="0.25">
      <c r="A327" s="197" t="s">
        <v>3390</v>
      </c>
      <c r="B327" s="199" t="s">
        <v>2923</v>
      </c>
      <c r="C327" s="199" t="s">
        <v>2924</v>
      </c>
      <c r="D327" s="199" t="s">
        <v>1050</v>
      </c>
      <c r="E327" s="199" t="s">
        <v>1051</v>
      </c>
      <c r="F327" s="442">
        <v>45341.713761574072</v>
      </c>
      <c r="G327" s="467">
        <v>0.71376157407407403</v>
      </c>
      <c r="H327" s="459">
        <v>438.23</v>
      </c>
      <c r="I327" s="460">
        <v>438.23</v>
      </c>
      <c r="J327" s="198" t="s">
        <v>2902</v>
      </c>
      <c r="K327" s="476"/>
      <c r="L327" s="199"/>
      <c r="M327" s="199"/>
      <c r="N327" s="567">
        <v>45475</v>
      </c>
      <c r="O327" s="199" t="s">
        <v>2925</v>
      </c>
    </row>
    <row r="328" spans="1:15" s="200" customFormat="1" ht="8.1" customHeight="1" x14ac:dyDescent="0.25">
      <c r="A328" s="197" t="s">
        <v>3391</v>
      </c>
      <c r="B328" s="199" t="s">
        <v>2926</v>
      </c>
      <c r="C328" s="199" t="s">
        <v>2927</v>
      </c>
      <c r="D328" s="199" t="s">
        <v>2928</v>
      </c>
      <c r="E328" s="199" t="s">
        <v>1051</v>
      </c>
      <c r="F328" s="442">
        <v>45394.581979166665</v>
      </c>
      <c r="G328" s="467">
        <v>0.5819791666666666</v>
      </c>
      <c r="H328" s="459">
        <v>1115.8599999999999</v>
      </c>
      <c r="I328" s="460">
        <v>1115.8599999999999</v>
      </c>
      <c r="J328" s="198" t="s">
        <v>2902</v>
      </c>
      <c r="K328" s="476"/>
      <c r="L328" s="199"/>
      <c r="M328" s="199"/>
      <c r="N328" s="567">
        <v>45475</v>
      </c>
      <c r="O328" s="199" t="s">
        <v>1258</v>
      </c>
    </row>
    <row r="329" spans="1:15" s="200" customFormat="1" ht="8.1" customHeight="1" x14ac:dyDescent="0.25">
      <c r="A329" s="197" t="s">
        <v>3392</v>
      </c>
      <c r="B329" s="199" t="s">
        <v>2929</v>
      </c>
      <c r="C329" s="199" t="s">
        <v>2930</v>
      </c>
      <c r="D329" s="199" t="s">
        <v>2931</v>
      </c>
      <c r="E329" s="199" t="s">
        <v>1051</v>
      </c>
      <c r="F329" s="442">
        <v>45394.699849537035</v>
      </c>
      <c r="G329" s="467">
        <v>0.69984953703703701</v>
      </c>
      <c r="H329" s="459">
        <v>926.59</v>
      </c>
      <c r="I329" s="460">
        <v>926.59</v>
      </c>
      <c r="J329" s="198" t="s">
        <v>2902</v>
      </c>
      <c r="K329" s="476"/>
      <c r="L329" s="199"/>
      <c r="M329" s="199"/>
      <c r="N329" s="567">
        <v>45475</v>
      </c>
      <c r="O329" s="199" t="s">
        <v>2185</v>
      </c>
    </row>
    <row r="330" spans="1:15" s="200" customFormat="1" ht="8.1" customHeight="1" x14ac:dyDescent="0.25">
      <c r="A330" s="197" t="s">
        <v>3393</v>
      </c>
      <c r="B330" s="199" t="s">
        <v>2932</v>
      </c>
      <c r="C330" s="199" t="s">
        <v>2933</v>
      </c>
      <c r="D330" s="199" t="s">
        <v>1089</v>
      </c>
      <c r="E330" s="199" t="s">
        <v>1051</v>
      </c>
      <c r="F330" s="442">
        <v>45394.711180555554</v>
      </c>
      <c r="G330" s="467">
        <v>0.71118055555555548</v>
      </c>
      <c r="H330" s="459">
        <v>23300</v>
      </c>
      <c r="I330" s="460">
        <v>23300</v>
      </c>
      <c r="J330" s="198" t="s">
        <v>2902</v>
      </c>
      <c r="K330" s="476"/>
      <c r="L330" s="199"/>
      <c r="M330" s="199"/>
      <c r="N330" s="567">
        <v>45475</v>
      </c>
      <c r="O330" s="199" t="s">
        <v>1192</v>
      </c>
    </row>
    <row r="331" spans="1:15" s="200" customFormat="1" ht="8.1" customHeight="1" x14ac:dyDescent="0.25">
      <c r="A331" s="197" t="s">
        <v>3394</v>
      </c>
      <c r="B331" s="199" t="s">
        <v>2934</v>
      </c>
      <c r="C331" s="199" t="s">
        <v>2935</v>
      </c>
      <c r="D331" s="199" t="s">
        <v>1050</v>
      </c>
      <c r="E331" s="199" t="s">
        <v>1051</v>
      </c>
      <c r="F331" s="442">
        <v>45394.805046296293</v>
      </c>
      <c r="G331" s="467">
        <v>0.80504629629629632</v>
      </c>
      <c r="H331" s="459">
        <v>349.17</v>
      </c>
      <c r="I331" s="460">
        <v>349.17</v>
      </c>
      <c r="J331" s="198" t="s">
        <v>2902</v>
      </c>
      <c r="K331" s="476"/>
      <c r="L331" s="199"/>
      <c r="M331" s="199"/>
      <c r="N331" s="567">
        <v>45475</v>
      </c>
      <c r="O331" s="199" t="s">
        <v>1068</v>
      </c>
    </row>
    <row r="332" spans="1:15" s="200" customFormat="1" ht="8.1" customHeight="1" x14ac:dyDescent="0.25">
      <c r="A332" s="197" t="s">
        <v>3395</v>
      </c>
      <c r="B332" s="199" t="s">
        <v>2936</v>
      </c>
      <c r="C332" s="199" t="s">
        <v>2937</v>
      </c>
      <c r="D332" s="199" t="s">
        <v>1259</v>
      </c>
      <c r="E332" s="199" t="s">
        <v>1051</v>
      </c>
      <c r="F332" s="442">
        <v>45394.823159722226</v>
      </c>
      <c r="G332" s="467">
        <v>0.82315972222222233</v>
      </c>
      <c r="H332" s="459">
        <v>13131.83</v>
      </c>
      <c r="I332" s="460">
        <v>13131.83</v>
      </c>
      <c r="J332" s="198" t="s">
        <v>2902</v>
      </c>
      <c r="K332" s="476"/>
      <c r="L332" s="199"/>
      <c r="M332" s="199"/>
      <c r="N332" s="567">
        <v>45475</v>
      </c>
      <c r="O332" s="199" t="s">
        <v>1180</v>
      </c>
    </row>
    <row r="333" spans="1:15" s="200" customFormat="1" ht="8.1" customHeight="1" x14ac:dyDescent="0.25">
      <c r="A333" s="197" t="s">
        <v>3396</v>
      </c>
      <c r="B333" s="199" t="s">
        <v>2938</v>
      </c>
      <c r="C333" s="199" t="s">
        <v>2939</v>
      </c>
      <c r="D333" s="199" t="s">
        <v>1055</v>
      </c>
      <c r="E333" s="199" t="s">
        <v>1051</v>
      </c>
      <c r="F333" s="442">
        <v>45396.401296296295</v>
      </c>
      <c r="G333" s="467">
        <v>0.40129629629629626</v>
      </c>
      <c r="H333" s="459">
        <v>18594.439999999999</v>
      </c>
      <c r="I333" s="460">
        <v>18594.439999999999</v>
      </c>
      <c r="J333" s="198" t="s">
        <v>2902</v>
      </c>
      <c r="K333" s="199"/>
      <c r="L333" s="199"/>
      <c r="M333" s="199"/>
      <c r="N333" s="567">
        <v>45475</v>
      </c>
      <c r="O333" s="199" t="s">
        <v>2940</v>
      </c>
    </row>
    <row r="334" spans="1:15" s="200" customFormat="1" ht="8.1" customHeight="1" x14ac:dyDescent="0.25">
      <c r="A334" s="197" t="s">
        <v>3397</v>
      </c>
      <c r="B334" s="199" t="s">
        <v>2941</v>
      </c>
      <c r="C334" s="199" t="s">
        <v>2942</v>
      </c>
      <c r="D334" s="199" t="s">
        <v>2878</v>
      </c>
      <c r="E334" s="199" t="s">
        <v>1051</v>
      </c>
      <c r="F334" s="442">
        <v>45396.498287037037</v>
      </c>
      <c r="G334" s="467">
        <v>0.49828703703703708</v>
      </c>
      <c r="H334" s="459">
        <v>5391.68</v>
      </c>
      <c r="I334" s="460">
        <v>5391.68</v>
      </c>
      <c r="J334" s="198" t="s">
        <v>2902</v>
      </c>
      <c r="K334" s="199"/>
      <c r="L334" s="199"/>
      <c r="M334" s="199"/>
      <c r="N334" s="567">
        <v>45475</v>
      </c>
      <c r="O334" s="199" t="s">
        <v>2881</v>
      </c>
    </row>
    <row r="335" spans="1:15" s="200" customFormat="1" ht="8.1" customHeight="1" x14ac:dyDescent="0.25">
      <c r="A335" s="197" t="s">
        <v>3398</v>
      </c>
      <c r="B335" s="199" t="s">
        <v>2943</v>
      </c>
      <c r="C335" s="199" t="s">
        <v>2944</v>
      </c>
      <c r="D335" s="199" t="s">
        <v>1050</v>
      </c>
      <c r="E335" s="199" t="s">
        <v>1051</v>
      </c>
      <c r="F335" s="442">
        <v>45396.522824074076</v>
      </c>
      <c r="G335" s="467">
        <v>0.52282407407407405</v>
      </c>
      <c r="H335" s="459">
        <v>6173.99</v>
      </c>
      <c r="I335" s="460">
        <v>6173.99</v>
      </c>
      <c r="J335" s="198" t="s">
        <v>2902</v>
      </c>
      <c r="K335" s="199"/>
      <c r="L335" s="199"/>
      <c r="M335" s="199"/>
      <c r="N335" s="567">
        <v>45475</v>
      </c>
      <c r="O335" s="199" t="s">
        <v>1278</v>
      </c>
    </row>
    <row r="336" spans="1:15" s="200" customFormat="1" ht="8.1" customHeight="1" x14ac:dyDescent="0.25">
      <c r="A336" s="197" t="s">
        <v>3399</v>
      </c>
      <c r="B336" s="199" t="s">
        <v>2945</v>
      </c>
      <c r="C336" s="199" t="s">
        <v>2946</v>
      </c>
      <c r="D336" s="199" t="s">
        <v>1050</v>
      </c>
      <c r="E336" s="199" t="s">
        <v>1051</v>
      </c>
      <c r="F336" s="442">
        <v>45396.651967592596</v>
      </c>
      <c r="G336" s="467">
        <v>0.65196759259259263</v>
      </c>
      <c r="H336" s="459">
        <v>11761.55</v>
      </c>
      <c r="I336" s="460">
        <v>11761.55</v>
      </c>
      <c r="J336" s="198" t="s">
        <v>2902</v>
      </c>
      <c r="K336" s="199"/>
      <c r="L336" s="199"/>
      <c r="M336" s="199"/>
      <c r="N336" s="567">
        <v>45475</v>
      </c>
      <c r="O336" s="199" t="s">
        <v>2901</v>
      </c>
    </row>
    <row r="337" spans="1:16" s="200" customFormat="1" ht="8.1" customHeight="1" x14ac:dyDescent="0.25">
      <c r="A337" s="197" t="s">
        <v>3400</v>
      </c>
      <c r="B337" s="197" t="s">
        <v>3401</v>
      </c>
      <c r="C337" s="197" t="s">
        <v>3402</v>
      </c>
      <c r="D337" s="197" t="s">
        <v>1046</v>
      </c>
      <c r="E337" s="462" t="s">
        <v>1051</v>
      </c>
      <c r="F337" s="442">
        <v>45892.349074074074</v>
      </c>
      <c r="G337" s="467">
        <v>0.34907407407407409</v>
      </c>
      <c r="H337" s="569">
        <v>16053</v>
      </c>
      <c r="I337" s="570">
        <v>16053</v>
      </c>
      <c r="J337" s="461" t="s">
        <v>1002</v>
      </c>
      <c r="K337" s="197" t="s">
        <v>3403</v>
      </c>
      <c r="L337" s="199" t="s">
        <v>1037</v>
      </c>
      <c r="M337" s="199" t="s">
        <v>1354</v>
      </c>
      <c r="N337" s="567">
        <v>45898</v>
      </c>
      <c r="O337" s="197" t="s">
        <v>1068</v>
      </c>
    </row>
    <row r="338" spans="1:16" s="200" customFormat="1" ht="8.1" customHeight="1" x14ac:dyDescent="0.25">
      <c r="A338" s="197" t="s">
        <v>3404</v>
      </c>
      <c r="B338" s="197" t="s">
        <v>3405</v>
      </c>
      <c r="C338" s="197" t="s">
        <v>3406</v>
      </c>
      <c r="D338" s="197" t="s">
        <v>2878</v>
      </c>
      <c r="E338" s="462" t="s">
        <v>1051</v>
      </c>
      <c r="F338" s="442">
        <v>45892.349363425928</v>
      </c>
      <c r="G338" s="467">
        <v>0.34936342592592595</v>
      </c>
      <c r="H338" s="459">
        <v>8.5</v>
      </c>
      <c r="I338" s="460">
        <v>8.5</v>
      </c>
      <c r="J338" s="461" t="s">
        <v>1002</v>
      </c>
      <c r="K338" s="197" t="s">
        <v>3407</v>
      </c>
      <c r="L338" s="199" t="s">
        <v>1037</v>
      </c>
      <c r="M338" s="199" t="s">
        <v>1354</v>
      </c>
      <c r="N338" s="567">
        <v>45898</v>
      </c>
      <c r="O338" s="197" t="s">
        <v>3408</v>
      </c>
    </row>
    <row r="339" spans="1:16" s="200" customFormat="1" ht="8.1" customHeight="1" x14ac:dyDescent="0.25">
      <c r="A339" s="197" t="s">
        <v>3409</v>
      </c>
      <c r="B339" s="197" t="s">
        <v>3410</v>
      </c>
      <c r="C339" s="197" t="s">
        <v>3411</v>
      </c>
      <c r="D339" s="197" t="s">
        <v>3412</v>
      </c>
      <c r="E339" s="462" t="s">
        <v>1051</v>
      </c>
      <c r="F339" s="442">
        <v>45892.348101851851</v>
      </c>
      <c r="G339" s="467">
        <v>0.34810185185185188</v>
      </c>
      <c r="H339" s="569">
        <v>1798</v>
      </c>
      <c r="I339" s="570">
        <v>1798</v>
      </c>
      <c r="J339" s="198" t="s">
        <v>1397</v>
      </c>
      <c r="K339" s="197" t="s">
        <v>1079</v>
      </c>
      <c r="L339" s="197" t="s">
        <v>1037</v>
      </c>
      <c r="M339" s="197" t="s">
        <v>1354</v>
      </c>
      <c r="N339" s="567">
        <v>45898</v>
      </c>
      <c r="O339" s="197" t="s">
        <v>3413</v>
      </c>
    </row>
    <row r="340" spans="1:16" s="200" customFormat="1" ht="8.1" customHeight="1" x14ac:dyDescent="0.25">
      <c r="A340" s="197" t="s">
        <v>3414</v>
      </c>
      <c r="B340" s="197" t="s">
        <v>3415</v>
      </c>
      <c r="C340" s="197" t="s">
        <v>3416</v>
      </c>
      <c r="D340" s="197" t="s">
        <v>3417</v>
      </c>
      <c r="E340" s="462" t="s">
        <v>1051</v>
      </c>
      <c r="F340" s="442">
        <v>45901.703067129631</v>
      </c>
      <c r="G340" s="467">
        <v>0.70306712962962958</v>
      </c>
      <c r="H340" s="569">
        <v>11000</v>
      </c>
      <c r="I340" s="570">
        <v>11000</v>
      </c>
      <c r="J340" s="461" t="s">
        <v>1002</v>
      </c>
      <c r="K340" s="197" t="s">
        <v>3418</v>
      </c>
      <c r="L340" s="199" t="s">
        <v>1037</v>
      </c>
      <c r="M340" s="199" t="s">
        <v>1354</v>
      </c>
      <c r="N340" s="567">
        <v>45904</v>
      </c>
      <c r="O340" s="197" t="s">
        <v>2818</v>
      </c>
    </row>
    <row r="341" spans="1:16" s="200" customFormat="1" ht="8.1" customHeight="1" x14ac:dyDescent="0.25">
      <c r="A341" s="197" t="s">
        <v>3419</v>
      </c>
      <c r="B341" s="197" t="s">
        <v>3420</v>
      </c>
      <c r="C341" s="197" t="s">
        <v>3421</v>
      </c>
      <c r="D341" s="197" t="s">
        <v>1126</v>
      </c>
      <c r="E341" s="462" t="s">
        <v>1051</v>
      </c>
      <c r="F341" s="442">
        <v>45901.699571759258</v>
      </c>
      <c r="G341" s="467">
        <v>0.6995717592592593</v>
      </c>
      <c r="H341" s="569">
        <v>23060.78</v>
      </c>
      <c r="I341" s="570">
        <v>23060.78</v>
      </c>
      <c r="J341" s="198" t="s">
        <v>1397</v>
      </c>
      <c r="K341" s="197" t="s">
        <v>1079</v>
      </c>
      <c r="L341" s="197" t="s">
        <v>1037</v>
      </c>
      <c r="M341" s="197" t="s">
        <v>1354</v>
      </c>
      <c r="N341" s="567">
        <v>45904</v>
      </c>
      <c r="O341" s="197" t="s">
        <v>3422</v>
      </c>
    </row>
    <row r="342" spans="1:16" s="312" customFormat="1" ht="15.75" thickBot="1" x14ac:dyDescent="0.3">
      <c r="C342" s="311"/>
      <c r="I342" s="300">
        <f>SUM(I25:I341)</f>
        <v>3219444.4400000009</v>
      </c>
    </row>
    <row r="343" spans="1:16" ht="8.1" customHeight="1" thickTop="1" x14ac:dyDescent="0.2">
      <c r="A343" s="76"/>
    </row>
    <row r="344" spans="1:16" ht="8.1" customHeight="1" x14ac:dyDescent="0.2">
      <c r="A344" s="76"/>
    </row>
    <row r="345" spans="1:16" ht="8.1" customHeight="1" x14ac:dyDescent="0.2">
      <c r="A345" s="76"/>
    </row>
    <row r="346" spans="1:16" ht="8.1" customHeight="1" x14ac:dyDescent="0.2">
      <c r="A346" s="203"/>
      <c r="B346" s="203"/>
      <c r="C346" s="204"/>
      <c r="D346" s="204"/>
      <c r="F346" s="205"/>
      <c r="G346" s="206"/>
      <c r="H346" s="207"/>
      <c r="J346" s="203"/>
      <c r="K346" s="203"/>
    </row>
    <row r="347" spans="1:16" ht="11.1" customHeight="1" x14ac:dyDescent="0.2"/>
    <row r="348" spans="1:16" ht="11.1" customHeight="1" x14ac:dyDescent="0.2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</row>
    <row r="349" spans="1:16" ht="11.1" customHeight="1" x14ac:dyDescent="0.2"/>
    <row r="350" spans="1:16" ht="11.1" customHeight="1" x14ac:dyDescent="0.2">
      <c r="A350" s="76" t="s">
        <v>1561</v>
      </c>
    </row>
    <row r="351" spans="1:16" ht="11.1" customHeight="1" x14ac:dyDescent="0.2">
      <c r="A351" s="76"/>
    </row>
    <row r="352" spans="1:16" ht="11.1" customHeight="1" x14ac:dyDescent="0.2">
      <c r="A352" s="194" t="s">
        <v>1018</v>
      </c>
      <c r="B352" s="195" t="s">
        <v>1019</v>
      </c>
      <c r="C352" s="195" t="s">
        <v>1020</v>
      </c>
      <c r="D352" s="195" t="s">
        <v>754</v>
      </c>
      <c r="E352" s="195" t="s">
        <v>1021</v>
      </c>
      <c r="F352" s="195" t="s">
        <v>1022</v>
      </c>
      <c r="G352" s="195" t="s">
        <v>1023</v>
      </c>
      <c r="H352" s="195" t="s">
        <v>1024</v>
      </c>
      <c r="I352" s="195" t="s">
        <v>1025</v>
      </c>
      <c r="J352" s="195" t="s">
        <v>1026</v>
      </c>
      <c r="K352" s="195" t="s">
        <v>1027</v>
      </c>
      <c r="L352" s="195" t="s">
        <v>1028</v>
      </c>
      <c r="M352" s="195" t="s">
        <v>1029</v>
      </c>
      <c r="N352" s="195" t="s">
        <v>1030</v>
      </c>
      <c r="O352" s="195" t="s">
        <v>1031</v>
      </c>
      <c r="P352" s="196"/>
    </row>
    <row r="353" spans="1:15" s="200" customFormat="1" ht="8.1" customHeight="1" x14ac:dyDescent="0.25">
      <c r="A353" s="197" t="s">
        <v>3423</v>
      </c>
      <c r="B353" s="197" t="s">
        <v>1562</v>
      </c>
      <c r="C353" s="197" t="s">
        <v>1563</v>
      </c>
      <c r="D353" s="197" t="s">
        <v>1564</v>
      </c>
      <c r="E353" s="197" t="s">
        <v>1565</v>
      </c>
      <c r="F353" s="391">
        <v>44848</v>
      </c>
      <c r="G353" s="467">
        <v>0.69195601851851851</v>
      </c>
      <c r="H353" s="443">
        <v>50000</v>
      </c>
      <c r="I353" s="444">
        <v>50000</v>
      </c>
      <c r="J353" s="198" t="s">
        <v>1002</v>
      </c>
      <c r="K353" s="197" t="s">
        <v>2398</v>
      </c>
      <c r="L353" s="197" t="s">
        <v>1037</v>
      </c>
      <c r="M353" s="197" t="s">
        <v>1052</v>
      </c>
      <c r="N353" s="391">
        <v>44849</v>
      </c>
      <c r="O353" s="197" t="s">
        <v>1566</v>
      </c>
    </row>
    <row r="354" spans="1:15" s="200" customFormat="1" ht="8.1" customHeight="1" x14ac:dyDescent="0.25">
      <c r="A354" s="197" t="s">
        <v>3424</v>
      </c>
      <c r="B354" s="197" t="s">
        <v>1567</v>
      </c>
      <c r="C354" s="197" t="s">
        <v>1568</v>
      </c>
      <c r="D354" s="197" t="s">
        <v>1564</v>
      </c>
      <c r="E354" s="197" t="s">
        <v>1565</v>
      </c>
      <c r="F354" s="391">
        <v>44848</v>
      </c>
      <c r="G354" s="571">
        <v>0.64929398148148143</v>
      </c>
      <c r="H354" s="443">
        <v>50000</v>
      </c>
      <c r="I354" s="444">
        <v>50000</v>
      </c>
      <c r="J354" s="198" t="s">
        <v>1002</v>
      </c>
      <c r="K354" s="197" t="s">
        <v>2399</v>
      </c>
      <c r="L354" s="197" t="s">
        <v>1037</v>
      </c>
      <c r="M354" s="197" t="s">
        <v>1052</v>
      </c>
      <c r="N354" s="391">
        <v>44849</v>
      </c>
      <c r="O354" s="197" t="s">
        <v>1566</v>
      </c>
    </row>
    <row r="355" spans="1:15" s="200" customFormat="1" ht="8.1" customHeight="1" x14ac:dyDescent="0.25">
      <c r="A355" s="197" t="s">
        <v>3425</v>
      </c>
      <c r="B355" s="197" t="s">
        <v>1569</v>
      </c>
      <c r="C355" s="197" t="s">
        <v>1570</v>
      </c>
      <c r="D355" s="197" t="s">
        <v>1571</v>
      </c>
      <c r="E355" s="197" t="s">
        <v>1572</v>
      </c>
      <c r="F355" s="442">
        <v>45163.708090277774</v>
      </c>
      <c r="G355" s="467">
        <v>0.70809027777777767</v>
      </c>
      <c r="H355" s="443">
        <v>50000</v>
      </c>
      <c r="I355" s="444">
        <v>50000</v>
      </c>
      <c r="J355" s="198" t="s">
        <v>1078</v>
      </c>
      <c r="K355" s="197" t="s">
        <v>1079</v>
      </c>
      <c r="L355" s="197" t="s">
        <v>1034</v>
      </c>
      <c r="M355" s="197" t="s">
        <v>1052</v>
      </c>
      <c r="N355" s="391">
        <v>45170</v>
      </c>
      <c r="O355" s="197" t="s">
        <v>1573</v>
      </c>
    </row>
    <row r="356" spans="1:15" s="200" customFormat="1" ht="8.1" customHeight="1" x14ac:dyDescent="0.25">
      <c r="A356" s="197" t="s">
        <v>2605</v>
      </c>
      <c r="B356" s="197" t="s">
        <v>2170</v>
      </c>
      <c r="C356" s="197" t="s">
        <v>2171</v>
      </c>
      <c r="D356" s="197" t="s">
        <v>2172</v>
      </c>
      <c r="E356" s="201" t="s">
        <v>2173</v>
      </c>
      <c r="F356" s="442">
        <v>45298.573611111111</v>
      </c>
      <c r="G356" s="467">
        <v>0.57361111111111118</v>
      </c>
      <c r="H356" s="443">
        <v>3186</v>
      </c>
      <c r="I356" s="444">
        <v>3186</v>
      </c>
      <c r="J356" s="198" t="s">
        <v>1032</v>
      </c>
      <c r="K356" s="197" t="s">
        <v>2174</v>
      </c>
      <c r="L356" s="197" t="s">
        <v>1034</v>
      </c>
      <c r="M356" s="197" t="s">
        <v>2175</v>
      </c>
      <c r="N356" s="391">
        <v>45329</v>
      </c>
      <c r="O356" s="197" t="s">
        <v>2176</v>
      </c>
    </row>
    <row r="357" spans="1:15" s="200" customFormat="1" ht="8.1" customHeight="1" x14ac:dyDescent="0.25">
      <c r="A357" s="197" t="s">
        <v>3426</v>
      </c>
      <c r="B357" s="197" t="s">
        <v>2400</v>
      </c>
      <c r="C357" s="197" t="s">
        <v>2401</v>
      </c>
      <c r="D357" s="197" t="s">
        <v>2402</v>
      </c>
      <c r="E357" s="197" t="s">
        <v>2403</v>
      </c>
      <c r="F357" s="442">
        <v>45326.575277777774</v>
      </c>
      <c r="G357" s="467">
        <v>0.57527777777777778</v>
      </c>
      <c r="H357" s="443">
        <v>37288</v>
      </c>
      <c r="I357" s="444">
        <v>37288</v>
      </c>
      <c r="J357" s="198" t="s">
        <v>1002</v>
      </c>
      <c r="K357" s="197" t="s">
        <v>2404</v>
      </c>
      <c r="L357" s="197" t="s">
        <v>1037</v>
      </c>
      <c r="M357" s="197" t="s">
        <v>1052</v>
      </c>
      <c r="N357" s="391">
        <v>45377</v>
      </c>
      <c r="O357" s="197" t="s">
        <v>2405</v>
      </c>
    </row>
    <row r="358" spans="1:15" s="200" customFormat="1" ht="8.1" customHeight="1" x14ac:dyDescent="0.25">
      <c r="A358" s="197" t="s">
        <v>3427</v>
      </c>
      <c r="B358" s="197" t="s">
        <v>2406</v>
      </c>
      <c r="C358" s="447" t="s">
        <v>2407</v>
      </c>
      <c r="D358" s="197" t="s">
        <v>2408</v>
      </c>
      <c r="E358" s="197" t="s">
        <v>2409</v>
      </c>
      <c r="F358" s="442">
        <v>45260.65834490741</v>
      </c>
      <c r="G358" s="467">
        <v>0.65834490740740736</v>
      </c>
      <c r="H358" s="443">
        <v>50000</v>
      </c>
      <c r="I358" s="444">
        <v>50000</v>
      </c>
      <c r="J358" s="198" t="s">
        <v>2410</v>
      </c>
      <c r="K358" s="197"/>
      <c r="L358" s="197"/>
      <c r="M358" s="197"/>
      <c r="N358" s="391">
        <v>44957</v>
      </c>
      <c r="O358" s="197" t="s">
        <v>1753</v>
      </c>
    </row>
    <row r="359" spans="1:15" s="200" customFormat="1" ht="8.1" customHeight="1" x14ac:dyDescent="0.25">
      <c r="A359" s="197" t="s">
        <v>3428</v>
      </c>
      <c r="B359" s="197" t="s">
        <v>2411</v>
      </c>
      <c r="C359" s="447" t="s">
        <v>2412</v>
      </c>
      <c r="D359" s="197" t="s">
        <v>2413</v>
      </c>
      <c r="E359" s="197" t="s">
        <v>2414</v>
      </c>
      <c r="F359" s="442">
        <v>45169.70103009259</v>
      </c>
      <c r="G359" s="467">
        <v>0.70103009259259252</v>
      </c>
      <c r="H359" s="443">
        <v>12500</v>
      </c>
      <c r="I359" s="444">
        <v>12500</v>
      </c>
      <c r="J359" s="198" t="s">
        <v>2415</v>
      </c>
      <c r="K359" s="197"/>
      <c r="L359" s="197"/>
      <c r="M359" s="197"/>
      <c r="N359" s="391">
        <v>45182</v>
      </c>
      <c r="O359" s="197" t="s">
        <v>2416</v>
      </c>
    </row>
    <row r="360" spans="1:15" s="259" customFormat="1" ht="8.1" customHeight="1" x14ac:dyDescent="0.25">
      <c r="A360" s="197" t="s">
        <v>3429</v>
      </c>
      <c r="B360" s="197" t="s">
        <v>3071</v>
      </c>
      <c r="C360" s="197" t="s">
        <v>3072</v>
      </c>
      <c r="D360" s="197" t="s">
        <v>3073</v>
      </c>
      <c r="E360" s="462" t="s">
        <v>3074</v>
      </c>
      <c r="F360" s="442">
        <v>45576.688391203701</v>
      </c>
      <c r="G360" s="467">
        <v>0.68839120370370377</v>
      </c>
      <c r="H360" s="443">
        <v>50000</v>
      </c>
      <c r="I360" s="444">
        <v>50000</v>
      </c>
      <c r="J360" s="198" t="s">
        <v>1397</v>
      </c>
      <c r="K360" s="197" t="s">
        <v>1079</v>
      </c>
      <c r="L360" s="197" t="s">
        <v>1034</v>
      </c>
      <c r="M360" s="197" t="s">
        <v>1318</v>
      </c>
      <c r="N360" s="391">
        <v>45618</v>
      </c>
      <c r="O360" s="197" t="s">
        <v>3075</v>
      </c>
    </row>
    <row r="361" spans="1:15" s="259" customFormat="1" ht="8.1" customHeight="1" x14ac:dyDescent="0.25">
      <c r="A361" s="197" t="s">
        <v>3430</v>
      </c>
      <c r="B361" s="199" t="s">
        <v>2411</v>
      </c>
      <c r="C361" s="199" t="s">
        <v>2903</v>
      </c>
      <c r="D361" s="199" t="s">
        <v>2413</v>
      </c>
      <c r="E361" s="199" t="s">
        <v>2414</v>
      </c>
      <c r="F361" s="442">
        <v>45169.70103009259</v>
      </c>
      <c r="G361" s="467">
        <v>0.70103009259259252</v>
      </c>
      <c r="H361" s="459">
        <v>12500</v>
      </c>
      <c r="I361" s="460">
        <v>12500</v>
      </c>
      <c r="J361" s="198" t="s">
        <v>2902</v>
      </c>
      <c r="K361" s="476"/>
      <c r="L361" s="199"/>
      <c r="M361" s="199"/>
      <c r="N361" s="391">
        <v>45475</v>
      </c>
      <c r="O361" s="199" t="s">
        <v>2416</v>
      </c>
    </row>
    <row r="362" spans="1:15" s="259" customFormat="1" ht="8.1" customHeight="1" x14ac:dyDescent="0.2">
      <c r="A362" s="197" t="s">
        <v>3431</v>
      </c>
      <c r="B362" s="199" t="s">
        <v>2952</v>
      </c>
      <c r="C362" s="199" t="s">
        <v>2953</v>
      </c>
      <c r="D362" s="199" t="s">
        <v>2954</v>
      </c>
      <c r="E362" s="199" t="s">
        <v>2955</v>
      </c>
      <c r="F362" s="442">
        <v>45407.451550925929</v>
      </c>
      <c r="G362" s="467">
        <v>0.45155092592592588</v>
      </c>
      <c r="H362" s="459">
        <v>30000</v>
      </c>
      <c r="I362" s="460">
        <v>30000</v>
      </c>
      <c r="J362" s="198" t="s">
        <v>2902</v>
      </c>
      <c r="K362" s="477"/>
      <c r="L362" s="478"/>
      <c r="M362" s="199"/>
      <c r="N362" s="391">
        <v>45475</v>
      </c>
      <c r="O362" s="199" t="s">
        <v>2956</v>
      </c>
    </row>
    <row r="363" spans="1:15" s="259" customFormat="1" ht="8.1" customHeight="1" x14ac:dyDescent="0.25">
      <c r="A363" s="197" t="s">
        <v>3432</v>
      </c>
      <c r="B363" s="199" t="s">
        <v>2406</v>
      </c>
      <c r="C363" s="199" t="s">
        <v>2904</v>
      </c>
      <c r="D363" s="199" t="s">
        <v>2408</v>
      </c>
      <c r="E363" s="199" t="s">
        <v>2409</v>
      </c>
      <c r="F363" s="442">
        <v>45260.65834490741</v>
      </c>
      <c r="G363" s="467">
        <v>0.65834490740740736</v>
      </c>
      <c r="H363" s="459">
        <v>50000</v>
      </c>
      <c r="I363" s="460">
        <v>50000</v>
      </c>
      <c r="J363" s="198" t="s">
        <v>2902</v>
      </c>
      <c r="L363" s="199"/>
      <c r="M363" s="199"/>
      <c r="N363" s="391">
        <v>45475</v>
      </c>
      <c r="O363" s="199" t="s">
        <v>1753</v>
      </c>
    </row>
    <row r="364" spans="1:15" s="259" customFormat="1" ht="8.1" customHeight="1" x14ac:dyDescent="0.25">
      <c r="A364" s="197" t="s">
        <v>3433</v>
      </c>
      <c r="B364" s="199" t="s">
        <v>2947</v>
      </c>
      <c r="C364" s="199" t="s">
        <v>2948</v>
      </c>
      <c r="D364" s="199" t="s">
        <v>2949</v>
      </c>
      <c r="E364" s="199" t="s">
        <v>2950</v>
      </c>
      <c r="F364" s="442">
        <v>45407.383090277777</v>
      </c>
      <c r="G364" s="467">
        <v>0.38309027777777777</v>
      </c>
      <c r="H364" s="459">
        <v>40000</v>
      </c>
      <c r="I364" s="460">
        <v>40000</v>
      </c>
      <c r="J364" s="198" t="s">
        <v>2902</v>
      </c>
      <c r="K364" s="476"/>
      <c r="L364" s="199"/>
      <c r="M364" s="199"/>
      <c r="N364" s="391">
        <v>45475</v>
      </c>
      <c r="O364" s="199" t="s">
        <v>2951</v>
      </c>
    </row>
    <row r="365" spans="1:15" x14ac:dyDescent="0.2">
      <c r="I365" s="208">
        <f>SUM(I353:I364)</f>
        <v>435474</v>
      </c>
    </row>
    <row r="366" spans="1:15" ht="8.1" customHeight="1" x14ac:dyDescent="0.2"/>
    <row r="367" spans="1:15" ht="8.1" customHeight="1" x14ac:dyDescent="0.2">
      <c r="I367" s="352"/>
    </row>
    <row r="368" spans="1:15" ht="8.1" customHeight="1" x14ac:dyDescent="0.2"/>
    <row r="369" spans="1:15" ht="11.1" customHeight="1" x14ac:dyDescent="0.2"/>
    <row r="370" spans="1:15" ht="11.1" customHeight="1" x14ac:dyDescent="0.2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</row>
    <row r="371" spans="1:15" s="209" customFormat="1" ht="11.1" customHeight="1" x14ac:dyDescent="0.25">
      <c r="A371" s="76" t="s">
        <v>1574</v>
      </c>
      <c r="B371" s="73"/>
      <c r="C371" s="73"/>
      <c r="D371" s="73"/>
      <c r="E371" s="125"/>
      <c r="F371" s="73"/>
      <c r="G371" s="73"/>
      <c r="H371" s="73"/>
      <c r="I371" s="73"/>
      <c r="J371" s="73"/>
      <c r="K371" s="73"/>
      <c r="L371" s="73"/>
      <c r="M371" s="73"/>
      <c r="N371" s="73"/>
      <c r="O371" s="73"/>
    </row>
    <row r="372" spans="1:15" ht="11.1" customHeight="1" x14ac:dyDescent="0.2"/>
    <row r="373" spans="1:15" ht="11.1" customHeight="1" x14ac:dyDescent="0.2">
      <c r="A373" s="559" t="s">
        <v>1575</v>
      </c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</row>
    <row r="374" spans="1:15" ht="11.1" customHeight="1" x14ac:dyDescent="0.2">
      <c r="A374" s="310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</row>
    <row r="375" spans="1:15" ht="11.1" customHeight="1" x14ac:dyDescent="0.2">
      <c r="A375" s="560" t="s">
        <v>1576</v>
      </c>
      <c r="B375" s="560"/>
      <c r="C375" s="561" t="s">
        <v>1577</v>
      </c>
      <c r="D375" s="562" t="s">
        <v>1578</v>
      </c>
      <c r="E375" s="563" t="s">
        <v>1579</v>
      </c>
      <c r="F375" s="563" t="s">
        <v>1580</v>
      </c>
      <c r="G375" s="563" t="s">
        <v>1581</v>
      </c>
      <c r="H375" s="563" t="s">
        <v>1582</v>
      </c>
      <c r="I375" s="563" t="s">
        <v>3081</v>
      </c>
      <c r="J375" s="563" t="s">
        <v>1583</v>
      </c>
      <c r="K375" s="564" t="s">
        <v>2142</v>
      </c>
      <c r="L375" s="564" t="s">
        <v>3076</v>
      </c>
      <c r="M375" s="565" t="s">
        <v>2957</v>
      </c>
    </row>
    <row r="376" spans="1:15" ht="12.75" customHeight="1" x14ac:dyDescent="0.2">
      <c r="A376" s="560"/>
      <c r="B376" s="560"/>
      <c r="C376" s="561"/>
      <c r="D376" s="562"/>
      <c r="E376" s="563"/>
      <c r="F376" s="563"/>
      <c r="G376" s="563"/>
      <c r="H376" s="563"/>
      <c r="I376" s="563"/>
      <c r="J376" s="563"/>
      <c r="K376" s="564"/>
      <c r="L376" s="564"/>
      <c r="M376" s="565"/>
    </row>
    <row r="377" spans="1:15" ht="11.1" customHeight="1" x14ac:dyDescent="0.2">
      <c r="A377" s="303" t="s">
        <v>1585</v>
      </c>
      <c r="B377" s="303"/>
      <c r="C377" s="479">
        <v>0</v>
      </c>
      <c r="D377" s="572">
        <v>0</v>
      </c>
      <c r="E377" s="572">
        <v>0</v>
      </c>
      <c r="F377" s="572">
        <v>0</v>
      </c>
      <c r="G377" s="573">
        <v>0</v>
      </c>
      <c r="H377" s="572">
        <v>0</v>
      </c>
      <c r="I377" s="314">
        <v>0</v>
      </c>
      <c r="J377" s="572">
        <v>0</v>
      </c>
      <c r="K377" s="572">
        <v>0</v>
      </c>
      <c r="L377" s="572">
        <v>8758248.9600000009</v>
      </c>
      <c r="M377" s="480">
        <v>8758248.9600000009</v>
      </c>
    </row>
    <row r="378" spans="1:15" ht="11.1" customHeight="1" x14ac:dyDescent="0.2">
      <c r="A378" s="303" t="s">
        <v>1584</v>
      </c>
      <c r="B378" s="303"/>
      <c r="C378" s="479">
        <v>0</v>
      </c>
      <c r="D378" s="572">
        <v>0</v>
      </c>
      <c r="E378" s="572">
        <v>0</v>
      </c>
      <c r="F378" s="572">
        <v>0</v>
      </c>
      <c r="G378" s="573">
        <v>0</v>
      </c>
      <c r="H378" s="572">
        <v>0</v>
      </c>
      <c r="I378" s="314">
        <v>0</v>
      </c>
      <c r="J378" s="572">
        <v>1609624</v>
      </c>
      <c r="K378" s="576">
        <v>0</v>
      </c>
      <c r="L378" s="572">
        <v>0</v>
      </c>
      <c r="M378" s="480">
        <v>1609624</v>
      </c>
    </row>
    <row r="379" spans="1:15" ht="11.1" customHeight="1" x14ac:dyDescent="0.2">
      <c r="A379" s="303" t="s">
        <v>2964</v>
      </c>
      <c r="B379" s="303"/>
      <c r="C379" s="479">
        <v>0</v>
      </c>
      <c r="D379" s="572">
        <v>0</v>
      </c>
      <c r="E379" s="572">
        <v>0</v>
      </c>
      <c r="F379" s="572">
        <v>0</v>
      </c>
      <c r="G379" s="572">
        <v>0</v>
      </c>
      <c r="H379" s="572">
        <v>0</v>
      </c>
      <c r="I379" s="314">
        <v>0</v>
      </c>
      <c r="J379" s="572">
        <v>0</v>
      </c>
      <c r="K379" s="576">
        <v>21000</v>
      </c>
      <c r="L379" s="572">
        <v>570755</v>
      </c>
      <c r="M379" s="480">
        <v>591755</v>
      </c>
    </row>
    <row r="380" spans="1:15" ht="11.1" customHeight="1" x14ac:dyDescent="0.2">
      <c r="A380" s="303" t="s">
        <v>3082</v>
      </c>
      <c r="B380" s="303"/>
      <c r="C380" s="479">
        <v>0</v>
      </c>
      <c r="D380" s="572">
        <v>0</v>
      </c>
      <c r="E380" s="572">
        <v>0</v>
      </c>
      <c r="F380" s="572">
        <v>0</v>
      </c>
      <c r="G380" s="573">
        <v>0</v>
      </c>
      <c r="H380" s="574">
        <v>0</v>
      </c>
      <c r="I380" s="314">
        <v>0</v>
      </c>
      <c r="J380" s="572">
        <v>0</v>
      </c>
      <c r="K380" s="572">
        <v>0</v>
      </c>
      <c r="L380" s="572">
        <v>376500</v>
      </c>
      <c r="M380" s="480">
        <v>376500</v>
      </c>
    </row>
    <row r="381" spans="1:15" ht="11.1" customHeight="1" x14ac:dyDescent="0.2">
      <c r="A381" s="303" t="s">
        <v>1586</v>
      </c>
      <c r="B381" s="303"/>
      <c r="C381" s="479">
        <v>40884</v>
      </c>
      <c r="D381" s="572">
        <v>80928</v>
      </c>
      <c r="E381" s="572">
        <v>141174.25</v>
      </c>
      <c r="F381" s="572">
        <v>0</v>
      </c>
      <c r="G381" s="573">
        <v>0</v>
      </c>
      <c r="H381" s="572">
        <v>0</v>
      </c>
      <c r="I381" s="314">
        <v>0</v>
      </c>
      <c r="J381" s="572">
        <v>0</v>
      </c>
      <c r="K381" s="572">
        <v>0</v>
      </c>
      <c r="L381" s="572">
        <v>0</v>
      </c>
      <c r="M381" s="480">
        <v>262986.25</v>
      </c>
    </row>
    <row r="382" spans="1:15" ht="11.1" customHeight="1" x14ac:dyDescent="0.2">
      <c r="A382" s="303" t="s">
        <v>1587</v>
      </c>
      <c r="B382" s="303"/>
      <c r="C382" s="572">
        <v>0</v>
      </c>
      <c r="D382" s="575">
        <v>0</v>
      </c>
      <c r="E382" s="572">
        <v>56000</v>
      </c>
      <c r="F382" s="572">
        <v>151000</v>
      </c>
      <c r="G382" s="573">
        <v>0</v>
      </c>
      <c r="H382" s="572">
        <v>0</v>
      </c>
      <c r="I382" s="314">
        <v>0</v>
      </c>
      <c r="J382" s="572">
        <v>0</v>
      </c>
      <c r="K382" s="572">
        <v>0</v>
      </c>
      <c r="L382" s="572">
        <v>0</v>
      </c>
      <c r="M382" s="480">
        <v>207000</v>
      </c>
    </row>
    <row r="383" spans="1:15" ht="11.1" customHeight="1" x14ac:dyDescent="0.2">
      <c r="A383" s="303" t="s">
        <v>1588</v>
      </c>
      <c r="B383" s="303"/>
      <c r="C383" s="479">
        <v>0</v>
      </c>
      <c r="D383" s="572">
        <v>0</v>
      </c>
      <c r="E383" s="572">
        <v>0</v>
      </c>
      <c r="F383" s="572">
        <v>0</v>
      </c>
      <c r="G383" s="479">
        <v>0</v>
      </c>
      <c r="H383" s="572">
        <v>0</v>
      </c>
      <c r="I383" s="314">
        <v>0</v>
      </c>
      <c r="J383" s="572">
        <v>175083</v>
      </c>
      <c r="K383" s="572">
        <v>0</v>
      </c>
      <c r="L383" s="572">
        <v>0</v>
      </c>
      <c r="M383" s="480">
        <v>175083</v>
      </c>
    </row>
    <row r="384" spans="1:15" ht="11.1" customHeight="1" x14ac:dyDescent="0.2">
      <c r="A384" s="303" t="s">
        <v>1589</v>
      </c>
      <c r="B384" s="303"/>
      <c r="C384" s="479">
        <v>7733</v>
      </c>
      <c r="D384" s="572">
        <v>9134</v>
      </c>
      <c r="E384" s="572">
        <v>26543</v>
      </c>
      <c r="F384" s="572">
        <v>71707</v>
      </c>
      <c r="G384" s="573">
        <v>52528</v>
      </c>
      <c r="H384" s="572">
        <v>0</v>
      </c>
      <c r="I384" s="314">
        <v>0</v>
      </c>
      <c r="J384" s="572">
        <v>0</v>
      </c>
      <c r="K384" s="572">
        <v>0</v>
      </c>
      <c r="L384" s="572">
        <v>0</v>
      </c>
      <c r="M384" s="480">
        <v>167645</v>
      </c>
    </row>
    <row r="385" spans="1:13" ht="11.1" customHeight="1" x14ac:dyDescent="0.2">
      <c r="A385" s="303" t="s">
        <v>1590</v>
      </c>
      <c r="B385" s="303"/>
      <c r="C385" s="479">
        <v>0</v>
      </c>
      <c r="D385" s="572">
        <v>0</v>
      </c>
      <c r="E385" s="572">
        <v>0</v>
      </c>
      <c r="F385" s="572">
        <v>0</v>
      </c>
      <c r="G385" s="479">
        <v>163371</v>
      </c>
      <c r="H385" s="572">
        <v>0</v>
      </c>
      <c r="I385" s="314">
        <v>0</v>
      </c>
      <c r="J385" s="572">
        <v>0</v>
      </c>
      <c r="K385" s="572">
        <v>0</v>
      </c>
      <c r="L385" s="572">
        <v>0</v>
      </c>
      <c r="M385" s="480">
        <v>163371</v>
      </c>
    </row>
    <row r="386" spans="1:13" ht="11.1" customHeight="1" x14ac:dyDescent="0.2">
      <c r="A386" s="303" t="s">
        <v>1591</v>
      </c>
      <c r="B386" s="303"/>
      <c r="C386" s="479">
        <v>0</v>
      </c>
      <c r="D386" s="572">
        <v>0</v>
      </c>
      <c r="E386" s="572">
        <v>25650.489999999998</v>
      </c>
      <c r="F386" s="572">
        <v>84907</v>
      </c>
      <c r="G386" s="572">
        <v>8379</v>
      </c>
      <c r="H386" s="572">
        <v>0</v>
      </c>
      <c r="I386" s="314">
        <v>0</v>
      </c>
      <c r="J386" s="572">
        <v>0</v>
      </c>
      <c r="K386" s="572">
        <v>0</v>
      </c>
      <c r="L386" s="572">
        <v>0</v>
      </c>
      <c r="M386" s="480">
        <v>118936.48999999999</v>
      </c>
    </row>
    <row r="387" spans="1:13" ht="11.1" customHeight="1" x14ac:dyDescent="0.2">
      <c r="A387" s="303" t="s">
        <v>1592</v>
      </c>
      <c r="B387" s="303"/>
      <c r="C387" s="479">
        <v>0</v>
      </c>
      <c r="D387" s="572">
        <v>40394</v>
      </c>
      <c r="E387" s="572">
        <v>8450</v>
      </c>
      <c r="F387" s="572">
        <v>0</v>
      </c>
      <c r="G387" s="479">
        <v>0</v>
      </c>
      <c r="H387" s="572">
        <v>0</v>
      </c>
      <c r="I387" s="314">
        <v>0</v>
      </c>
      <c r="J387" s="572">
        <v>0</v>
      </c>
      <c r="K387" s="572">
        <v>0</v>
      </c>
      <c r="L387" s="572">
        <v>0</v>
      </c>
      <c r="M387" s="480">
        <v>48844</v>
      </c>
    </row>
    <row r="388" spans="1:13" ht="11.1" customHeight="1" x14ac:dyDescent="0.2">
      <c r="A388" s="303" t="s">
        <v>1593</v>
      </c>
      <c r="B388" s="303"/>
      <c r="C388" s="479">
        <v>7700</v>
      </c>
      <c r="D388" s="572">
        <v>0</v>
      </c>
      <c r="E388" s="572">
        <v>0</v>
      </c>
      <c r="F388" s="572">
        <v>0</v>
      </c>
      <c r="G388" s="572">
        <v>0</v>
      </c>
      <c r="H388" s="572">
        <v>0</v>
      </c>
      <c r="I388" s="314">
        <v>0</v>
      </c>
      <c r="J388" s="572">
        <v>0</v>
      </c>
      <c r="K388" s="572">
        <v>0</v>
      </c>
      <c r="L388" s="572">
        <v>0</v>
      </c>
      <c r="M388" s="480">
        <v>7700</v>
      </c>
    </row>
    <row r="389" spans="1:13" ht="11.1" customHeight="1" x14ac:dyDescent="0.2">
      <c r="A389" s="303" t="s">
        <v>1594</v>
      </c>
      <c r="B389" s="303"/>
      <c r="C389" s="574">
        <v>3053.5</v>
      </c>
      <c r="D389" s="574">
        <v>0</v>
      </c>
      <c r="E389" s="574">
        <v>0</v>
      </c>
      <c r="F389" s="574">
        <v>0</v>
      </c>
      <c r="G389" s="574">
        <v>0</v>
      </c>
      <c r="H389" s="574">
        <v>0</v>
      </c>
      <c r="I389" s="314">
        <v>0</v>
      </c>
      <c r="J389" s="572">
        <v>0</v>
      </c>
      <c r="K389" s="572">
        <v>0</v>
      </c>
      <c r="L389" s="572">
        <v>0</v>
      </c>
      <c r="M389" s="480">
        <v>3053.5</v>
      </c>
    </row>
    <row r="390" spans="1:13" ht="11.1" customHeight="1" x14ac:dyDescent="0.2">
      <c r="A390" s="303" t="s">
        <v>3434</v>
      </c>
      <c r="B390" s="303"/>
      <c r="C390" s="479">
        <v>0</v>
      </c>
      <c r="D390" s="574">
        <v>0</v>
      </c>
      <c r="E390" s="574">
        <v>0</v>
      </c>
      <c r="F390" s="572">
        <v>0</v>
      </c>
      <c r="G390" s="572">
        <v>0</v>
      </c>
      <c r="H390" s="574">
        <v>0</v>
      </c>
      <c r="I390" s="314">
        <v>0</v>
      </c>
      <c r="J390" s="572">
        <v>0</v>
      </c>
      <c r="K390" s="572">
        <v>0</v>
      </c>
      <c r="L390" s="577">
        <v>1200</v>
      </c>
      <c r="M390" s="480">
        <v>1200</v>
      </c>
    </row>
    <row r="391" spans="1:13" ht="11.1" customHeight="1" x14ac:dyDescent="0.2">
      <c r="A391" s="303" t="s">
        <v>1595</v>
      </c>
      <c r="B391" s="303"/>
      <c r="C391" s="479">
        <v>0</v>
      </c>
      <c r="D391" s="574">
        <v>0</v>
      </c>
      <c r="E391" s="574">
        <v>0</v>
      </c>
      <c r="F391" s="574">
        <v>0</v>
      </c>
      <c r="G391" s="574">
        <v>0</v>
      </c>
      <c r="H391" s="574">
        <v>0</v>
      </c>
      <c r="I391" s="314">
        <v>0</v>
      </c>
      <c r="J391" s="572">
        <v>0</v>
      </c>
      <c r="K391" s="572">
        <v>0</v>
      </c>
      <c r="L391" s="572">
        <v>0</v>
      </c>
      <c r="M391" s="480">
        <v>0</v>
      </c>
    </row>
    <row r="392" spans="1:13" ht="11.1" customHeight="1" thickBot="1" x14ac:dyDescent="0.25">
      <c r="A392" s="482"/>
      <c r="B392" s="483"/>
      <c r="C392" s="484">
        <f t="shared" ref="C392:L392" si="0">SUM(C377:C391)</f>
        <v>59370.5</v>
      </c>
      <c r="D392" s="484">
        <f t="shared" si="0"/>
        <v>130456</v>
      </c>
      <c r="E392" s="484">
        <f t="shared" si="0"/>
        <v>257817.74</v>
      </c>
      <c r="F392" s="485">
        <f t="shared" si="0"/>
        <v>307614</v>
      </c>
      <c r="G392" s="484">
        <f t="shared" si="0"/>
        <v>224278</v>
      </c>
      <c r="H392" s="484">
        <f t="shared" si="0"/>
        <v>0</v>
      </c>
      <c r="I392" s="484">
        <f t="shared" si="0"/>
        <v>0</v>
      </c>
      <c r="J392" s="484">
        <f t="shared" si="0"/>
        <v>1784707</v>
      </c>
      <c r="K392" s="485">
        <f t="shared" si="0"/>
        <v>21000</v>
      </c>
      <c r="L392" s="485">
        <f t="shared" si="0"/>
        <v>9706703.9600000009</v>
      </c>
      <c r="M392" s="486">
        <f>SUM(M377:M391)</f>
        <v>12491947.200000001</v>
      </c>
    </row>
    <row r="393" spans="1:13" ht="11.1" customHeight="1" x14ac:dyDescent="0.2">
      <c r="A393" s="303"/>
      <c r="B393" s="487"/>
      <c r="C393" s="488"/>
      <c r="D393" s="488"/>
      <c r="E393" s="488"/>
      <c r="F393" s="314"/>
      <c r="G393" s="489"/>
      <c r="H393" s="314"/>
      <c r="I393" s="314"/>
      <c r="J393" s="314"/>
      <c r="K393" s="314"/>
      <c r="L393" s="314"/>
      <c r="M393" s="306"/>
    </row>
    <row r="394" spans="1:13" ht="11.1" customHeight="1" x14ac:dyDescent="0.2">
      <c r="A394" s="490" t="s">
        <v>682</v>
      </c>
      <c r="B394" s="491"/>
      <c r="C394" s="492" t="s">
        <v>1577</v>
      </c>
      <c r="D394" s="492" t="s">
        <v>1578</v>
      </c>
      <c r="E394" s="492" t="s">
        <v>1579</v>
      </c>
      <c r="F394" s="492" t="s">
        <v>1580</v>
      </c>
      <c r="G394" s="492" t="s">
        <v>1581</v>
      </c>
      <c r="H394" s="492" t="s">
        <v>1582</v>
      </c>
      <c r="I394" s="492" t="s">
        <v>3081</v>
      </c>
      <c r="J394" s="492" t="s">
        <v>1583</v>
      </c>
      <c r="K394" s="493" t="s">
        <v>2142</v>
      </c>
      <c r="L394" s="493"/>
      <c r="M394" s="494"/>
    </row>
    <row r="395" spans="1:13" ht="11.1" customHeight="1" x14ac:dyDescent="0.2">
      <c r="A395" s="495"/>
      <c r="B395" s="496"/>
      <c r="C395" s="497">
        <v>0</v>
      </c>
      <c r="D395" s="498">
        <v>205000</v>
      </c>
      <c r="E395" s="499">
        <v>248689</v>
      </c>
      <c r="F395" s="314">
        <v>458994</v>
      </c>
      <c r="G395" s="479">
        <v>741656.98</v>
      </c>
      <c r="H395" s="314">
        <v>68000</v>
      </c>
      <c r="I395" s="314">
        <v>0</v>
      </c>
      <c r="J395" s="314">
        <v>0</v>
      </c>
      <c r="K395" s="314">
        <v>0</v>
      </c>
      <c r="L395" s="314">
        <v>0</v>
      </c>
      <c r="M395" s="500">
        <v>1722339.98</v>
      </c>
    </row>
    <row r="396" spans="1:13" ht="11.1" customHeight="1" x14ac:dyDescent="0.2">
      <c r="A396" s="315"/>
      <c r="B396" s="315"/>
      <c r="C396" s="502"/>
      <c r="D396" s="172"/>
      <c r="E396" s="503"/>
      <c r="F396" s="481"/>
      <c r="G396" s="306"/>
      <c r="H396" s="306"/>
      <c r="I396" s="481"/>
      <c r="J396" s="481"/>
      <c r="K396" s="481"/>
      <c r="L396" s="481"/>
      <c r="M396" s="306"/>
    </row>
    <row r="397" spans="1:13" ht="11.1" customHeight="1" x14ac:dyDescent="0.2">
      <c r="A397" s="303"/>
      <c r="B397" s="303"/>
      <c r="C397" s="504"/>
      <c r="D397" s="306"/>
      <c r="E397" s="505"/>
      <c r="F397" s="481"/>
      <c r="G397" s="306"/>
      <c r="H397" s="306"/>
      <c r="I397" s="481"/>
      <c r="J397" s="481"/>
      <c r="K397" s="481"/>
      <c r="L397" s="481"/>
      <c r="M397" s="306"/>
    </row>
    <row r="398" spans="1:13" ht="11.1" customHeight="1" x14ac:dyDescent="0.2">
      <c r="A398" s="303"/>
      <c r="B398" s="303"/>
      <c r="C398" s="306"/>
      <c r="D398" s="306"/>
      <c r="E398" s="506"/>
      <c r="F398" s="481"/>
      <c r="G398" s="507"/>
      <c r="H398" s="306"/>
      <c r="I398" s="481"/>
      <c r="J398" s="481"/>
      <c r="K398" s="508"/>
      <c r="L398" s="481"/>
      <c r="M398" s="500">
        <f>+M392+M395</f>
        <v>14214287.180000002</v>
      </c>
    </row>
    <row r="399" spans="1:13" ht="9.9499999999999993" customHeight="1" x14ac:dyDescent="0.2">
      <c r="A399" s="317"/>
      <c r="B399" s="316"/>
      <c r="C399" s="286"/>
      <c r="D399" s="286"/>
      <c r="E399" s="318"/>
      <c r="F399" s="319"/>
      <c r="G399" s="320"/>
      <c r="H399" s="286"/>
      <c r="I399" s="319"/>
      <c r="J399" s="319"/>
      <c r="K399" s="319"/>
      <c r="L399" s="353"/>
      <c r="M399" s="310"/>
    </row>
    <row r="400" spans="1:13" ht="9.9499999999999993" customHeight="1" x14ac:dyDescent="0.2">
      <c r="A400" s="317"/>
      <c r="B400" s="316"/>
      <c r="C400" s="286"/>
      <c r="D400" s="286"/>
      <c r="E400" s="318"/>
      <c r="F400" s="319"/>
      <c r="G400" s="320"/>
      <c r="H400" s="286"/>
      <c r="I400" s="319"/>
      <c r="J400" s="319"/>
      <c r="K400" s="319"/>
      <c r="L400" s="353"/>
      <c r="M400" s="310"/>
    </row>
    <row r="401" spans="1:13" ht="9.9499999999999993" customHeight="1" x14ac:dyDescent="0.2">
      <c r="A401" s="317"/>
      <c r="B401" s="316"/>
      <c r="C401" s="286"/>
      <c r="D401" s="286"/>
      <c r="E401" s="318"/>
      <c r="F401" s="319"/>
      <c r="G401" s="320"/>
      <c r="H401" s="286"/>
      <c r="I401" s="319"/>
      <c r="J401" s="319"/>
      <c r="K401" s="319"/>
      <c r="L401" s="353"/>
      <c r="M401" s="310"/>
    </row>
    <row r="402" spans="1:13" ht="9.9499999999999993" customHeight="1" x14ac:dyDescent="0.2">
      <c r="A402" s="317"/>
      <c r="B402" s="316"/>
      <c r="C402" s="286"/>
      <c r="D402" s="286"/>
      <c r="E402" s="318"/>
      <c r="F402" s="319"/>
      <c r="G402" s="320"/>
      <c r="H402" s="286"/>
      <c r="I402" s="319"/>
      <c r="J402" s="319"/>
      <c r="K402" s="319"/>
      <c r="L402" s="353"/>
      <c r="M402" s="310"/>
    </row>
    <row r="403" spans="1:13" ht="9.9499999999999993" customHeight="1" x14ac:dyDescent="0.2">
      <c r="A403" s="317"/>
      <c r="B403" s="316"/>
      <c r="C403" s="286"/>
      <c r="D403" s="286"/>
      <c r="E403" s="318"/>
      <c r="F403" s="319"/>
      <c r="G403" s="320"/>
      <c r="H403" s="286"/>
      <c r="I403" s="319"/>
      <c r="J403" s="319"/>
      <c r="K403" s="319"/>
      <c r="L403" s="353"/>
      <c r="M403" s="310"/>
    </row>
    <row r="404" spans="1:13" ht="9.9499999999999993" customHeight="1" x14ac:dyDescent="0.2">
      <c r="A404" s="317"/>
      <c r="B404" s="316"/>
      <c r="C404" s="286"/>
      <c r="D404" s="286"/>
      <c r="E404" s="318"/>
      <c r="F404" s="319"/>
      <c r="G404" s="320"/>
      <c r="H404" s="286"/>
      <c r="I404" s="319"/>
      <c r="J404" s="319"/>
      <c r="K404" s="319"/>
      <c r="L404" s="353"/>
      <c r="M404" s="310"/>
    </row>
    <row r="405" spans="1:13" ht="9.9499999999999993" customHeight="1" x14ac:dyDescent="0.2">
      <c r="L405" s="265"/>
    </row>
    <row r="406" spans="1:13" ht="9.9499999999999993" customHeight="1" x14ac:dyDescent="0.2">
      <c r="A406" s="76" t="s">
        <v>1596</v>
      </c>
      <c r="L406" s="265"/>
    </row>
    <row r="407" spans="1:13" ht="9.9499999999999993" customHeight="1" x14ac:dyDescent="0.2">
      <c r="L407" s="265"/>
    </row>
    <row r="408" spans="1:13" s="303" customFormat="1" ht="9.9499999999999993" customHeight="1" x14ac:dyDescent="0.25">
      <c r="A408" s="287" t="s">
        <v>1597</v>
      </c>
      <c r="B408" s="287" t="s">
        <v>1598</v>
      </c>
      <c r="C408" s="287" t="s">
        <v>1599</v>
      </c>
      <c r="D408" s="287" t="s">
        <v>755</v>
      </c>
      <c r="E408" s="287" t="s">
        <v>1600</v>
      </c>
      <c r="F408" s="287" t="s">
        <v>1601</v>
      </c>
      <c r="G408" s="321" t="s">
        <v>704</v>
      </c>
      <c r="H408" s="288" t="s">
        <v>772</v>
      </c>
    </row>
    <row r="409" spans="1:13" s="259" customFormat="1" ht="9.9499999999999993" customHeight="1" x14ac:dyDescent="0.25">
      <c r="A409" s="381">
        <v>43197</v>
      </c>
      <c r="B409" s="201" t="s">
        <v>1602</v>
      </c>
      <c r="C409" s="382" t="s">
        <v>1603</v>
      </c>
      <c r="D409" s="289" t="s">
        <v>1604</v>
      </c>
      <c r="E409" s="382" t="s">
        <v>1603</v>
      </c>
      <c r="F409" s="201" t="s">
        <v>1605</v>
      </c>
      <c r="G409" s="322">
        <v>5861</v>
      </c>
      <c r="H409" s="198" t="s">
        <v>1606</v>
      </c>
      <c r="I409" s="200"/>
      <c r="J409" s="200"/>
    </row>
    <row r="410" spans="1:13" s="259" customFormat="1" ht="9.9499999999999993" customHeight="1" x14ac:dyDescent="0.25">
      <c r="A410" s="381">
        <v>43233</v>
      </c>
      <c r="B410" s="201" t="s">
        <v>1607</v>
      </c>
      <c r="C410" s="382" t="s">
        <v>1603</v>
      </c>
      <c r="D410" s="289" t="s">
        <v>1604</v>
      </c>
      <c r="E410" s="382" t="s">
        <v>1603</v>
      </c>
      <c r="F410" s="201" t="s">
        <v>1605</v>
      </c>
      <c r="G410" s="322">
        <v>4000</v>
      </c>
      <c r="H410" s="198" t="s">
        <v>1606</v>
      </c>
      <c r="I410" s="200"/>
      <c r="J410" s="200"/>
    </row>
    <row r="411" spans="1:13" s="259" customFormat="1" ht="9.9499999999999993" customHeight="1" x14ac:dyDescent="0.25">
      <c r="A411" s="381">
        <v>43240</v>
      </c>
      <c r="B411" s="201" t="s">
        <v>1608</v>
      </c>
      <c r="C411" s="382" t="s">
        <v>1609</v>
      </c>
      <c r="D411" s="289" t="s">
        <v>1604</v>
      </c>
      <c r="E411" s="382" t="s">
        <v>1609</v>
      </c>
      <c r="F411" s="201" t="s">
        <v>1605</v>
      </c>
      <c r="G411" s="322">
        <v>5235</v>
      </c>
      <c r="H411" s="198" t="s">
        <v>1606</v>
      </c>
      <c r="I411" s="200"/>
      <c r="J411" s="200"/>
    </row>
    <row r="412" spans="1:13" s="259" customFormat="1" ht="9.9499999999999993" customHeight="1" x14ac:dyDescent="0.25">
      <c r="A412" s="381">
        <v>43822</v>
      </c>
      <c r="B412" s="201" t="s">
        <v>1610</v>
      </c>
      <c r="C412" s="383" t="s">
        <v>682</v>
      </c>
      <c r="D412" s="289" t="s">
        <v>1611</v>
      </c>
      <c r="E412" s="383" t="s">
        <v>1595</v>
      </c>
      <c r="F412" s="201" t="s">
        <v>1612</v>
      </c>
      <c r="G412" s="322">
        <v>46787</v>
      </c>
      <c r="H412" s="264" t="s">
        <v>1002</v>
      </c>
    </row>
    <row r="413" spans="1:13" s="259" customFormat="1" ht="9.9499999999999993" customHeight="1" x14ac:dyDescent="0.25">
      <c r="A413" s="266"/>
      <c r="B413" s="200"/>
      <c r="F413" s="200"/>
      <c r="G413" s="291"/>
      <c r="H413" s="292"/>
      <c r="I413" s="299"/>
      <c r="J413" s="323"/>
    </row>
    <row r="414" spans="1:13" s="259" customFormat="1" ht="9.9499999999999993" customHeight="1" thickBot="1" x14ac:dyDescent="0.3">
      <c r="A414" s="293"/>
      <c r="B414" s="294"/>
      <c r="C414" s="295"/>
      <c r="D414" s="296"/>
      <c r="E414" s="295"/>
      <c r="F414" s="297" t="s">
        <v>1001</v>
      </c>
      <c r="G414" s="325">
        <f>SUM(G409:G413)</f>
        <v>61883</v>
      </c>
      <c r="H414" s="298"/>
      <c r="I414" s="299"/>
      <c r="J414" s="323"/>
    </row>
    <row r="415" spans="1:13" s="303" customFormat="1" ht="9.9499999999999993" customHeight="1" thickTop="1" x14ac:dyDescent="0.25">
      <c r="A415" s="329"/>
      <c r="B415" s="330"/>
      <c r="C415" s="315"/>
      <c r="D415" s="331"/>
      <c r="E415" s="315"/>
      <c r="F415" s="332"/>
      <c r="G415" s="333"/>
      <c r="H415" s="334"/>
      <c r="I415" s="200"/>
      <c r="J415" s="324"/>
    </row>
    <row r="416" spans="1:13" s="328" customFormat="1" ht="9.9499999999999993" customHeight="1" x14ac:dyDescent="0.25">
      <c r="A416" s="329"/>
      <c r="B416" s="330"/>
      <c r="C416" s="315"/>
      <c r="D416" s="331"/>
      <c r="E416" s="315"/>
      <c r="F416" s="332"/>
      <c r="G416" s="333"/>
      <c r="H416" s="334"/>
      <c r="I416" s="326"/>
      <c r="J416" s="327"/>
    </row>
    <row r="417" spans="1:12" s="306" customFormat="1" ht="9.9499999999999993" customHeight="1" x14ac:dyDescent="0.25">
      <c r="A417" s="287" t="s">
        <v>1597</v>
      </c>
      <c r="B417" s="287" t="s">
        <v>1598</v>
      </c>
      <c r="C417" s="287" t="s">
        <v>1599</v>
      </c>
      <c r="D417" s="287" t="s">
        <v>755</v>
      </c>
      <c r="E417" s="287" t="s">
        <v>1600</v>
      </c>
      <c r="F417" s="287" t="s">
        <v>1601</v>
      </c>
      <c r="G417" s="321" t="s">
        <v>704</v>
      </c>
      <c r="H417" s="288" t="s">
        <v>772</v>
      </c>
      <c r="I417" s="324"/>
      <c r="J417" s="303"/>
    </row>
    <row r="418" spans="1:12" s="306" customFormat="1" ht="9.9499999999999993" customHeight="1" x14ac:dyDescent="0.25">
      <c r="A418" s="381">
        <v>43066</v>
      </c>
      <c r="B418" s="201" t="s">
        <v>1622</v>
      </c>
      <c r="C418" s="290" t="s">
        <v>1623</v>
      </c>
      <c r="D418" s="289" t="s">
        <v>1624</v>
      </c>
      <c r="E418" s="382" t="s">
        <v>1625</v>
      </c>
      <c r="F418" s="201" t="s">
        <v>1626</v>
      </c>
      <c r="G418" s="427">
        <v>5000</v>
      </c>
      <c r="H418" s="198" t="s">
        <v>1627</v>
      </c>
    </row>
    <row r="419" spans="1:12" s="303" customFormat="1" ht="9.9499999999999993" customHeight="1" x14ac:dyDescent="0.25">
      <c r="A419" s="381">
        <v>43089</v>
      </c>
      <c r="B419" s="201" t="s">
        <v>1628</v>
      </c>
      <c r="C419" s="290" t="s">
        <v>1629</v>
      </c>
      <c r="D419" s="289" t="s">
        <v>1630</v>
      </c>
      <c r="E419" s="382" t="s">
        <v>1631</v>
      </c>
      <c r="F419" s="201" t="s">
        <v>1632</v>
      </c>
      <c r="G419" s="427">
        <v>50000</v>
      </c>
      <c r="H419" s="198" t="s">
        <v>1143</v>
      </c>
    </row>
    <row r="420" spans="1:12" s="259" customFormat="1" ht="9.9499999999999993" customHeight="1" x14ac:dyDescent="0.25">
      <c r="A420" s="381">
        <v>43096</v>
      </c>
      <c r="B420" s="201" t="s">
        <v>1633</v>
      </c>
      <c r="C420" s="383" t="s">
        <v>1629</v>
      </c>
      <c r="D420" s="289" t="s">
        <v>1630</v>
      </c>
      <c r="E420" s="382" t="s">
        <v>1631</v>
      </c>
      <c r="F420" s="201" t="s">
        <v>1632</v>
      </c>
      <c r="G420" s="427">
        <v>50000</v>
      </c>
      <c r="H420" s="198" t="s">
        <v>1143</v>
      </c>
    </row>
    <row r="421" spans="1:12" s="259" customFormat="1" ht="9.9499999999999993" customHeight="1" x14ac:dyDescent="0.25">
      <c r="A421" s="381">
        <v>43096</v>
      </c>
      <c r="B421" s="201" t="s">
        <v>1634</v>
      </c>
      <c r="C421" s="383" t="s">
        <v>1635</v>
      </c>
      <c r="D421" s="289" t="s">
        <v>1636</v>
      </c>
      <c r="E421" s="382" t="s">
        <v>1637</v>
      </c>
      <c r="F421" s="201" t="s">
        <v>1638</v>
      </c>
      <c r="G421" s="427">
        <v>50000</v>
      </c>
      <c r="H421" s="198" t="s">
        <v>1143</v>
      </c>
    </row>
    <row r="422" spans="1:12" s="259" customFormat="1" ht="9.9499999999999993" customHeight="1" x14ac:dyDescent="0.25">
      <c r="A422" s="381">
        <v>43096</v>
      </c>
      <c r="B422" s="201" t="s">
        <v>1639</v>
      </c>
      <c r="C422" s="383" t="s">
        <v>1635</v>
      </c>
      <c r="D422" s="289" t="s">
        <v>1636</v>
      </c>
      <c r="E422" s="382" t="s">
        <v>1637</v>
      </c>
      <c r="F422" s="201" t="s">
        <v>1638</v>
      </c>
      <c r="G422" s="427">
        <v>50000</v>
      </c>
      <c r="H422" s="198" t="s">
        <v>1143</v>
      </c>
    </row>
    <row r="423" spans="1:12" s="259" customFormat="1" ht="9.9499999999999993" customHeight="1" x14ac:dyDescent="0.25">
      <c r="A423" s="381">
        <v>43103</v>
      </c>
      <c r="B423" s="201" t="s">
        <v>1640</v>
      </c>
      <c r="C423" s="384" t="s">
        <v>1641</v>
      </c>
      <c r="D423" s="289" t="s">
        <v>1642</v>
      </c>
      <c r="E423" s="382" t="s">
        <v>1643</v>
      </c>
      <c r="F423" s="201" t="s">
        <v>1644</v>
      </c>
      <c r="G423" s="428">
        <v>50000</v>
      </c>
      <c r="H423" s="264" t="s">
        <v>1002</v>
      </c>
      <c r="I423" s="200"/>
      <c r="J423" s="200"/>
      <c r="K423" s="200"/>
      <c r="L423" s="200"/>
    </row>
    <row r="424" spans="1:12" s="259" customFormat="1" ht="9.9499999999999993" customHeight="1" x14ac:dyDescent="0.25">
      <c r="A424" s="381">
        <v>43224</v>
      </c>
      <c r="B424" s="201" t="s">
        <v>1645</v>
      </c>
      <c r="C424" s="384" t="s">
        <v>1646</v>
      </c>
      <c r="D424" s="289" t="s">
        <v>1630</v>
      </c>
      <c r="E424" s="382" t="s">
        <v>1647</v>
      </c>
      <c r="F424" s="201" t="s">
        <v>1648</v>
      </c>
      <c r="G424" s="428">
        <v>25000</v>
      </c>
      <c r="H424" s="264" t="s">
        <v>1002</v>
      </c>
      <c r="I424" s="200"/>
      <c r="J424" s="200"/>
      <c r="K424" s="200"/>
      <c r="L424" s="200"/>
    </row>
    <row r="425" spans="1:12" s="259" customFormat="1" ht="9.9499999999999993" customHeight="1" x14ac:dyDescent="0.25">
      <c r="A425" s="381">
        <v>43248</v>
      </c>
      <c r="B425" s="201" t="s">
        <v>1649</v>
      </c>
      <c r="C425" s="385" t="s">
        <v>1650</v>
      </c>
      <c r="D425" s="289" t="s">
        <v>1651</v>
      </c>
      <c r="E425" s="385" t="s">
        <v>1652</v>
      </c>
      <c r="F425" s="201" t="s">
        <v>1653</v>
      </c>
      <c r="G425" s="428">
        <v>20000</v>
      </c>
      <c r="H425" s="264" t="s">
        <v>1397</v>
      </c>
      <c r="I425" s="200"/>
      <c r="J425" s="200"/>
      <c r="K425" s="200"/>
      <c r="L425" s="200"/>
    </row>
    <row r="426" spans="1:12" s="259" customFormat="1" ht="9.9499999999999993" customHeight="1" x14ac:dyDescent="0.25">
      <c r="A426" s="381">
        <v>43265</v>
      </c>
      <c r="B426" s="201" t="s">
        <v>1654</v>
      </c>
      <c r="C426" s="383" t="s">
        <v>1655</v>
      </c>
      <c r="D426" s="289" t="s">
        <v>1656</v>
      </c>
      <c r="E426" s="382" t="s">
        <v>1657</v>
      </c>
      <c r="F426" s="201" t="s">
        <v>1658</v>
      </c>
      <c r="G426" s="428">
        <v>5593</v>
      </c>
      <c r="H426" s="198" t="s">
        <v>1659</v>
      </c>
    </row>
    <row r="427" spans="1:12" s="259" customFormat="1" ht="9.9499999999999993" customHeight="1" x14ac:dyDescent="0.25">
      <c r="A427" s="381">
        <v>43363</v>
      </c>
      <c r="B427" s="201" t="s">
        <v>1660</v>
      </c>
      <c r="C427" s="383" t="s">
        <v>1646</v>
      </c>
      <c r="D427" s="289" t="s">
        <v>1630</v>
      </c>
      <c r="E427" s="382" t="s">
        <v>1647</v>
      </c>
      <c r="F427" s="201" t="s">
        <v>1661</v>
      </c>
      <c r="G427" s="428">
        <v>50000</v>
      </c>
      <c r="H427" s="264" t="s">
        <v>1002</v>
      </c>
      <c r="I427" s="200"/>
      <c r="J427" s="200"/>
      <c r="K427" s="200"/>
      <c r="L427" s="200"/>
    </row>
    <row r="428" spans="1:12" s="200" customFormat="1" ht="9.9499999999999993" customHeight="1" x14ac:dyDescent="0.25">
      <c r="A428" s="381">
        <v>43363</v>
      </c>
      <c r="B428" s="201" t="s">
        <v>1662</v>
      </c>
      <c r="C428" s="290" t="s">
        <v>1663</v>
      </c>
      <c r="D428" s="289" t="s">
        <v>1664</v>
      </c>
      <c r="E428" s="382" t="s">
        <v>1663</v>
      </c>
      <c r="F428" s="201" t="s">
        <v>1665</v>
      </c>
      <c r="G428" s="428">
        <v>50000</v>
      </c>
      <c r="H428" s="264" t="s">
        <v>1002</v>
      </c>
    </row>
    <row r="429" spans="1:12" s="200" customFormat="1" ht="9.9499999999999993" customHeight="1" x14ac:dyDescent="0.25">
      <c r="A429" s="381">
        <v>43399</v>
      </c>
      <c r="B429" s="201" t="s">
        <v>1666</v>
      </c>
      <c r="C429" s="290" t="s">
        <v>1667</v>
      </c>
      <c r="D429" s="289" t="s">
        <v>1668</v>
      </c>
      <c r="E429" s="382" t="s">
        <v>1669</v>
      </c>
      <c r="F429" s="201" t="s">
        <v>1670</v>
      </c>
      <c r="G429" s="428">
        <v>30000</v>
      </c>
      <c r="H429" s="264" t="s">
        <v>1397</v>
      </c>
      <c r="I429" s="259"/>
      <c r="J429" s="259"/>
      <c r="K429" s="259"/>
      <c r="L429" s="259"/>
    </row>
    <row r="430" spans="1:12" s="200" customFormat="1" ht="9.9499999999999993" customHeight="1" x14ac:dyDescent="0.25">
      <c r="A430" s="381">
        <v>43410</v>
      </c>
      <c r="B430" s="201" t="s">
        <v>1671</v>
      </c>
      <c r="C430" s="290" t="s">
        <v>1672</v>
      </c>
      <c r="D430" s="289" t="s">
        <v>1673</v>
      </c>
      <c r="E430" s="382" t="s">
        <v>1674</v>
      </c>
      <c r="F430" s="201" t="s">
        <v>1675</v>
      </c>
      <c r="G430" s="428">
        <v>3000</v>
      </c>
      <c r="H430" s="264" t="s">
        <v>1397</v>
      </c>
    </row>
    <row r="431" spans="1:12" s="200" customFormat="1" ht="9.9499999999999993" customHeight="1" x14ac:dyDescent="0.25">
      <c r="A431" s="386">
        <v>43682</v>
      </c>
      <c r="B431" s="197" t="s">
        <v>1676</v>
      </c>
      <c r="C431" s="199" t="s">
        <v>1677</v>
      </c>
      <c r="D431" s="387" t="s">
        <v>1678</v>
      </c>
      <c r="E431" s="199" t="s">
        <v>1679</v>
      </c>
      <c r="F431" s="197"/>
      <c r="G431" s="429">
        <v>37150</v>
      </c>
      <c r="H431" s="264" t="s">
        <v>1397</v>
      </c>
      <c r="K431" s="335"/>
    </row>
    <row r="432" spans="1:12" s="259" customFormat="1" ht="9.9499999999999993" customHeight="1" x14ac:dyDescent="0.25">
      <c r="A432" s="386">
        <v>43682</v>
      </c>
      <c r="B432" s="197" t="s">
        <v>1680</v>
      </c>
      <c r="C432" s="199" t="s">
        <v>1681</v>
      </c>
      <c r="D432" s="387" t="s">
        <v>1682</v>
      </c>
      <c r="E432" s="199" t="s">
        <v>1683</v>
      </c>
      <c r="F432" s="197"/>
      <c r="G432" s="429">
        <v>50000</v>
      </c>
      <c r="H432" s="264" t="s">
        <v>1397</v>
      </c>
      <c r="J432" s="200"/>
      <c r="K432" s="335"/>
      <c r="L432" s="200"/>
    </row>
    <row r="433" spans="1:12" s="200" customFormat="1" ht="9.9499999999999993" customHeight="1" x14ac:dyDescent="0.25">
      <c r="A433" s="386">
        <v>43682</v>
      </c>
      <c r="B433" s="388" t="s">
        <v>1684</v>
      </c>
      <c r="C433" s="389" t="s">
        <v>1681</v>
      </c>
      <c r="D433" s="390" t="s">
        <v>1682</v>
      </c>
      <c r="E433" s="389" t="s">
        <v>1683</v>
      </c>
      <c r="F433" s="388"/>
      <c r="G433" s="430">
        <v>50000</v>
      </c>
      <c r="H433" s="264" t="s">
        <v>1397</v>
      </c>
      <c r="I433" s="259"/>
      <c r="J433" s="259"/>
      <c r="K433" s="336"/>
      <c r="L433" s="259"/>
    </row>
    <row r="434" spans="1:12" s="200" customFormat="1" ht="9.9499999999999993" customHeight="1" x14ac:dyDescent="0.25">
      <c r="A434" s="386">
        <v>43682</v>
      </c>
      <c r="B434" s="197" t="s">
        <v>1685</v>
      </c>
      <c r="C434" s="389" t="s">
        <v>1686</v>
      </c>
      <c r="D434" s="387" t="s">
        <v>1687</v>
      </c>
      <c r="E434" s="199" t="s">
        <v>1688</v>
      </c>
      <c r="F434" s="197" t="s">
        <v>1689</v>
      </c>
      <c r="G434" s="429">
        <v>10157</v>
      </c>
      <c r="H434" s="264" t="s">
        <v>1397</v>
      </c>
      <c r="K434" s="335"/>
    </row>
    <row r="435" spans="1:12" s="200" customFormat="1" ht="9.9499999999999993" customHeight="1" x14ac:dyDescent="0.25">
      <c r="A435" s="386">
        <v>43682</v>
      </c>
      <c r="B435" s="197" t="s">
        <v>1690</v>
      </c>
      <c r="C435" s="389" t="s">
        <v>1691</v>
      </c>
      <c r="D435" s="387" t="s">
        <v>1692</v>
      </c>
      <c r="E435" s="199" t="s">
        <v>1693</v>
      </c>
      <c r="F435" s="197" t="s">
        <v>1694</v>
      </c>
      <c r="G435" s="429">
        <v>10200</v>
      </c>
      <c r="H435" s="264" t="s">
        <v>1397</v>
      </c>
      <c r="K435" s="335"/>
    </row>
    <row r="436" spans="1:12" s="200" customFormat="1" ht="9.9499999999999993" customHeight="1" x14ac:dyDescent="0.25">
      <c r="A436" s="386">
        <v>43682</v>
      </c>
      <c r="B436" s="197" t="s">
        <v>1695</v>
      </c>
      <c r="C436" s="389" t="s">
        <v>1696</v>
      </c>
      <c r="D436" s="387" t="s">
        <v>1664</v>
      </c>
      <c r="E436" s="199" t="s">
        <v>1663</v>
      </c>
      <c r="F436" s="197" t="s">
        <v>1665</v>
      </c>
      <c r="G436" s="429">
        <v>50000</v>
      </c>
      <c r="H436" s="264" t="s">
        <v>1397</v>
      </c>
      <c r="I436" s="259"/>
      <c r="J436" s="259"/>
      <c r="K436" s="336"/>
      <c r="L436" s="259"/>
    </row>
    <row r="437" spans="1:12" s="200" customFormat="1" ht="9.9499999999999993" customHeight="1" x14ac:dyDescent="0.25">
      <c r="A437" s="386">
        <v>43682</v>
      </c>
      <c r="B437" s="197" t="s">
        <v>1697</v>
      </c>
      <c r="C437" s="199" t="s">
        <v>1698</v>
      </c>
      <c r="D437" s="387" t="s">
        <v>1699</v>
      </c>
      <c r="E437" s="199" t="s">
        <v>1700</v>
      </c>
      <c r="F437" s="197" t="s">
        <v>1701</v>
      </c>
      <c r="G437" s="429">
        <v>34500</v>
      </c>
      <c r="H437" s="264" t="s">
        <v>1397</v>
      </c>
      <c r="I437" s="259"/>
      <c r="J437" s="259"/>
      <c r="K437" s="336"/>
      <c r="L437" s="259"/>
    </row>
    <row r="438" spans="1:12" s="259" customFormat="1" ht="9.9499999999999993" customHeight="1" x14ac:dyDescent="0.25">
      <c r="A438" s="386">
        <v>43682</v>
      </c>
      <c r="B438" s="197" t="s">
        <v>1702</v>
      </c>
      <c r="C438" s="199" t="s">
        <v>1703</v>
      </c>
      <c r="D438" s="387" t="s">
        <v>1699</v>
      </c>
      <c r="E438" s="199" t="s">
        <v>1704</v>
      </c>
      <c r="F438" s="197" t="s">
        <v>1705</v>
      </c>
      <c r="G438" s="429">
        <v>34500</v>
      </c>
      <c r="H438" s="264" t="s">
        <v>1397</v>
      </c>
      <c r="K438" s="336"/>
    </row>
    <row r="439" spans="1:12" s="259" customFormat="1" ht="9.9499999999999993" customHeight="1" x14ac:dyDescent="0.25">
      <c r="A439" s="381">
        <v>43818</v>
      </c>
      <c r="B439" s="201" t="s">
        <v>1706</v>
      </c>
      <c r="C439" s="290" t="s">
        <v>682</v>
      </c>
      <c r="D439" s="289" t="s">
        <v>1707</v>
      </c>
      <c r="E439" s="382" t="s">
        <v>1708</v>
      </c>
      <c r="F439" s="201" t="s">
        <v>1709</v>
      </c>
      <c r="G439" s="431">
        <v>50000</v>
      </c>
      <c r="H439" s="264" t="s">
        <v>1002</v>
      </c>
      <c r="K439" s="336"/>
    </row>
    <row r="440" spans="1:12" s="259" customFormat="1" ht="9.9499999999999993" customHeight="1" x14ac:dyDescent="0.25">
      <c r="A440" s="381">
        <v>43826</v>
      </c>
      <c r="B440" s="201" t="s">
        <v>1710</v>
      </c>
      <c r="C440" s="290" t="s">
        <v>682</v>
      </c>
      <c r="D440" s="289" t="s">
        <v>1711</v>
      </c>
      <c r="E440" s="290" t="s">
        <v>1712</v>
      </c>
      <c r="F440" s="201" t="s">
        <v>1713</v>
      </c>
      <c r="G440" s="431">
        <v>33000</v>
      </c>
      <c r="H440" s="264" t="s">
        <v>1397</v>
      </c>
      <c r="K440" s="337"/>
    </row>
    <row r="441" spans="1:12" s="259" customFormat="1" ht="9.9499999999999993" customHeight="1" x14ac:dyDescent="0.25">
      <c r="A441" s="386">
        <v>43686</v>
      </c>
      <c r="B441" s="197" t="s">
        <v>1714</v>
      </c>
      <c r="C441" s="389" t="s">
        <v>1715</v>
      </c>
      <c r="D441" s="387" t="s">
        <v>1716</v>
      </c>
      <c r="E441" s="389" t="s">
        <v>1717</v>
      </c>
      <c r="F441" s="197" t="s">
        <v>1718</v>
      </c>
      <c r="G441" s="429">
        <v>5200</v>
      </c>
      <c r="H441" s="264" t="s">
        <v>1397</v>
      </c>
      <c r="K441" s="337"/>
    </row>
    <row r="442" spans="1:12" s="259" customFormat="1" ht="9.9499999999999993" customHeight="1" x14ac:dyDescent="0.25">
      <c r="A442" s="386">
        <v>43682</v>
      </c>
      <c r="B442" s="197" t="s">
        <v>1719</v>
      </c>
      <c r="C442" s="199" t="s">
        <v>1720</v>
      </c>
      <c r="D442" s="387" t="s">
        <v>1721</v>
      </c>
      <c r="E442" s="199" t="s">
        <v>1722</v>
      </c>
      <c r="F442" s="197" t="s">
        <v>1723</v>
      </c>
      <c r="G442" s="429">
        <v>37500</v>
      </c>
      <c r="H442" s="264" t="s">
        <v>1397</v>
      </c>
    </row>
    <row r="443" spans="1:12" s="259" customFormat="1" ht="9.9499999999999993" customHeight="1" x14ac:dyDescent="0.25">
      <c r="A443" s="386">
        <v>43682</v>
      </c>
      <c r="B443" s="197" t="s">
        <v>1813</v>
      </c>
      <c r="C443" s="389" t="s">
        <v>1814</v>
      </c>
      <c r="D443" s="387" t="s">
        <v>1815</v>
      </c>
      <c r="E443" s="389" t="s">
        <v>1816</v>
      </c>
      <c r="F443" s="197" t="s">
        <v>1817</v>
      </c>
      <c r="G443" s="429">
        <v>10000</v>
      </c>
      <c r="H443" s="264" t="s">
        <v>1397</v>
      </c>
    </row>
    <row r="444" spans="1:12" s="259" customFormat="1" ht="9.9499999999999993" customHeight="1" x14ac:dyDescent="0.25">
      <c r="A444" s="381">
        <v>43363</v>
      </c>
      <c r="B444" s="201" t="s">
        <v>1798</v>
      </c>
      <c r="C444" s="383" t="s">
        <v>1799</v>
      </c>
      <c r="D444" s="289" t="s">
        <v>1800</v>
      </c>
      <c r="E444" s="382" t="s">
        <v>1801</v>
      </c>
      <c r="F444" s="201" t="s">
        <v>1802</v>
      </c>
      <c r="G444" s="432">
        <v>18000</v>
      </c>
      <c r="H444" s="264" t="s">
        <v>1397</v>
      </c>
    </row>
    <row r="445" spans="1:12" s="259" customFormat="1" ht="9.9499999999999993" customHeight="1" x14ac:dyDescent="0.25">
      <c r="A445" s="391">
        <v>43847</v>
      </c>
      <c r="B445" s="392" t="s">
        <v>1724</v>
      </c>
      <c r="C445" s="383" t="s">
        <v>682</v>
      </c>
      <c r="D445" s="199" t="s">
        <v>1725</v>
      </c>
      <c r="E445" s="199" t="s">
        <v>1726</v>
      </c>
      <c r="F445" s="197" t="s">
        <v>1727</v>
      </c>
      <c r="G445" s="433">
        <v>28400</v>
      </c>
      <c r="H445" s="264" t="s">
        <v>1002</v>
      </c>
      <c r="I445" s="304"/>
    </row>
    <row r="446" spans="1:12" s="259" customFormat="1" ht="9.9499999999999993" customHeight="1" x14ac:dyDescent="0.25">
      <c r="A446" s="391">
        <v>43847</v>
      </c>
      <c r="B446" s="197" t="s">
        <v>1728</v>
      </c>
      <c r="C446" s="384" t="s">
        <v>682</v>
      </c>
      <c r="D446" s="199" t="s">
        <v>1729</v>
      </c>
      <c r="E446" s="199" t="s">
        <v>1730</v>
      </c>
      <c r="F446" s="197" t="s">
        <v>1731</v>
      </c>
      <c r="G446" s="433">
        <v>31850</v>
      </c>
      <c r="H446" s="264" t="s">
        <v>1002</v>
      </c>
      <c r="I446" s="202"/>
      <c r="J446" s="200"/>
    </row>
    <row r="447" spans="1:12" s="259" customFormat="1" ht="9.9499999999999993" customHeight="1" x14ac:dyDescent="0.25">
      <c r="A447" s="391">
        <v>43858</v>
      </c>
      <c r="B447" s="197" t="s">
        <v>1732</v>
      </c>
      <c r="C447" s="384" t="s">
        <v>682</v>
      </c>
      <c r="D447" s="199" t="s">
        <v>1733</v>
      </c>
      <c r="E447" s="199" t="s">
        <v>1734</v>
      </c>
      <c r="F447" s="197" t="s">
        <v>1727</v>
      </c>
      <c r="G447" s="433">
        <v>50000</v>
      </c>
      <c r="H447" s="264" t="s">
        <v>1397</v>
      </c>
    </row>
    <row r="448" spans="1:12" s="259" customFormat="1" ht="9.9499999999999993" customHeight="1" x14ac:dyDescent="0.25">
      <c r="A448" s="391">
        <v>43858</v>
      </c>
      <c r="B448" s="197" t="s">
        <v>1735</v>
      </c>
      <c r="C448" s="290" t="s">
        <v>682</v>
      </c>
      <c r="D448" s="199" t="s">
        <v>1733</v>
      </c>
      <c r="E448" s="199" t="s">
        <v>1734</v>
      </c>
      <c r="F448" s="197" t="s">
        <v>1727</v>
      </c>
      <c r="G448" s="433">
        <v>50000</v>
      </c>
      <c r="H448" s="264" t="s">
        <v>1397</v>
      </c>
    </row>
    <row r="449" spans="1:15" s="259" customFormat="1" ht="9.9499999999999993" customHeight="1" x14ac:dyDescent="0.25">
      <c r="A449" s="393">
        <v>43882.061215277776</v>
      </c>
      <c r="B449" s="394" t="s">
        <v>1793</v>
      </c>
      <c r="C449" s="389" t="s">
        <v>1794</v>
      </c>
      <c r="D449" s="199" t="s">
        <v>1795</v>
      </c>
      <c r="E449" s="199" t="s">
        <v>1796</v>
      </c>
      <c r="F449" s="199" t="s">
        <v>1797</v>
      </c>
      <c r="G449" s="433">
        <v>23000</v>
      </c>
      <c r="H449" s="264" t="s">
        <v>1397</v>
      </c>
      <c r="I449" s="305"/>
    </row>
    <row r="450" spans="1:15" s="259" customFormat="1" ht="9.9499999999999993" customHeight="1" x14ac:dyDescent="0.25">
      <c r="A450" s="381">
        <v>43998</v>
      </c>
      <c r="B450" s="201" t="s">
        <v>1736</v>
      </c>
      <c r="C450" s="290" t="s">
        <v>1737</v>
      </c>
      <c r="D450" s="199" t="s">
        <v>1738</v>
      </c>
      <c r="E450" s="290" t="s">
        <v>1737</v>
      </c>
      <c r="F450" s="201" t="s">
        <v>1739</v>
      </c>
      <c r="G450" s="432">
        <v>15000</v>
      </c>
      <c r="H450" s="264" t="s">
        <v>1397</v>
      </c>
      <c r="I450" s="305"/>
    </row>
    <row r="451" spans="1:15" s="200" customFormat="1" ht="9.9499999999999993" customHeight="1" x14ac:dyDescent="0.25">
      <c r="A451" s="381">
        <v>43998</v>
      </c>
      <c r="B451" s="201" t="s">
        <v>1740</v>
      </c>
      <c r="C451" s="290" t="s">
        <v>1737</v>
      </c>
      <c r="D451" s="199" t="s">
        <v>1738</v>
      </c>
      <c r="E451" s="290" t="s">
        <v>1737</v>
      </c>
      <c r="F451" s="201" t="s">
        <v>1739</v>
      </c>
      <c r="G451" s="432">
        <v>15000</v>
      </c>
      <c r="H451" s="264" t="s">
        <v>1397</v>
      </c>
      <c r="I451" s="259"/>
      <c r="J451" s="259"/>
      <c r="K451" s="259"/>
      <c r="L451" s="259"/>
      <c r="M451" s="259"/>
      <c r="N451" s="259"/>
      <c r="O451" s="259"/>
    </row>
    <row r="452" spans="1:15" s="200" customFormat="1" ht="9.9499999999999993" customHeight="1" x14ac:dyDescent="0.25">
      <c r="A452" s="381">
        <v>43998</v>
      </c>
      <c r="B452" s="201" t="s">
        <v>1741</v>
      </c>
      <c r="C452" s="290" t="s">
        <v>1737</v>
      </c>
      <c r="D452" s="199" t="s">
        <v>1738</v>
      </c>
      <c r="E452" s="290" t="s">
        <v>1737</v>
      </c>
      <c r="F452" s="201" t="s">
        <v>1739</v>
      </c>
      <c r="G452" s="432">
        <v>15000</v>
      </c>
      <c r="H452" s="264" t="s">
        <v>1397</v>
      </c>
      <c r="I452" s="259"/>
      <c r="J452" s="259"/>
      <c r="K452" s="259"/>
      <c r="L452" s="259"/>
      <c r="M452" s="259"/>
      <c r="N452" s="259"/>
      <c r="O452" s="259"/>
    </row>
    <row r="453" spans="1:15" s="200" customFormat="1" ht="9.9499999999999993" customHeight="1" x14ac:dyDescent="0.25">
      <c r="A453" s="381">
        <v>43998</v>
      </c>
      <c r="B453" s="201" t="s">
        <v>1742</v>
      </c>
      <c r="C453" s="290" t="s">
        <v>1737</v>
      </c>
      <c r="D453" s="199" t="s">
        <v>1738</v>
      </c>
      <c r="E453" s="290" t="s">
        <v>1737</v>
      </c>
      <c r="F453" s="201" t="s">
        <v>1739</v>
      </c>
      <c r="G453" s="432">
        <v>15000</v>
      </c>
      <c r="H453" s="264" t="s">
        <v>1397</v>
      </c>
      <c r="I453" s="259"/>
      <c r="J453" s="259"/>
      <c r="K453" s="259"/>
      <c r="L453" s="259"/>
    </row>
    <row r="454" spans="1:15" s="200" customFormat="1" ht="9.9499999999999993" customHeight="1" x14ac:dyDescent="0.25">
      <c r="A454" s="395">
        <v>44013.718877314815</v>
      </c>
      <c r="B454" s="395" t="s">
        <v>1613</v>
      </c>
      <c r="C454" s="392" t="s">
        <v>1614</v>
      </c>
      <c r="D454" s="392" t="s">
        <v>1615</v>
      </c>
      <c r="E454" s="392" t="s">
        <v>1616</v>
      </c>
      <c r="F454" s="392" t="s">
        <v>1617</v>
      </c>
      <c r="G454" s="434">
        <v>16000</v>
      </c>
      <c r="H454" s="264" t="s">
        <v>1397</v>
      </c>
      <c r="I454" s="259"/>
      <c r="J454" s="259"/>
      <c r="K454" s="259"/>
      <c r="L454" s="259"/>
    </row>
    <row r="455" spans="1:15" s="259" customFormat="1" ht="9.9499999999999993" customHeight="1" x14ac:dyDescent="0.25">
      <c r="A455" s="396">
        <v>44021.340555555558</v>
      </c>
      <c r="B455" s="197" t="s">
        <v>1743</v>
      </c>
      <c r="C455" s="199" t="s">
        <v>1744</v>
      </c>
      <c r="D455" s="199" t="s">
        <v>1745</v>
      </c>
      <c r="E455" s="199" t="s">
        <v>1746</v>
      </c>
      <c r="F455" s="197" t="s">
        <v>1747</v>
      </c>
      <c r="G455" s="433">
        <v>20265</v>
      </c>
      <c r="H455" s="264" t="s">
        <v>1397</v>
      </c>
      <c r="M455" s="200"/>
      <c r="N455" s="200"/>
      <c r="O455" s="200"/>
    </row>
    <row r="456" spans="1:15" s="259" customFormat="1" ht="9.9499999999999993" customHeight="1" x14ac:dyDescent="0.25">
      <c r="A456" s="396">
        <v>44021.347280092596</v>
      </c>
      <c r="B456" s="197" t="s">
        <v>1748</v>
      </c>
      <c r="C456" s="199" t="s">
        <v>1744</v>
      </c>
      <c r="D456" s="199" t="s">
        <v>1745</v>
      </c>
      <c r="E456" s="199" t="s">
        <v>1746</v>
      </c>
      <c r="F456" s="197" t="s">
        <v>1747</v>
      </c>
      <c r="G456" s="433">
        <v>20265</v>
      </c>
      <c r="H456" s="264" t="s">
        <v>1397</v>
      </c>
      <c r="I456" s="304"/>
    </row>
    <row r="457" spans="1:15" s="259" customFormat="1" ht="9.9499999999999993" customHeight="1" x14ac:dyDescent="0.25">
      <c r="A457" s="397">
        <v>44068.360671296294</v>
      </c>
      <c r="B457" s="398" t="s">
        <v>1749</v>
      </c>
      <c r="C457" s="399" t="s">
        <v>1750</v>
      </c>
      <c r="D457" s="199" t="s">
        <v>1751</v>
      </c>
      <c r="E457" s="399" t="s">
        <v>1752</v>
      </c>
      <c r="F457" s="197" t="s">
        <v>1753</v>
      </c>
      <c r="G457" s="433">
        <v>50000</v>
      </c>
      <c r="H457" s="264" t="s">
        <v>1397</v>
      </c>
      <c r="M457" s="200"/>
      <c r="N457" s="200"/>
      <c r="O457" s="200"/>
    </row>
    <row r="458" spans="1:15" s="259" customFormat="1" ht="9.9499999999999993" customHeight="1" x14ac:dyDescent="0.25">
      <c r="A458" s="397">
        <v>44068.398819444446</v>
      </c>
      <c r="B458" s="398" t="s">
        <v>1754</v>
      </c>
      <c r="C458" s="400" t="s">
        <v>1755</v>
      </c>
      <c r="D458" s="199" t="s">
        <v>1756</v>
      </c>
      <c r="E458" s="399" t="s">
        <v>1755</v>
      </c>
      <c r="F458" s="197" t="s">
        <v>1757</v>
      </c>
      <c r="G458" s="434">
        <v>27000</v>
      </c>
      <c r="H458" s="264" t="s">
        <v>1397</v>
      </c>
    </row>
    <row r="459" spans="1:15" s="259" customFormat="1" ht="9.9499999999999993" customHeight="1" x14ac:dyDescent="0.25">
      <c r="A459" s="397">
        <v>44068.430925925924</v>
      </c>
      <c r="B459" s="398" t="s">
        <v>1618</v>
      </c>
      <c r="C459" s="399" t="s">
        <v>1619</v>
      </c>
      <c r="D459" s="399" t="s">
        <v>1620</v>
      </c>
      <c r="E459" s="199" t="s">
        <v>1619</v>
      </c>
      <c r="F459" s="197" t="s">
        <v>1621</v>
      </c>
      <c r="G459" s="434">
        <v>50000</v>
      </c>
      <c r="H459" s="264" t="s">
        <v>1397</v>
      </c>
    </row>
    <row r="460" spans="1:15" s="259" customFormat="1" ht="9.9499999999999993" customHeight="1" x14ac:dyDescent="0.25">
      <c r="A460" s="397">
        <v>44068.466296296298</v>
      </c>
      <c r="B460" s="398" t="s">
        <v>1758</v>
      </c>
      <c r="C460" s="399" t="s">
        <v>1750</v>
      </c>
      <c r="D460" s="199" t="s">
        <v>1751</v>
      </c>
      <c r="E460" s="399" t="s">
        <v>1752</v>
      </c>
      <c r="F460" s="197" t="s">
        <v>1753</v>
      </c>
      <c r="G460" s="433">
        <v>15376.98</v>
      </c>
      <c r="H460" s="264" t="s">
        <v>1397</v>
      </c>
    </row>
    <row r="461" spans="1:15" s="259" customFormat="1" ht="9.9499999999999993" customHeight="1" x14ac:dyDescent="0.25">
      <c r="A461" s="397">
        <v>44068.470532407409</v>
      </c>
      <c r="B461" s="398" t="s">
        <v>1759</v>
      </c>
      <c r="C461" s="399" t="s">
        <v>1760</v>
      </c>
      <c r="D461" s="199" t="s">
        <v>1761</v>
      </c>
      <c r="E461" s="399" t="s">
        <v>1760</v>
      </c>
      <c r="F461" s="401" t="s">
        <v>1762</v>
      </c>
      <c r="G461" s="434">
        <v>35000</v>
      </c>
      <c r="H461" s="264" t="s">
        <v>1397</v>
      </c>
      <c r="I461" s="304"/>
    </row>
    <row r="462" spans="1:15" s="259" customFormat="1" ht="9.9499999999999993" customHeight="1" x14ac:dyDescent="0.25">
      <c r="A462" s="397">
        <v>44068.494641203702</v>
      </c>
      <c r="B462" s="398" t="s">
        <v>1784</v>
      </c>
      <c r="C462" s="399" t="s">
        <v>1785</v>
      </c>
      <c r="D462" s="199" t="s">
        <v>1786</v>
      </c>
      <c r="E462" s="399" t="s">
        <v>1785</v>
      </c>
      <c r="F462" s="197" t="s">
        <v>1787</v>
      </c>
      <c r="G462" s="433">
        <v>3750</v>
      </c>
      <c r="H462" s="264" t="s">
        <v>1397</v>
      </c>
    </row>
    <row r="463" spans="1:15" s="259" customFormat="1" ht="9.9499999999999993" customHeight="1" x14ac:dyDescent="0.25">
      <c r="A463" s="397">
        <v>44068.521643518521</v>
      </c>
      <c r="B463" s="398" t="s">
        <v>1763</v>
      </c>
      <c r="C463" s="399" t="s">
        <v>1764</v>
      </c>
      <c r="D463" s="199" t="s">
        <v>1765</v>
      </c>
      <c r="E463" s="399" t="s">
        <v>1766</v>
      </c>
      <c r="F463" s="401" t="s">
        <v>1767</v>
      </c>
      <c r="G463" s="434">
        <v>38000</v>
      </c>
      <c r="H463" s="264" t="s">
        <v>1397</v>
      </c>
    </row>
    <row r="464" spans="1:15" s="259" customFormat="1" ht="9.9499999999999993" customHeight="1" x14ac:dyDescent="0.25">
      <c r="A464" s="397">
        <v>44068.527291666665</v>
      </c>
      <c r="B464" s="398" t="s">
        <v>1788</v>
      </c>
      <c r="C464" s="399" t="s">
        <v>1785</v>
      </c>
      <c r="D464" s="199" t="s">
        <v>1786</v>
      </c>
      <c r="E464" s="399" t="s">
        <v>1785</v>
      </c>
      <c r="F464" s="197" t="s">
        <v>1787</v>
      </c>
      <c r="G464" s="433">
        <v>3750</v>
      </c>
      <c r="H464" s="264" t="s">
        <v>1397</v>
      </c>
    </row>
    <row r="465" spans="1:15" s="259" customFormat="1" ht="9.9499999999999993" customHeight="1" x14ac:dyDescent="0.25">
      <c r="A465" s="397">
        <v>44075.465428240743</v>
      </c>
      <c r="B465" s="398" t="s">
        <v>1768</v>
      </c>
      <c r="C465" s="399" t="s">
        <v>1769</v>
      </c>
      <c r="D465" s="199" t="s">
        <v>1770</v>
      </c>
      <c r="E465" s="399" t="s">
        <v>1771</v>
      </c>
      <c r="F465" s="197" t="s">
        <v>1772</v>
      </c>
      <c r="G465" s="434">
        <v>50000</v>
      </c>
      <c r="H465" s="264" t="s">
        <v>1397</v>
      </c>
    </row>
    <row r="466" spans="1:15" s="259" customFormat="1" ht="9.9499999999999993" customHeight="1" x14ac:dyDescent="0.25">
      <c r="A466" s="397">
        <v>44075.465428240743</v>
      </c>
      <c r="B466" s="398" t="s">
        <v>1773</v>
      </c>
      <c r="C466" s="399" t="s">
        <v>1774</v>
      </c>
      <c r="D466" s="199" t="s">
        <v>1775</v>
      </c>
      <c r="E466" s="399" t="s">
        <v>1776</v>
      </c>
      <c r="F466" s="197" t="s">
        <v>1777</v>
      </c>
      <c r="G466" s="434">
        <v>45000</v>
      </c>
      <c r="H466" s="264" t="s">
        <v>1397</v>
      </c>
    </row>
    <row r="467" spans="1:15" s="259" customFormat="1" ht="11.25" x14ac:dyDescent="0.25">
      <c r="A467" s="397">
        <v>44075.476458333331</v>
      </c>
      <c r="B467" s="398" t="s">
        <v>1778</v>
      </c>
      <c r="C467" s="399" t="s">
        <v>1774</v>
      </c>
      <c r="D467" s="199" t="s">
        <v>1775</v>
      </c>
      <c r="E467" s="399" t="s">
        <v>1776</v>
      </c>
      <c r="F467" s="197" t="s">
        <v>1777</v>
      </c>
      <c r="G467" s="434">
        <v>45000</v>
      </c>
      <c r="H467" s="264" t="s">
        <v>1397</v>
      </c>
    </row>
    <row r="468" spans="1:15" s="259" customFormat="1" ht="11.25" x14ac:dyDescent="0.25">
      <c r="A468" s="402">
        <v>44075.48946759259</v>
      </c>
      <c r="B468" s="403" t="s">
        <v>1779</v>
      </c>
      <c r="C468" s="404" t="s">
        <v>1780</v>
      </c>
      <c r="D468" s="405" t="s">
        <v>1781</v>
      </c>
      <c r="E468" s="404" t="s">
        <v>1782</v>
      </c>
      <c r="F468" s="406" t="s">
        <v>1783</v>
      </c>
      <c r="G468" s="435">
        <v>50000</v>
      </c>
      <c r="H468" s="301" t="s">
        <v>1397</v>
      </c>
    </row>
    <row r="469" spans="1:15" s="259" customFormat="1" ht="11.25" x14ac:dyDescent="0.25">
      <c r="A469" s="407">
        <v>44181</v>
      </c>
      <c r="B469" s="408" t="s">
        <v>1789</v>
      </c>
      <c r="C469" s="409" t="s">
        <v>1790</v>
      </c>
      <c r="D469" s="410" t="s">
        <v>1791</v>
      </c>
      <c r="E469" s="409" t="s">
        <v>1790</v>
      </c>
      <c r="F469" s="408" t="s">
        <v>1792</v>
      </c>
      <c r="G469" s="436">
        <v>11000</v>
      </c>
      <c r="H469" s="301" t="s">
        <v>1397</v>
      </c>
    </row>
    <row r="470" spans="1:15" s="303" customFormat="1" x14ac:dyDescent="0.25">
      <c r="A470" s="437">
        <v>44509.829050925924</v>
      </c>
      <c r="B470" s="438" t="s">
        <v>1803</v>
      </c>
      <c r="C470" s="439" t="s">
        <v>1804</v>
      </c>
      <c r="D470" s="440">
        <v>1727172516951</v>
      </c>
      <c r="E470" s="438" t="s">
        <v>1804</v>
      </c>
      <c r="F470" s="438" t="s">
        <v>1805</v>
      </c>
      <c r="G470" s="441">
        <v>50000</v>
      </c>
      <c r="H470" s="302" t="s">
        <v>1806</v>
      </c>
      <c r="I470" s="259"/>
      <c r="J470" s="259"/>
      <c r="K470" s="259"/>
      <c r="L470" s="259"/>
      <c r="M470" s="259"/>
      <c r="N470" s="259"/>
      <c r="O470" s="259"/>
    </row>
    <row r="471" spans="1:15" s="306" customFormat="1" x14ac:dyDescent="0.25">
      <c r="A471" s="437">
        <v>44509.832037037035</v>
      </c>
      <c r="B471" s="438" t="s">
        <v>1807</v>
      </c>
      <c r="C471" s="438" t="s">
        <v>1804</v>
      </c>
      <c r="D471" s="440">
        <v>1727172516951</v>
      </c>
      <c r="E471" s="438" t="s">
        <v>1804</v>
      </c>
      <c r="F471" s="438" t="s">
        <v>1805</v>
      </c>
      <c r="G471" s="441">
        <v>15000</v>
      </c>
      <c r="H471" s="302" t="s">
        <v>1806</v>
      </c>
      <c r="I471" s="259"/>
      <c r="J471" s="259"/>
      <c r="K471" s="259"/>
      <c r="L471" s="259"/>
      <c r="M471" s="259"/>
      <c r="N471" s="259"/>
      <c r="O471" s="259"/>
    </row>
    <row r="472" spans="1:15" s="259" customFormat="1" x14ac:dyDescent="0.25">
      <c r="A472" s="197" t="s">
        <v>1808</v>
      </c>
      <c r="B472" s="199" t="s">
        <v>1809</v>
      </c>
      <c r="C472" s="199" t="s">
        <v>1810</v>
      </c>
      <c r="D472" s="199" t="s">
        <v>1811</v>
      </c>
      <c r="E472" s="199" t="s">
        <v>1810</v>
      </c>
      <c r="F472" s="199" t="s">
        <v>1812</v>
      </c>
      <c r="G472" s="411">
        <v>3000</v>
      </c>
      <c r="H472" s="264" t="s">
        <v>1002</v>
      </c>
      <c r="I472" s="303"/>
      <c r="J472" s="303"/>
      <c r="K472" s="303"/>
      <c r="L472" s="303"/>
      <c r="M472" s="303"/>
      <c r="N472" s="303"/>
      <c r="O472" s="303"/>
    </row>
    <row r="473" spans="1:15" s="259" customFormat="1" x14ac:dyDescent="0.25">
      <c r="A473" s="412"/>
      <c r="B473" s="413"/>
      <c r="C473" s="414"/>
      <c r="D473" s="303"/>
      <c r="E473" s="414"/>
      <c r="F473" s="338"/>
      <c r="G473" s="339"/>
      <c r="H473" s="334"/>
      <c r="I473" s="306"/>
      <c r="J473" s="306"/>
      <c r="K473" s="306"/>
      <c r="L473" s="306"/>
      <c r="M473" s="306"/>
      <c r="N473" s="306"/>
      <c r="O473" s="306"/>
    </row>
    <row r="474" spans="1:15" s="259" customFormat="1" ht="13.5" thickBot="1" x14ac:dyDescent="0.25">
      <c r="A474" s="338"/>
      <c r="B474" s="338"/>
      <c r="C474" s="303"/>
      <c r="D474" s="303"/>
      <c r="E474" s="303"/>
      <c r="F474" s="338"/>
      <c r="G474" s="340">
        <f>SUM(G418:G473)</f>
        <v>1660456.98</v>
      </c>
      <c r="H474" s="338"/>
      <c r="I474" s="199"/>
      <c r="J474" s="307"/>
      <c r="K474" s="304"/>
    </row>
    <row r="475" spans="1:15" s="303" customFormat="1" ht="13.5" thickTop="1" x14ac:dyDescent="0.25">
      <c r="A475" s="338"/>
      <c r="F475" s="338"/>
      <c r="G475" s="314"/>
      <c r="H475" s="338"/>
      <c r="I475" s="324"/>
    </row>
    <row r="476" spans="1:15" s="303" customFormat="1" ht="13.5" thickBot="1" x14ac:dyDescent="0.3">
      <c r="A476" s="338"/>
      <c r="F476" s="338"/>
      <c r="G476" s="341">
        <f>+G414+G474</f>
        <v>1722339.98</v>
      </c>
      <c r="H476" s="338"/>
      <c r="I476" s="324"/>
      <c r="K476" s="313"/>
    </row>
    <row r="477" spans="1:15" ht="13.5" thickTop="1" x14ac:dyDescent="0.2"/>
    <row r="479" spans="1:15" x14ac:dyDescent="0.2">
      <c r="A479" s="76" t="s">
        <v>768</v>
      </c>
    </row>
    <row r="480" spans="1:15" ht="15" x14ac:dyDescent="0.25">
      <c r="A480" s="154" t="s">
        <v>1003</v>
      </c>
      <c r="B480" s="210">
        <f>E9</f>
        <v>67610</v>
      </c>
    </row>
    <row r="481" spans="1:2" ht="15" x14ac:dyDescent="0.25">
      <c r="A481" s="154" t="s">
        <v>1004</v>
      </c>
      <c r="B481" s="210">
        <f>H17</f>
        <v>30300</v>
      </c>
    </row>
    <row r="482" spans="1:2" ht="15" x14ac:dyDescent="0.25">
      <c r="A482" s="154" t="s">
        <v>688</v>
      </c>
      <c r="B482" s="210">
        <f>+I342</f>
        <v>3219444.4400000009</v>
      </c>
    </row>
    <row r="483" spans="1:2" ht="15" x14ac:dyDescent="0.25">
      <c r="A483" s="154" t="s">
        <v>1561</v>
      </c>
      <c r="B483" s="210">
        <f>+I365</f>
        <v>435474</v>
      </c>
    </row>
    <row r="484" spans="1:2" ht="15" x14ac:dyDescent="0.25">
      <c r="A484" s="154" t="s">
        <v>1818</v>
      </c>
      <c r="B484" s="210">
        <f>+M392</f>
        <v>12491947.200000001</v>
      </c>
    </row>
    <row r="485" spans="1:2" ht="15" x14ac:dyDescent="0.25">
      <c r="A485" s="154" t="s">
        <v>1596</v>
      </c>
      <c r="B485" s="211">
        <f>G476</f>
        <v>1722339.98</v>
      </c>
    </row>
    <row r="486" spans="1:2" ht="15" x14ac:dyDescent="0.25">
      <c r="B486" s="177">
        <f>SUM(B480:B485)</f>
        <v>17967115.620000001</v>
      </c>
    </row>
  </sheetData>
  <sortState xmlns:xlrd2="http://schemas.microsoft.com/office/spreadsheetml/2017/richdata2" ref="A240:S422">
    <sortCondition sortBy="cellColor" ref="B240:B422" dxfId="216"/>
  </sortState>
  <mergeCells count="16">
    <mergeCell ref="S7:S8"/>
    <mergeCell ref="I14:J14"/>
    <mergeCell ref="I15:J15"/>
    <mergeCell ref="A373:M373"/>
    <mergeCell ref="A375:B376"/>
    <mergeCell ref="C375:C376"/>
    <mergeCell ref="D375:D376"/>
    <mergeCell ref="E375:E376"/>
    <mergeCell ref="F375:F376"/>
    <mergeCell ref="G375:G376"/>
    <mergeCell ref="H375:H376"/>
    <mergeCell ref="I375:I376"/>
    <mergeCell ref="J375:J376"/>
    <mergeCell ref="K375:K376"/>
    <mergeCell ref="L375:L376"/>
    <mergeCell ref="M375:M376"/>
  </mergeCells>
  <conditionalFormatting sqref="A5">
    <cfRule type="cellIs" dxfId="130" priority="215" operator="lessThan">
      <formula>0</formula>
    </cfRule>
    <cfRule type="cellIs" dxfId="129" priority="216" operator="lessThan">
      <formula>-1</formula>
    </cfRule>
    <cfRule type="cellIs" dxfId="128" priority="221" operator="equal">
      <formula>-1</formula>
    </cfRule>
  </conditionalFormatting>
  <conditionalFormatting sqref="B5">
    <cfRule type="duplicateValues" dxfId="127" priority="217" stopIfTrue="1"/>
  </conditionalFormatting>
  <conditionalFormatting sqref="B342">
    <cfRule type="duplicateValues" dxfId="126" priority="222"/>
  </conditionalFormatting>
  <conditionalFormatting sqref="B431:B443">
    <cfRule type="duplicateValues" dxfId="125" priority="162"/>
  </conditionalFormatting>
  <conditionalFormatting sqref="E4:E10">
    <cfRule type="containsText" dxfId="72" priority="220" stopIfTrue="1" operator="containsText" text="fa">
      <formula>NOT(ISERROR(SEARCH("fa",E4)))</formula>
    </cfRule>
  </conditionalFormatting>
  <conditionalFormatting sqref="J352">
    <cfRule type="duplicateValues" dxfId="71" priority="219"/>
  </conditionalFormatting>
  <conditionalFormatting sqref="L477:L1048576 L1:L23 L343:L352 L365:L374 L399:L407">
    <cfRule type="duplicateValues" dxfId="70" priority="218"/>
  </conditionalFormatting>
  <conditionalFormatting sqref="C315:C336">
    <cfRule type="duplicateValues" dxfId="69" priority="55"/>
  </conditionalFormatting>
  <conditionalFormatting sqref="F290">
    <cfRule type="duplicateValues" dxfId="68" priority="56" stopIfTrue="1"/>
    <cfRule type="duplicateValues" dxfId="67" priority="57" stopIfTrue="1"/>
    <cfRule type="duplicateValues" dxfId="66" priority="58" stopIfTrue="1"/>
    <cfRule type="duplicateValues" dxfId="65" priority="59" stopIfTrue="1"/>
    <cfRule type="duplicateValues" dxfId="64" priority="60" stopIfTrue="1"/>
    <cfRule type="duplicateValues" dxfId="63" priority="61" stopIfTrue="1"/>
  </conditionalFormatting>
  <conditionalFormatting sqref="C340:C341 C338 C333:C336 F287:F290 C25:C286 C291:C293 C295">
    <cfRule type="duplicateValues" dxfId="62" priority="227"/>
    <cfRule type="duplicateValues" dxfId="61" priority="228"/>
    <cfRule type="duplicateValues" dxfId="60" priority="229"/>
  </conditionalFormatting>
  <conditionalFormatting sqref="C354:C355">
    <cfRule type="duplicateValues" dxfId="59" priority="49"/>
    <cfRule type="duplicateValues" dxfId="58" priority="50"/>
    <cfRule type="duplicateValues" dxfId="57" priority="51"/>
    <cfRule type="duplicateValues" dxfId="56" priority="52"/>
    <cfRule type="duplicateValues" dxfId="55" priority="53"/>
    <cfRule type="duplicateValues" dxfId="54" priority="54"/>
  </conditionalFormatting>
  <conditionalFormatting sqref="C355">
    <cfRule type="duplicateValues" dxfId="53" priority="43"/>
    <cfRule type="duplicateValues" dxfId="52" priority="44"/>
    <cfRule type="duplicateValues" dxfId="51" priority="45"/>
    <cfRule type="duplicateValues" dxfId="50" priority="46"/>
    <cfRule type="duplicateValues" dxfId="49" priority="47"/>
    <cfRule type="duplicateValues" dxfId="48" priority="48"/>
  </conditionalFormatting>
  <conditionalFormatting sqref="C355:C356">
    <cfRule type="duplicateValues" dxfId="47" priority="13"/>
    <cfRule type="duplicateValues" dxfId="46" priority="14"/>
    <cfRule type="duplicateValues" dxfId="45" priority="15"/>
    <cfRule type="duplicateValues" dxfId="44" priority="16"/>
    <cfRule type="duplicateValues" dxfId="43" priority="17"/>
    <cfRule type="duplicateValues" dxfId="42" priority="18"/>
  </conditionalFormatting>
  <conditionalFormatting sqref="C356">
    <cfRule type="duplicateValues" dxfId="41" priority="19"/>
    <cfRule type="duplicateValues" dxfId="40" priority="20"/>
    <cfRule type="duplicateValues" dxfId="39" priority="21"/>
    <cfRule type="duplicateValues" dxfId="38" priority="22"/>
    <cfRule type="duplicateValues" dxfId="37" priority="23"/>
    <cfRule type="duplicateValues" dxfId="36" priority="24"/>
  </conditionalFormatting>
  <conditionalFormatting sqref="C357">
    <cfRule type="duplicateValues" dxfId="35" priority="34" stopIfTrue="1"/>
    <cfRule type="duplicateValues" dxfId="34" priority="35" stopIfTrue="1"/>
    <cfRule type="duplicateValues" dxfId="33" priority="36" stopIfTrue="1"/>
    <cfRule type="duplicateValues" dxfId="32" priority="37" stopIfTrue="1"/>
    <cfRule type="duplicateValues" dxfId="31" priority="38" stopIfTrue="1"/>
    <cfRule type="duplicateValues" dxfId="30" priority="39" stopIfTrue="1"/>
    <cfRule type="duplicateValues" dxfId="29" priority="40" stopIfTrue="1"/>
    <cfRule type="duplicateValues" dxfId="28" priority="41" stopIfTrue="1"/>
    <cfRule type="duplicateValues" dxfId="27" priority="42"/>
  </conditionalFormatting>
  <conditionalFormatting sqref="C358">
    <cfRule type="duplicateValues" dxfId="26" priority="25" stopIfTrue="1"/>
    <cfRule type="duplicateValues" dxfId="25" priority="26" stopIfTrue="1"/>
    <cfRule type="duplicateValues" dxfId="24" priority="27" stopIfTrue="1"/>
    <cfRule type="duplicateValues" dxfId="23" priority="28" stopIfTrue="1"/>
    <cfRule type="duplicateValues" dxfId="22" priority="29" stopIfTrue="1"/>
    <cfRule type="duplicateValues" dxfId="21" priority="30" stopIfTrue="1"/>
    <cfRule type="duplicateValues" dxfId="20" priority="31" stopIfTrue="1"/>
    <cfRule type="duplicateValues" dxfId="19" priority="32" stopIfTrue="1"/>
    <cfRule type="duplicateValues" dxfId="18" priority="33"/>
  </conditionalFormatting>
  <conditionalFormatting sqref="C359">
    <cfRule type="duplicateValues" dxfId="17" priority="4" stopIfTrue="1"/>
    <cfRule type="duplicateValues" dxfId="16" priority="5" stopIfTrue="1"/>
    <cfRule type="duplicateValues" dxfId="15" priority="6" stopIfTrue="1"/>
    <cfRule type="duplicateValues" dxfId="14" priority="7" stopIfTrue="1"/>
    <cfRule type="duplicateValues" dxfId="13" priority="8" stopIfTrue="1"/>
    <cfRule type="duplicateValues" dxfId="12" priority="9" stopIfTrue="1"/>
    <cfRule type="duplicateValues" dxfId="11" priority="10" stopIfTrue="1"/>
    <cfRule type="duplicateValues" dxfId="10" priority="11" stopIfTrue="1"/>
    <cfRule type="duplicateValues" dxfId="9" priority="12"/>
  </conditionalFormatting>
  <conditionalFormatting sqref="C360">
    <cfRule type="duplicateValues" dxfId="8" priority="3"/>
  </conditionalFormatting>
  <conditionalFormatting sqref="C361">
    <cfRule type="duplicateValues" dxfId="7" priority="2"/>
  </conditionalFormatting>
  <conditionalFormatting sqref="C362:C364">
    <cfRule type="duplicateValues" dxfId="6" priority="1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97"/>
  <sheetViews>
    <sheetView topLeftCell="A40" workbookViewId="0">
      <selection activeCell="A73" sqref="A73"/>
    </sheetView>
  </sheetViews>
  <sheetFormatPr defaultRowHeight="15" x14ac:dyDescent="0.25"/>
  <cols>
    <col min="1" max="1" width="17.85546875" customWidth="1"/>
    <col min="2" max="2" width="16.5703125" style="236" customWidth="1"/>
    <col min="3" max="3" width="11.5703125" style="19" customWidth="1"/>
    <col min="4" max="4" width="17.7109375" style="154" customWidth="1"/>
    <col min="5" max="5" width="35" style="154" hidden="1" customWidth="1"/>
    <col min="6" max="6" width="18" style="154" hidden="1" customWidth="1"/>
    <col min="7" max="7" width="13.5703125" style="154" hidden="1" customWidth="1"/>
    <col min="8" max="8" width="17.7109375" style="154" hidden="1" customWidth="1"/>
    <col min="9" max="9" width="22.42578125" style="154" customWidth="1"/>
    <col min="10" max="10" width="15" style="154" customWidth="1"/>
    <col min="11" max="11" width="12.7109375" style="154" customWidth="1"/>
    <col min="12" max="12" width="35.7109375" style="154" customWidth="1"/>
    <col min="13" max="13" width="11.7109375" style="154" customWidth="1"/>
    <col min="14" max="14" width="13.28515625" style="154" customWidth="1"/>
    <col min="15" max="15" width="16.5703125" style="154" customWidth="1"/>
    <col min="16" max="16" width="18.140625" style="154" customWidth="1"/>
    <col min="17" max="17" width="10.28515625" customWidth="1"/>
  </cols>
  <sheetData>
    <row r="1" spans="1:16" ht="15.75" x14ac:dyDescent="0.25">
      <c r="A1" s="41" t="s">
        <v>3233</v>
      </c>
      <c r="B1" s="212"/>
    </row>
    <row r="2" spans="1:16" ht="15.75" x14ac:dyDescent="0.25">
      <c r="B2" s="212"/>
    </row>
    <row r="3" spans="1:16" x14ac:dyDescent="0.25">
      <c r="A3" s="213" t="s">
        <v>1819</v>
      </c>
      <c r="B3" s="214" t="s">
        <v>1820</v>
      </c>
      <c r="C3" s="214" t="s">
        <v>1821</v>
      </c>
      <c r="D3" s="214" t="s">
        <v>1822</v>
      </c>
      <c r="E3" s="214" t="s">
        <v>1823</v>
      </c>
      <c r="F3" s="214" t="s">
        <v>1824</v>
      </c>
      <c r="G3" s="214" t="s">
        <v>1825</v>
      </c>
      <c r="H3" s="215" t="s">
        <v>1826</v>
      </c>
      <c r="I3" s="214" t="s">
        <v>1827</v>
      </c>
      <c r="J3" s="214" t="s">
        <v>1828</v>
      </c>
      <c r="K3" s="214" t="s">
        <v>1829</v>
      </c>
      <c r="L3" s="214" t="s">
        <v>1830</v>
      </c>
      <c r="M3" s="214" t="s">
        <v>705</v>
      </c>
      <c r="N3" s="214" t="s">
        <v>1007</v>
      </c>
      <c r="O3"/>
      <c r="P3"/>
    </row>
    <row r="4" spans="1:16" x14ac:dyDescent="0.25">
      <c r="A4" s="358">
        <v>44012</v>
      </c>
      <c r="B4" s="75" t="s">
        <v>1831</v>
      </c>
      <c r="C4" s="75" t="s">
        <v>1832</v>
      </c>
      <c r="D4" s="75" t="s">
        <v>1833</v>
      </c>
      <c r="E4" s="75" t="s">
        <v>1834</v>
      </c>
      <c r="F4" s="75" t="s">
        <v>1835</v>
      </c>
      <c r="G4" s="106" t="s">
        <v>1836</v>
      </c>
      <c r="H4" s="216">
        <v>1900</v>
      </c>
      <c r="I4" s="217" t="s">
        <v>712</v>
      </c>
      <c r="J4" s="216">
        <v>1900</v>
      </c>
      <c r="K4" s="216"/>
      <c r="L4" s="75" t="s">
        <v>890</v>
      </c>
      <c r="M4" s="75"/>
      <c r="N4" s="75" t="s">
        <v>1837</v>
      </c>
      <c r="O4"/>
      <c r="P4"/>
    </row>
    <row r="5" spans="1:16" x14ac:dyDescent="0.25">
      <c r="A5" s="358">
        <v>44093</v>
      </c>
      <c r="B5" s="75" t="s">
        <v>1838</v>
      </c>
      <c r="C5" s="75" t="s">
        <v>1839</v>
      </c>
      <c r="D5" s="75" t="s">
        <v>1840</v>
      </c>
      <c r="E5" s="75" t="s">
        <v>1841</v>
      </c>
      <c r="F5" s="75"/>
      <c r="G5" s="106" t="s">
        <v>1842</v>
      </c>
      <c r="H5" s="216">
        <v>1399</v>
      </c>
      <c r="I5" s="217" t="s">
        <v>712</v>
      </c>
      <c r="J5" s="216">
        <v>1399</v>
      </c>
      <c r="K5" s="216"/>
      <c r="L5" s="75" t="s">
        <v>1843</v>
      </c>
      <c r="M5" s="75" t="s">
        <v>1844</v>
      </c>
      <c r="N5" s="75" t="s">
        <v>1845</v>
      </c>
      <c r="O5"/>
      <c r="P5"/>
    </row>
    <row r="6" spans="1:16" x14ac:dyDescent="0.25">
      <c r="A6" s="358">
        <v>44362</v>
      </c>
      <c r="B6" s="75" t="s">
        <v>1846</v>
      </c>
      <c r="C6" s="75" t="s">
        <v>1847</v>
      </c>
      <c r="D6" s="75" t="s">
        <v>1848</v>
      </c>
      <c r="E6" s="75" t="s">
        <v>1849</v>
      </c>
      <c r="F6" s="75" t="s">
        <v>1835</v>
      </c>
      <c r="G6" s="106" t="s">
        <v>1850</v>
      </c>
      <c r="H6" s="216">
        <v>1700</v>
      </c>
      <c r="I6" s="217" t="s">
        <v>712</v>
      </c>
      <c r="J6" s="216">
        <v>1700</v>
      </c>
      <c r="K6" s="216"/>
      <c r="L6" s="75" t="s">
        <v>1851</v>
      </c>
      <c r="M6" s="75"/>
      <c r="N6" s="75" t="s">
        <v>1852</v>
      </c>
      <c r="O6"/>
      <c r="P6"/>
    </row>
    <row r="7" spans="1:16" x14ac:dyDescent="0.25">
      <c r="A7" s="358">
        <v>44425</v>
      </c>
      <c r="B7" s="75" t="s">
        <v>1832</v>
      </c>
      <c r="C7" s="75" t="s">
        <v>1853</v>
      </c>
      <c r="D7" s="75" t="s">
        <v>1854</v>
      </c>
      <c r="E7" s="75" t="s">
        <v>1855</v>
      </c>
      <c r="F7" s="75"/>
      <c r="G7" s="106" t="s">
        <v>1856</v>
      </c>
      <c r="H7" s="216">
        <v>1399</v>
      </c>
      <c r="I7" s="217" t="s">
        <v>712</v>
      </c>
      <c r="J7" s="216">
        <v>1399</v>
      </c>
      <c r="K7" s="216"/>
      <c r="L7" s="75" t="s">
        <v>1857</v>
      </c>
      <c r="M7" s="75"/>
      <c r="N7" s="75" t="s">
        <v>1858</v>
      </c>
      <c r="O7"/>
      <c r="P7"/>
    </row>
    <row r="8" spans="1:16" x14ac:dyDescent="0.25">
      <c r="A8" s="358">
        <v>44643</v>
      </c>
      <c r="B8" s="75" t="s">
        <v>1859</v>
      </c>
      <c r="C8" s="75" t="s">
        <v>1860</v>
      </c>
      <c r="D8" s="75" t="s">
        <v>1861</v>
      </c>
      <c r="E8" s="75" t="s">
        <v>1862</v>
      </c>
      <c r="F8" s="75"/>
      <c r="G8" s="106" t="s">
        <v>1863</v>
      </c>
      <c r="H8" s="216">
        <v>1866</v>
      </c>
      <c r="I8" s="217" t="s">
        <v>712</v>
      </c>
      <c r="J8" s="216">
        <v>1866</v>
      </c>
      <c r="K8" s="216"/>
      <c r="L8" s="75" t="s">
        <v>1864</v>
      </c>
      <c r="M8" s="75"/>
      <c r="N8" s="75" t="s">
        <v>1865</v>
      </c>
      <c r="O8"/>
      <c r="P8"/>
    </row>
    <row r="9" spans="1:16" x14ac:dyDescent="0.25">
      <c r="A9" s="358">
        <v>44646</v>
      </c>
      <c r="B9" s="75" t="s">
        <v>1866</v>
      </c>
      <c r="C9" s="75" t="s">
        <v>1867</v>
      </c>
      <c r="D9" s="75" t="s">
        <v>1868</v>
      </c>
      <c r="E9" s="75" t="s">
        <v>1869</v>
      </c>
      <c r="F9" s="75"/>
      <c r="G9" s="106" t="s">
        <v>1870</v>
      </c>
      <c r="H9" s="216">
        <v>1399</v>
      </c>
      <c r="I9" s="217" t="s">
        <v>712</v>
      </c>
      <c r="J9" s="216">
        <v>1399</v>
      </c>
      <c r="K9" s="216"/>
      <c r="L9" s="75" t="s">
        <v>1871</v>
      </c>
      <c r="M9" s="75"/>
      <c r="N9" s="75" t="s">
        <v>1872</v>
      </c>
      <c r="O9"/>
      <c r="P9"/>
    </row>
    <row r="10" spans="1:16" x14ac:dyDescent="0.25">
      <c r="A10" s="358">
        <v>44648</v>
      </c>
      <c r="B10" s="75" t="s">
        <v>1873</v>
      </c>
      <c r="C10" s="75" t="s">
        <v>1874</v>
      </c>
      <c r="D10" s="75" t="s">
        <v>1875</v>
      </c>
      <c r="E10" s="75" t="s">
        <v>1876</v>
      </c>
      <c r="F10" s="75"/>
      <c r="G10" s="106" t="s">
        <v>1877</v>
      </c>
      <c r="H10" s="216">
        <v>1450</v>
      </c>
      <c r="I10" s="217" t="s">
        <v>712</v>
      </c>
      <c r="J10" s="216">
        <v>1450</v>
      </c>
      <c r="K10" s="216"/>
      <c r="L10" s="75" t="s">
        <v>1878</v>
      </c>
      <c r="M10" s="75"/>
      <c r="N10" s="75" t="s">
        <v>1879</v>
      </c>
      <c r="O10"/>
      <c r="P10"/>
    </row>
    <row r="11" spans="1:16" x14ac:dyDescent="0.25">
      <c r="A11" s="358">
        <v>44648</v>
      </c>
      <c r="B11" s="75" t="s">
        <v>1880</v>
      </c>
      <c r="C11" s="75" t="s">
        <v>1881</v>
      </c>
      <c r="D11" s="75" t="s">
        <v>1882</v>
      </c>
      <c r="E11" s="75" t="s">
        <v>1883</v>
      </c>
      <c r="F11" s="75"/>
      <c r="G11" s="106" t="s">
        <v>1884</v>
      </c>
      <c r="H11" s="216">
        <v>1400</v>
      </c>
      <c r="I11" s="217" t="s">
        <v>712</v>
      </c>
      <c r="J11" s="216">
        <v>1400</v>
      </c>
      <c r="K11" s="216"/>
      <c r="L11" s="75" t="s">
        <v>1885</v>
      </c>
      <c r="M11" s="75"/>
      <c r="N11" s="75" t="s">
        <v>1886</v>
      </c>
      <c r="O11"/>
      <c r="P11"/>
    </row>
    <row r="12" spans="1:16" x14ac:dyDescent="0.25">
      <c r="A12" s="358">
        <v>44669</v>
      </c>
      <c r="B12" s="75" t="s">
        <v>1887</v>
      </c>
      <c r="C12" s="75" t="s">
        <v>1888</v>
      </c>
      <c r="D12" s="75" t="s">
        <v>1889</v>
      </c>
      <c r="E12" s="75" t="s">
        <v>1890</v>
      </c>
      <c r="F12" s="75"/>
      <c r="G12" s="106" t="s">
        <v>1891</v>
      </c>
      <c r="H12" s="216">
        <v>3799</v>
      </c>
      <c r="I12" s="217" t="s">
        <v>712</v>
      </c>
      <c r="J12" s="216">
        <v>3799</v>
      </c>
      <c r="K12" s="216"/>
      <c r="L12" s="75" t="s">
        <v>1878</v>
      </c>
      <c r="M12" s="75"/>
      <c r="N12" s="75" t="s">
        <v>1892</v>
      </c>
      <c r="O12"/>
      <c r="P12"/>
    </row>
    <row r="13" spans="1:16" x14ac:dyDescent="0.25">
      <c r="A13" s="358">
        <v>44701</v>
      </c>
      <c r="B13" s="75" t="s">
        <v>1893</v>
      </c>
      <c r="C13" s="75"/>
      <c r="D13" s="75" t="s">
        <v>1894</v>
      </c>
      <c r="E13" s="75" t="s">
        <v>1895</v>
      </c>
      <c r="F13" s="75"/>
      <c r="G13" s="106" t="s">
        <v>1896</v>
      </c>
      <c r="H13" s="216">
        <v>1800</v>
      </c>
      <c r="I13" s="217" t="s">
        <v>712</v>
      </c>
      <c r="J13" s="216">
        <v>1800</v>
      </c>
      <c r="K13" s="216"/>
      <c r="L13" s="75" t="s">
        <v>1878</v>
      </c>
      <c r="M13" s="75"/>
      <c r="N13" s="75" t="s">
        <v>1897</v>
      </c>
      <c r="O13"/>
      <c r="P13"/>
    </row>
    <row r="14" spans="1:16" x14ac:dyDescent="0.25">
      <c r="A14" s="358">
        <v>44703</v>
      </c>
      <c r="B14" s="75" t="s">
        <v>1898</v>
      </c>
      <c r="C14" s="75" t="s">
        <v>1847</v>
      </c>
      <c r="D14" s="75" t="s">
        <v>1899</v>
      </c>
      <c r="E14" s="75" t="s">
        <v>1900</v>
      </c>
      <c r="F14" s="75"/>
      <c r="G14" s="106" t="s">
        <v>1901</v>
      </c>
      <c r="H14" s="216">
        <v>1699</v>
      </c>
      <c r="I14" s="217" t="s">
        <v>712</v>
      </c>
      <c r="J14" s="216">
        <v>1699</v>
      </c>
      <c r="K14" s="216"/>
      <c r="L14" s="75" t="s">
        <v>1902</v>
      </c>
      <c r="M14" s="75"/>
      <c r="N14" s="75" t="s">
        <v>1903</v>
      </c>
      <c r="O14"/>
      <c r="P14"/>
    </row>
    <row r="15" spans="1:16" x14ac:dyDescent="0.25">
      <c r="A15" s="359">
        <v>44705</v>
      </c>
      <c r="B15" s="75" t="s">
        <v>1904</v>
      </c>
      <c r="C15" s="75"/>
      <c r="D15" s="75" t="s">
        <v>1905</v>
      </c>
      <c r="E15" s="75" t="s">
        <v>1906</v>
      </c>
      <c r="F15" s="75"/>
      <c r="G15" s="106" t="s">
        <v>1907</v>
      </c>
      <c r="H15" s="218">
        <v>2204</v>
      </c>
      <c r="I15" s="217" t="s">
        <v>712</v>
      </c>
      <c r="J15" s="219">
        <v>8321</v>
      </c>
      <c r="K15" s="219"/>
      <c r="L15" s="75" t="s">
        <v>1908</v>
      </c>
      <c r="M15" s="75"/>
      <c r="N15" s="75" t="s">
        <v>1909</v>
      </c>
      <c r="O15"/>
      <c r="P15"/>
    </row>
    <row r="16" spans="1:16" x14ac:dyDescent="0.25">
      <c r="A16" s="358">
        <v>44714</v>
      </c>
      <c r="B16" s="75" t="s">
        <v>1910</v>
      </c>
      <c r="C16" s="75"/>
      <c r="D16" s="75" t="s">
        <v>1911</v>
      </c>
      <c r="E16" s="75" t="s">
        <v>1912</v>
      </c>
      <c r="F16" s="75"/>
      <c r="G16" s="106" t="s">
        <v>1913</v>
      </c>
      <c r="H16" s="216">
        <v>1310</v>
      </c>
      <c r="I16" s="217" t="s">
        <v>712</v>
      </c>
      <c r="J16" s="216">
        <v>1310</v>
      </c>
      <c r="K16" s="216"/>
      <c r="L16" s="75" t="s">
        <v>1914</v>
      </c>
      <c r="M16" s="75"/>
      <c r="N16" s="75" t="s">
        <v>1915</v>
      </c>
      <c r="O16"/>
      <c r="P16"/>
    </row>
    <row r="17" spans="1:16" x14ac:dyDescent="0.25">
      <c r="A17" s="358">
        <v>44744</v>
      </c>
      <c r="B17" s="75" t="s">
        <v>1916</v>
      </c>
      <c r="C17" s="75" t="s">
        <v>1917</v>
      </c>
      <c r="D17" s="75" t="s">
        <v>1918</v>
      </c>
      <c r="E17" s="75" t="s">
        <v>1919</v>
      </c>
      <c r="F17" s="75"/>
      <c r="G17" s="106" t="s">
        <v>1920</v>
      </c>
      <c r="H17" s="216">
        <v>1300</v>
      </c>
      <c r="I17" s="217" t="s">
        <v>712</v>
      </c>
      <c r="J17" s="216">
        <v>1300</v>
      </c>
      <c r="K17" s="216"/>
      <c r="L17" s="75" t="s">
        <v>1921</v>
      </c>
      <c r="M17" s="75"/>
      <c r="N17" s="75" t="s">
        <v>1922</v>
      </c>
      <c r="O17"/>
      <c r="P17"/>
    </row>
    <row r="18" spans="1:16" x14ac:dyDescent="0.25">
      <c r="A18" s="358">
        <v>44862</v>
      </c>
      <c r="B18" s="75" t="s">
        <v>1923</v>
      </c>
      <c r="C18" s="75" t="s">
        <v>1924</v>
      </c>
      <c r="D18" s="75" t="s">
        <v>1925</v>
      </c>
      <c r="E18" s="75" t="s">
        <v>1926</v>
      </c>
      <c r="F18" s="75"/>
      <c r="G18" s="106" t="s">
        <v>1927</v>
      </c>
      <c r="H18" s="216">
        <v>1789</v>
      </c>
      <c r="I18" s="217" t="s">
        <v>712</v>
      </c>
      <c r="J18" s="216">
        <v>1789</v>
      </c>
      <c r="K18" s="216"/>
      <c r="L18" s="75" t="s">
        <v>1928</v>
      </c>
      <c r="M18" s="75"/>
      <c r="N18" s="75" t="s">
        <v>1929</v>
      </c>
      <c r="O18"/>
      <c r="P18"/>
    </row>
    <row r="19" spans="1:16" x14ac:dyDescent="0.25">
      <c r="A19" s="358">
        <v>44868</v>
      </c>
      <c r="B19" s="75" t="s">
        <v>1930</v>
      </c>
      <c r="C19" s="75" t="s">
        <v>1931</v>
      </c>
      <c r="D19" s="75" t="s">
        <v>1932</v>
      </c>
      <c r="E19" s="75" t="s">
        <v>1933</v>
      </c>
      <c r="F19" s="75"/>
      <c r="G19" s="106" t="s">
        <v>1934</v>
      </c>
      <c r="H19" s="216">
        <v>1399</v>
      </c>
      <c r="I19" s="217" t="s">
        <v>712</v>
      </c>
      <c r="J19" s="216">
        <v>1399</v>
      </c>
      <c r="K19" s="216"/>
      <c r="L19" s="75" t="s">
        <v>1878</v>
      </c>
      <c r="M19" s="75"/>
      <c r="N19" s="75" t="s">
        <v>1935</v>
      </c>
      <c r="O19"/>
      <c r="P19"/>
    </row>
    <row r="20" spans="1:16" x14ac:dyDescent="0.25">
      <c r="A20" s="358">
        <v>44875</v>
      </c>
      <c r="B20" s="75" t="s">
        <v>1936</v>
      </c>
      <c r="C20" s="75"/>
      <c r="D20" s="75" t="s">
        <v>1937</v>
      </c>
      <c r="E20" s="75" t="s">
        <v>1938</v>
      </c>
      <c r="F20" s="75"/>
      <c r="G20" s="106"/>
      <c r="H20" s="216">
        <v>1472</v>
      </c>
      <c r="I20" s="217" t="s">
        <v>712</v>
      </c>
      <c r="J20" s="216">
        <v>1472</v>
      </c>
      <c r="K20" s="216"/>
      <c r="L20" s="75"/>
      <c r="M20" s="75"/>
      <c r="N20" s="75"/>
      <c r="O20"/>
      <c r="P20"/>
    </row>
    <row r="21" spans="1:16" x14ac:dyDescent="0.25">
      <c r="A21" s="358">
        <v>44879</v>
      </c>
      <c r="B21" s="75" t="s">
        <v>1939</v>
      </c>
      <c r="C21" s="75" t="s">
        <v>1940</v>
      </c>
      <c r="D21" s="75" t="s">
        <v>1941</v>
      </c>
      <c r="E21" s="75" t="s">
        <v>1942</v>
      </c>
      <c r="F21" s="75"/>
      <c r="G21" s="106" t="s">
        <v>1943</v>
      </c>
      <c r="H21" s="216">
        <v>1699</v>
      </c>
      <c r="I21" s="217" t="s">
        <v>712</v>
      </c>
      <c r="J21" s="216">
        <v>1699</v>
      </c>
      <c r="K21" s="216"/>
      <c r="L21" s="75" t="s">
        <v>1944</v>
      </c>
      <c r="M21" s="75"/>
      <c r="N21" s="75" t="s">
        <v>1945</v>
      </c>
      <c r="O21"/>
      <c r="P21"/>
    </row>
    <row r="22" spans="1:16" x14ac:dyDescent="0.25">
      <c r="A22" s="358">
        <v>44880</v>
      </c>
      <c r="B22" s="75" t="s">
        <v>1946</v>
      </c>
      <c r="C22" s="75" t="s">
        <v>1947</v>
      </c>
      <c r="D22" s="75" t="s">
        <v>1948</v>
      </c>
      <c r="E22" s="75" t="s">
        <v>1949</v>
      </c>
      <c r="F22" s="75"/>
      <c r="G22" s="106" t="s">
        <v>1950</v>
      </c>
      <c r="H22" s="216">
        <v>1300</v>
      </c>
      <c r="I22" s="217" t="s">
        <v>712</v>
      </c>
      <c r="J22" s="216">
        <v>1300</v>
      </c>
      <c r="K22" s="216"/>
      <c r="L22" s="75" t="s">
        <v>1951</v>
      </c>
      <c r="M22" s="75"/>
      <c r="N22" s="75" t="s">
        <v>1952</v>
      </c>
      <c r="O22"/>
      <c r="P22"/>
    </row>
    <row r="23" spans="1:16" x14ac:dyDescent="0.25">
      <c r="A23" s="358">
        <v>44883</v>
      </c>
      <c r="B23" s="75" t="s">
        <v>1953</v>
      </c>
      <c r="C23" s="75" t="s">
        <v>1924</v>
      </c>
      <c r="D23" s="75" t="s">
        <v>1954</v>
      </c>
      <c r="E23" s="75" t="s">
        <v>1955</v>
      </c>
      <c r="F23" s="75"/>
      <c r="G23" s="106" t="s">
        <v>1956</v>
      </c>
      <c r="H23" s="216">
        <v>1299</v>
      </c>
      <c r="I23" s="217" t="s">
        <v>712</v>
      </c>
      <c r="J23" s="219">
        <v>11601</v>
      </c>
      <c r="K23" s="219"/>
      <c r="L23" s="75" t="s">
        <v>1957</v>
      </c>
      <c r="M23" s="75"/>
      <c r="N23" s="75" t="s">
        <v>1958</v>
      </c>
      <c r="O23"/>
      <c r="P23"/>
    </row>
    <row r="24" spans="1:16" x14ac:dyDescent="0.25">
      <c r="A24" s="358">
        <v>44883</v>
      </c>
      <c r="B24" s="75" t="s">
        <v>1959</v>
      </c>
      <c r="C24" s="75" t="s">
        <v>1960</v>
      </c>
      <c r="D24" s="75" t="s">
        <v>1961</v>
      </c>
      <c r="E24" s="75" t="s">
        <v>1962</v>
      </c>
      <c r="F24" s="75"/>
      <c r="G24" s="106" t="s">
        <v>1963</v>
      </c>
      <c r="H24" s="216">
        <v>1999</v>
      </c>
      <c r="I24" s="217" t="s">
        <v>712</v>
      </c>
      <c r="J24" s="216">
        <v>1999</v>
      </c>
      <c r="K24" s="216"/>
      <c r="L24" s="75" t="s">
        <v>1944</v>
      </c>
      <c r="M24" s="75"/>
      <c r="N24" s="75" t="s">
        <v>1964</v>
      </c>
      <c r="O24"/>
      <c r="P24"/>
    </row>
    <row r="25" spans="1:16" x14ac:dyDescent="0.25">
      <c r="A25" s="358">
        <v>44894</v>
      </c>
      <c r="B25" s="75" t="s">
        <v>1965</v>
      </c>
      <c r="C25" s="75" t="s">
        <v>1966</v>
      </c>
      <c r="D25" s="75" t="s">
        <v>1967</v>
      </c>
      <c r="E25" s="75" t="s">
        <v>1968</v>
      </c>
      <c r="F25" s="75"/>
      <c r="G25" s="106" t="s">
        <v>1969</v>
      </c>
      <c r="H25" s="216">
        <v>765</v>
      </c>
      <c r="I25" s="217" t="s">
        <v>712</v>
      </c>
      <c r="J25" s="216">
        <v>765</v>
      </c>
      <c r="K25" s="216"/>
      <c r="L25" s="75" t="s">
        <v>1970</v>
      </c>
      <c r="M25" s="75"/>
      <c r="N25" s="75" t="s">
        <v>1971</v>
      </c>
      <c r="O25"/>
      <c r="P25"/>
    </row>
    <row r="26" spans="1:16" x14ac:dyDescent="0.25">
      <c r="A26" s="358">
        <v>44922</v>
      </c>
      <c r="B26" s="75" t="s">
        <v>1972</v>
      </c>
      <c r="C26" s="75" t="s">
        <v>1947</v>
      </c>
      <c r="D26" s="75" t="s">
        <v>1973</v>
      </c>
      <c r="E26" s="75" t="s">
        <v>1974</v>
      </c>
      <c r="F26" s="75"/>
      <c r="G26" s="106" t="s">
        <v>1975</v>
      </c>
      <c r="H26" s="216">
        <v>650</v>
      </c>
      <c r="I26" s="217" t="s">
        <v>712</v>
      </c>
      <c r="J26" s="216">
        <v>650</v>
      </c>
      <c r="K26" s="216"/>
      <c r="L26" s="75" t="s">
        <v>1976</v>
      </c>
      <c r="M26" s="75"/>
      <c r="N26" s="75" t="s">
        <v>1977</v>
      </c>
      <c r="O26"/>
      <c r="P26"/>
    </row>
    <row r="27" spans="1:16" x14ac:dyDescent="0.25">
      <c r="A27" s="358">
        <v>44933</v>
      </c>
      <c r="B27" s="75" t="s">
        <v>1978</v>
      </c>
      <c r="C27" s="75" t="s">
        <v>1979</v>
      </c>
      <c r="D27" s="75" t="s">
        <v>1980</v>
      </c>
      <c r="E27" s="75" t="s">
        <v>1981</v>
      </c>
      <c r="F27" s="75"/>
      <c r="G27" s="106" t="s">
        <v>1982</v>
      </c>
      <c r="H27" s="216">
        <v>1799</v>
      </c>
      <c r="I27" s="217" t="s">
        <v>712</v>
      </c>
      <c r="J27" s="216">
        <v>1799</v>
      </c>
      <c r="K27" s="216"/>
      <c r="L27" s="75" t="s">
        <v>1983</v>
      </c>
      <c r="M27" s="75"/>
      <c r="N27" s="75" t="s">
        <v>1984</v>
      </c>
      <c r="O27"/>
      <c r="P27"/>
    </row>
    <row r="28" spans="1:16" x14ac:dyDescent="0.25">
      <c r="A28" s="358">
        <v>44942</v>
      </c>
      <c r="B28" s="75" t="s">
        <v>1985</v>
      </c>
      <c r="C28" s="75" t="s">
        <v>1966</v>
      </c>
      <c r="D28" s="75" t="s">
        <v>1986</v>
      </c>
      <c r="E28" s="75" t="s">
        <v>1987</v>
      </c>
      <c r="F28" s="75"/>
      <c r="G28" s="106" t="s">
        <v>1988</v>
      </c>
      <c r="H28" s="216">
        <v>1704</v>
      </c>
      <c r="I28" s="217" t="s">
        <v>712</v>
      </c>
      <c r="J28" s="216">
        <v>1704</v>
      </c>
      <c r="K28" s="216"/>
      <c r="L28" s="75" t="s">
        <v>1957</v>
      </c>
      <c r="M28" s="75"/>
      <c r="N28" s="75" t="s">
        <v>1989</v>
      </c>
      <c r="O28"/>
      <c r="P28"/>
    </row>
    <row r="29" spans="1:16" x14ac:dyDescent="0.25">
      <c r="A29" s="358">
        <v>44946</v>
      </c>
      <c r="B29" s="75" t="s">
        <v>1990</v>
      </c>
      <c r="C29" s="75" t="s">
        <v>1960</v>
      </c>
      <c r="D29" s="75" t="s">
        <v>1991</v>
      </c>
      <c r="E29" s="75" t="s">
        <v>1992</v>
      </c>
      <c r="F29" s="75"/>
      <c r="G29" s="106" t="s">
        <v>1993</v>
      </c>
      <c r="H29" s="216">
        <v>1849</v>
      </c>
      <c r="I29" s="217" t="s">
        <v>712</v>
      </c>
      <c r="J29" s="216">
        <v>1849</v>
      </c>
      <c r="K29" s="216"/>
      <c r="L29" s="75" t="s">
        <v>1944</v>
      </c>
      <c r="M29" s="75"/>
      <c r="N29" s="75" t="s">
        <v>1994</v>
      </c>
      <c r="O29"/>
      <c r="P29"/>
    </row>
    <row r="30" spans="1:16" x14ac:dyDescent="0.25">
      <c r="A30" s="358">
        <v>44948</v>
      </c>
      <c r="B30" s="75" t="s">
        <v>1995</v>
      </c>
      <c r="C30" s="75" t="s">
        <v>1996</v>
      </c>
      <c r="D30" s="75" t="s">
        <v>1997</v>
      </c>
      <c r="E30" s="75" t="s">
        <v>1998</v>
      </c>
      <c r="F30" s="75"/>
      <c r="G30" s="106" t="s">
        <v>1999</v>
      </c>
      <c r="H30" s="216">
        <v>1850</v>
      </c>
      <c r="I30" s="217" t="s">
        <v>712</v>
      </c>
      <c r="J30" s="216">
        <v>1850</v>
      </c>
      <c r="K30" s="216"/>
      <c r="L30" s="75" t="s">
        <v>1957</v>
      </c>
      <c r="M30" s="75"/>
      <c r="N30" s="75" t="s">
        <v>2000</v>
      </c>
      <c r="O30"/>
      <c r="P30"/>
    </row>
    <row r="31" spans="1:16" x14ac:dyDescent="0.25">
      <c r="A31" s="358">
        <v>44957</v>
      </c>
      <c r="B31" s="75" t="s">
        <v>2001</v>
      </c>
      <c r="C31" s="75" t="s">
        <v>2002</v>
      </c>
      <c r="D31" s="75" t="s">
        <v>2003</v>
      </c>
      <c r="E31" s="75" t="s">
        <v>2004</v>
      </c>
      <c r="F31" s="75"/>
      <c r="G31" s="106" t="s">
        <v>2005</v>
      </c>
      <c r="H31" s="216">
        <v>1800</v>
      </c>
      <c r="I31" s="217" t="s">
        <v>712</v>
      </c>
      <c r="J31" s="216">
        <v>1800</v>
      </c>
      <c r="K31" s="216"/>
      <c r="L31" s="75" t="s">
        <v>2006</v>
      </c>
      <c r="M31" s="75"/>
      <c r="N31" s="75" t="s">
        <v>2007</v>
      </c>
      <c r="O31"/>
      <c r="P31"/>
    </row>
    <row r="32" spans="1:16" x14ac:dyDescent="0.25">
      <c r="A32" s="360">
        <v>44959</v>
      </c>
      <c r="B32" s="90" t="s">
        <v>2008</v>
      </c>
      <c r="C32" s="73" t="s">
        <v>1847</v>
      </c>
      <c r="D32" s="73" t="s">
        <v>2009</v>
      </c>
      <c r="E32" s="90" t="s">
        <v>2010</v>
      </c>
      <c r="F32" s="73"/>
      <c r="G32" s="106" t="s">
        <v>2011</v>
      </c>
      <c r="H32" s="220">
        <v>1300</v>
      </c>
      <c r="I32" s="217" t="s">
        <v>712</v>
      </c>
      <c r="J32" s="220">
        <v>1300</v>
      </c>
      <c r="K32" s="220"/>
      <c r="L32" s="73" t="s">
        <v>1944</v>
      </c>
      <c r="M32" s="73"/>
      <c r="N32" s="73" t="s">
        <v>2012</v>
      </c>
      <c r="O32"/>
      <c r="P32"/>
    </row>
    <row r="33" spans="1:16" x14ac:dyDescent="0.25">
      <c r="A33" s="360">
        <v>44966</v>
      </c>
      <c r="B33" s="221" t="s">
        <v>2013</v>
      </c>
      <c r="C33" s="73" t="s">
        <v>2002</v>
      </c>
      <c r="D33" s="73" t="s">
        <v>2014</v>
      </c>
      <c r="E33" s="73" t="s">
        <v>2015</v>
      </c>
      <c r="F33" s="73"/>
      <c r="G33" s="106" t="s">
        <v>2016</v>
      </c>
      <c r="H33" s="220">
        <v>3490</v>
      </c>
      <c r="I33" s="217" t="s">
        <v>712</v>
      </c>
      <c r="J33" s="220">
        <v>3490</v>
      </c>
      <c r="K33" s="220"/>
      <c r="L33" s="73" t="s">
        <v>2017</v>
      </c>
      <c r="M33" s="73"/>
      <c r="N33" s="73" t="s">
        <v>2018</v>
      </c>
      <c r="O33"/>
      <c r="P33"/>
    </row>
    <row r="34" spans="1:16" x14ac:dyDescent="0.25">
      <c r="A34" s="360">
        <v>44968</v>
      </c>
      <c r="B34" s="221" t="s">
        <v>2019</v>
      </c>
      <c r="C34" s="73" t="s">
        <v>2020</v>
      </c>
      <c r="D34" s="73" t="s">
        <v>2021</v>
      </c>
      <c r="E34" s="73" t="s">
        <v>2022</v>
      </c>
      <c r="F34" s="73"/>
      <c r="G34" s="106" t="s">
        <v>2023</v>
      </c>
      <c r="H34" s="220">
        <v>1700</v>
      </c>
      <c r="I34" s="217" t="s">
        <v>712</v>
      </c>
      <c r="J34" s="220">
        <v>1700</v>
      </c>
      <c r="K34" s="220"/>
      <c r="L34" s="73" t="s">
        <v>1878</v>
      </c>
      <c r="M34" s="73"/>
      <c r="N34" s="73" t="s">
        <v>2024</v>
      </c>
      <c r="O34"/>
      <c r="P34"/>
    </row>
    <row r="35" spans="1:16" x14ac:dyDescent="0.25">
      <c r="A35" s="360">
        <v>44970</v>
      </c>
      <c r="B35" s="221" t="s">
        <v>2025</v>
      </c>
      <c r="C35" s="73" t="s">
        <v>1940</v>
      </c>
      <c r="D35" s="73" t="s">
        <v>2026</v>
      </c>
      <c r="E35" s="73" t="s">
        <v>2027</v>
      </c>
      <c r="F35" s="73"/>
      <c r="G35" s="106" t="s">
        <v>2028</v>
      </c>
      <c r="H35" s="220">
        <v>1300</v>
      </c>
      <c r="I35" s="217" t="s">
        <v>712</v>
      </c>
      <c r="J35" s="220">
        <v>1300</v>
      </c>
      <c r="K35" s="220"/>
      <c r="L35" s="73" t="s">
        <v>2029</v>
      </c>
      <c r="M35" s="73"/>
      <c r="N35" s="73" t="s">
        <v>2030</v>
      </c>
      <c r="O35"/>
      <c r="P35"/>
    </row>
    <row r="36" spans="1:16" x14ac:dyDescent="0.25">
      <c r="A36" s="361">
        <v>44983</v>
      </c>
      <c r="B36" s="221" t="s">
        <v>2031</v>
      </c>
      <c r="C36" s="90" t="s">
        <v>2020</v>
      </c>
      <c r="D36" s="90" t="s">
        <v>2032</v>
      </c>
      <c r="E36" s="90" t="s">
        <v>2033</v>
      </c>
      <c r="F36" s="90"/>
      <c r="G36" s="362" t="s">
        <v>2034</v>
      </c>
      <c r="H36" s="222">
        <v>1299</v>
      </c>
      <c r="I36" s="217" t="s">
        <v>712</v>
      </c>
      <c r="J36" s="222">
        <v>1299</v>
      </c>
      <c r="K36" s="222"/>
      <c r="L36" s="90" t="s">
        <v>1944</v>
      </c>
      <c r="M36" s="90"/>
      <c r="N36" s="90" t="s">
        <v>2035</v>
      </c>
      <c r="O36"/>
      <c r="P36"/>
    </row>
    <row r="37" spans="1:16" x14ac:dyDescent="0.25">
      <c r="A37" s="361">
        <v>44986</v>
      </c>
      <c r="B37" s="221" t="s">
        <v>2036</v>
      </c>
      <c r="C37" s="90" t="s">
        <v>2037</v>
      </c>
      <c r="D37" s="90" t="s">
        <v>2038</v>
      </c>
      <c r="E37" s="90" t="s">
        <v>2039</v>
      </c>
      <c r="F37" s="90"/>
      <c r="G37" s="362" t="s">
        <v>2040</v>
      </c>
      <c r="H37" s="222">
        <v>1750</v>
      </c>
      <c r="I37" s="217" t="s">
        <v>712</v>
      </c>
      <c r="J37" s="222">
        <v>1750</v>
      </c>
      <c r="K37" s="222"/>
      <c r="L37" s="90" t="s">
        <v>1878</v>
      </c>
      <c r="M37" s="90"/>
      <c r="N37" s="90" t="s">
        <v>2041</v>
      </c>
      <c r="O37"/>
      <c r="P37"/>
    </row>
    <row r="38" spans="1:16" x14ac:dyDescent="0.25">
      <c r="A38" s="359">
        <v>45028</v>
      </c>
      <c r="B38" s="75" t="s">
        <v>2042</v>
      </c>
      <c r="C38" s="75"/>
      <c r="D38" s="75" t="s">
        <v>2043</v>
      </c>
      <c r="E38" s="75" t="s">
        <v>2044</v>
      </c>
      <c r="F38" s="75"/>
      <c r="G38" s="106" t="s">
        <v>2045</v>
      </c>
      <c r="H38" s="218">
        <v>1399</v>
      </c>
      <c r="I38" s="217" t="s">
        <v>712</v>
      </c>
      <c r="J38" s="218">
        <v>1399</v>
      </c>
      <c r="K38" s="226">
        <f>SUM(J4:J38)</f>
        <v>74656</v>
      </c>
      <c r="L38" s="75" t="s">
        <v>2046</v>
      </c>
      <c r="M38" s="75"/>
      <c r="N38" s="75"/>
      <c r="O38"/>
      <c r="P38"/>
    </row>
    <row r="39" spans="1:16" x14ac:dyDescent="0.25">
      <c r="A39" s="358">
        <v>44673</v>
      </c>
      <c r="B39" s="221" t="s">
        <v>2047</v>
      </c>
      <c r="C39" s="75"/>
      <c r="D39" s="75" t="s">
        <v>2048</v>
      </c>
      <c r="E39" s="221" t="s">
        <v>2049</v>
      </c>
      <c r="F39" s="362">
        <v>176817</v>
      </c>
      <c r="G39" s="75"/>
      <c r="H39" s="75"/>
      <c r="I39" s="217" t="s">
        <v>923</v>
      </c>
      <c r="J39" s="363">
        <v>488</v>
      </c>
      <c r="K39" s="75"/>
      <c r="L39" s="224" t="s">
        <v>2050</v>
      </c>
      <c r="M39" s="75"/>
      <c r="N39" s="75"/>
      <c r="O39" s="75"/>
      <c r="P39"/>
    </row>
    <row r="40" spans="1:16" x14ac:dyDescent="0.25">
      <c r="A40" s="358">
        <v>44692</v>
      </c>
      <c r="B40" s="221" t="s">
        <v>2051</v>
      </c>
      <c r="C40" s="75"/>
      <c r="D40" s="221" t="s">
        <v>2052</v>
      </c>
      <c r="E40" s="221" t="s">
        <v>2053</v>
      </c>
      <c r="F40" s="362">
        <v>166797</v>
      </c>
      <c r="G40" s="75"/>
      <c r="H40" s="218"/>
      <c r="I40" s="217" t="s">
        <v>923</v>
      </c>
      <c r="J40" s="363">
        <v>231</v>
      </c>
      <c r="K40" s="223"/>
      <c r="L40" s="224" t="s">
        <v>2050</v>
      </c>
      <c r="M40" s="75"/>
      <c r="N40" s="75"/>
      <c r="O40" s="75"/>
      <c r="P40"/>
    </row>
    <row r="41" spans="1:16" x14ac:dyDescent="0.25">
      <c r="A41" s="358">
        <v>44708</v>
      </c>
      <c r="B41" s="221" t="s">
        <v>2054</v>
      </c>
      <c r="C41" s="75"/>
      <c r="D41" s="221" t="s">
        <v>2055</v>
      </c>
      <c r="E41" s="221" t="s">
        <v>2056</v>
      </c>
      <c r="F41" s="362">
        <v>220298</v>
      </c>
      <c r="G41" s="75"/>
      <c r="H41" s="218"/>
      <c r="I41" s="217" t="s">
        <v>923</v>
      </c>
      <c r="J41" s="363">
        <v>434</v>
      </c>
      <c r="K41" s="223"/>
      <c r="L41" s="221" t="s">
        <v>2057</v>
      </c>
      <c r="M41" s="75"/>
      <c r="N41" s="75"/>
      <c r="O41" s="75"/>
      <c r="P41"/>
    </row>
    <row r="42" spans="1:16" x14ac:dyDescent="0.25">
      <c r="A42" s="358">
        <v>44715</v>
      </c>
      <c r="B42" s="364" t="s">
        <v>2058</v>
      </c>
      <c r="C42" s="75"/>
      <c r="D42" s="221" t="s">
        <v>2059</v>
      </c>
      <c r="E42" s="221" t="s">
        <v>2060</v>
      </c>
      <c r="F42" s="365">
        <v>227338</v>
      </c>
      <c r="G42" s="75"/>
      <c r="H42" s="218"/>
      <c r="I42" s="217" t="s">
        <v>923</v>
      </c>
      <c r="J42" s="363">
        <v>303</v>
      </c>
      <c r="K42" s="223"/>
      <c r="L42" s="224" t="s">
        <v>2050</v>
      </c>
      <c r="M42" s="75"/>
      <c r="N42" s="75"/>
      <c r="O42" s="75"/>
      <c r="P42"/>
    </row>
    <row r="43" spans="1:16" x14ac:dyDescent="0.25">
      <c r="A43" s="358">
        <v>44715</v>
      </c>
      <c r="B43" s="221" t="s">
        <v>2061</v>
      </c>
      <c r="C43" s="75"/>
      <c r="D43" s="221" t="s">
        <v>2062</v>
      </c>
      <c r="E43" s="221" t="s">
        <v>2063</v>
      </c>
      <c r="F43" s="365">
        <v>206047</v>
      </c>
      <c r="G43" s="75"/>
      <c r="H43" s="218"/>
      <c r="I43" s="217" t="s">
        <v>923</v>
      </c>
      <c r="J43" s="363">
        <v>357</v>
      </c>
      <c r="K43" s="223"/>
      <c r="L43" s="224" t="s">
        <v>2050</v>
      </c>
      <c r="M43" s="75"/>
      <c r="N43" s="75"/>
      <c r="O43" s="75"/>
      <c r="P43"/>
    </row>
    <row r="44" spans="1:16" x14ac:dyDescent="0.25">
      <c r="A44" s="358">
        <v>44716</v>
      </c>
      <c r="B44" s="364" t="s">
        <v>2064</v>
      </c>
      <c r="C44" s="75"/>
      <c r="D44" s="221" t="s">
        <v>2065</v>
      </c>
      <c r="E44" s="221" t="s">
        <v>2066</v>
      </c>
      <c r="F44" s="365">
        <v>264789</v>
      </c>
      <c r="G44" s="75"/>
      <c r="H44" s="218"/>
      <c r="I44" s="217" t="s">
        <v>923</v>
      </c>
      <c r="J44" s="363">
        <v>404</v>
      </c>
      <c r="K44" s="223"/>
      <c r="L44" s="224" t="s">
        <v>2050</v>
      </c>
      <c r="M44" s="75"/>
      <c r="N44" s="75"/>
      <c r="O44" s="75"/>
      <c r="P44"/>
    </row>
    <row r="45" spans="1:16" x14ac:dyDescent="0.25">
      <c r="A45" s="358">
        <v>44718</v>
      </c>
      <c r="B45" s="364" t="s">
        <v>2067</v>
      </c>
      <c r="C45" s="75"/>
      <c r="D45" s="221" t="s">
        <v>921</v>
      </c>
      <c r="E45" s="221" t="s">
        <v>922</v>
      </c>
      <c r="F45" s="365">
        <v>31200</v>
      </c>
      <c r="G45" s="75"/>
      <c r="H45" s="218"/>
      <c r="I45" s="217" t="s">
        <v>923</v>
      </c>
      <c r="J45" s="363">
        <v>276</v>
      </c>
      <c r="K45" s="223"/>
      <c r="L45" s="224" t="s">
        <v>903</v>
      </c>
      <c r="M45" s="75"/>
      <c r="N45" s="75"/>
      <c r="O45" s="75"/>
      <c r="P45"/>
    </row>
    <row r="46" spans="1:16" x14ac:dyDescent="0.25">
      <c r="A46" s="359">
        <v>44732</v>
      </c>
      <c r="B46" s="366" t="s">
        <v>2068</v>
      </c>
      <c r="C46" s="75"/>
      <c r="D46" s="75" t="s">
        <v>2069</v>
      </c>
      <c r="E46" s="75" t="s">
        <v>2070</v>
      </c>
      <c r="F46" s="225">
        <v>108162</v>
      </c>
      <c r="G46" s="75"/>
      <c r="H46" s="218"/>
      <c r="I46" s="217" t="s">
        <v>923</v>
      </c>
      <c r="J46" s="218">
        <v>368</v>
      </c>
      <c r="K46" s="223"/>
      <c r="L46" s="169" t="s">
        <v>2071</v>
      </c>
      <c r="M46" s="75"/>
      <c r="N46" s="75"/>
      <c r="O46" s="75"/>
      <c r="P46"/>
    </row>
    <row r="47" spans="1:16" x14ac:dyDescent="0.25">
      <c r="A47" s="359">
        <v>44818</v>
      </c>
      <c r="B47" s="75" t="s">
        <v>2072</v>
      </c>
      <c r="C47" s="75"/>
      <c r="D47" s="367" t="s">
        <v>2073</v>
      </c>
      <c r="E47" s="73" t="s">
        <v>2074</v>
      </c>
      <c r="F47" s="368">
        <v>168137</v>
      </c>
      <c r="G47" s="75"/>
      <c r="H47" s="218"/>
      <c r="I47" s="217" t="s">
        <v>923</v>
      </c>
      <c r="J47" s="369">
        <v>598</v>
      </c>
      <c r="K47" s="223"/>
      <c r="L47" s="90" t="s">
        <v>2075</v>
      </c>
      <c r="M47" s="75"/>
      <c r="N47" s="75"/>
      <c r="O47" s="75"/>
      <c r="P47"/>
    </row>
    <row r="48" spans="1:16" x14ac:dyDescent="0.25">
      <c r="A48" s="359">
        <v>44903</v>
      </c>
      <c r="B48" s="75" t="s">
        <v>2076</v>
      </c>
      <c r="C48" s="75"/>
      <c r="D48" s="73" t="s">
        <v>2077</v>
      </c>
      <c r="E48" s="73" t="s">
        <v>2078</v>
      </c>
      <c r="F48" s="106">
        <v>2328</v>
      </c>
      <c r="G48" s="75"/>
      <c r="H48" s="218"/>
      <c r="I48" s="217" t="s">
        <v>923</v>
      </c>
      <c r="J48" s="220">
        <v>347</v>
      </c>
      <c r="K48" s="223"/>
      <c r="L48" s="221" t="s">
        <v>2079</v>
      </c>
      <c r="M48" s="75"/>
      <c r="N48" s="75"/>
      <c r="O48" s="75"/>
      <c r="P48"/>
    </row>
    <row r="49" spans="1:16" x14ac:dyDescent="0.25">
      <c r="A49" s="359">
        <v>44966</v>
      </c>
      <c r="B49" s="75" t="s">
        <v>2080</v>
      </c>
      <c r="C49" s="75"/>
      <c r="D49" s="73" t="s">
        <v>2081</v>
      </c>
      <c r="E49" s="73" t="s">
        <v>2082</v>
      </c>
      <c r="F49" s="106">
        <v>265865</v>
      </c>
      <c r="G49" s="75"/>
      <c r="H49" s="218"/>
      <c r="I49" s="217" t="s">
        <v>923</v>
      </c>
      <c r="J49" s="220">
        <v>167</v>
      </c>
      <c r="K49" s="226">
        <f>SUM(J39:J49)</f>
        <v>3973</v>
      </c>
      <c r="L49" s="221" t="s">
        <v>2075</v>
      </c>
      <c r="M49" s="75"/>
      <c r="N49" s="75"/>
      <c r="O49" s="75"/>
      <c r="P49"/>
    </row>
    <row r="50" spans="1:16" x14ac:dyDescent="0.25">
      <c r="A50" s="370">
        <v>43850</v>
      </c>
      <c r="B50" s="224" t="s">
        <v>2083</v>
      </c>
      <c r="C50" s="75"/>
      <c r="D50" s="371" t="s">
        <v>2084</v>
      </c>
      <c r="E50" s="73" t="s">
        <v>2085</v>
      </c>
      <c r="F50" s="372" t="s">
        <v>2086</v>
      </c>
      <c r="G50" s="75"/>
      <c r="H50" s="218"/>
      <c r="I50" s="217" t="s">
        <v>2087</v>
      </c>
      <c r="J50" s="227">
        <v>9852.2900000000009</v>
      </c>
      <c r="K50" s="226">
        <f>J50</f>
        <v>9852.2900000000009</v>
      </c>
      <c r="L50" s="228" t="s">
        <v>890</v>
      </c>
      <c r="M50" s="75"/>
      <c r="N50" s="75"/>
      <c r="O50" s="75"/>
      <c r="P50"/>
    </row>
    <row r="51" spans="1:16" x14ac:dyDescent="0.25">
      <c r="A51" s="370">
        <v>44191</v>
      </c>
      <c r="B51" s="224" t="s">
        <v>1433</v>
      </c>
      <c r="C51" s="73"/>
      <c r="D51" s="371" t="s">
        <v>2088</v>
      </c>
      <c r="E51" s="73"/>
      <c r="F51" s="73"/>
      <c r="G51" s="75"/>
      <c r="H51" s="218"/>
      <c r="I51" s="217" t="s">
        <v>2089</v>
      </c>
      <c r="J51" s="227">
        <v>3500</v>
      </c>
      <c r="K51" s="226">
        <f>+J51</f>
        <v>3500</v>
      </c>
      <c r="L51" s="228" t="s">
        <v>890</v>
      </c>
      <c r="M51" s="75"/>
      <c r="N51" s="75"/>
      <c r="O51" s="75"/>
      <c r="P51"/>
    </row>
    <row r="52" spans="1:16" s="73" customFormat="1" ht="12.75" x14ac:dyDescent="0.2">
      <c r="A52" s="373">
        <v>43815.681585648148</v>
      </c>
      <c r="B52" s="374" t="s">
        <v>2090</v>
      </c>
      <c r="D52" s="375" t="s">
        <v>997</v>
      </c>
      <c r="E52" s="376" t="s">
        <v>2091</v>
      </c>
      <c r="G52" s="75"/>
      <c r="H52" s="218"/>
      <c r="I52" s="217" t="s">
        <v>2092</v>
      </c>
      <c r="J52" s="229">
        <v>2998</v>
      </c>
      <c r="K52" s="226"/>
      <c r="L52" s="223" t="s">
        <v>2093</v>
      </c>
      <c r="M52" s="75"/>
      <c r="N52" s="75"/>
      <c r="O52" s="75"/>
    </row>
    <row r="53" spans="1:16" s="73" customFormat="1" ht="12.75" x14ac:dyDescent="0.2">
      <c r="A53" s="373">
        <v>43874.673703703702</v>
      </c>
      <c r="B53" s="374" t="s">
        <v>2094</v>
      </c>
      <c r="D53" s="375" t="s">
        <v>2095</v>
      </c>
      <c r="E53" s="376" t="s">
        <v>2096</v>
      </c>
      <c r="G53" s="75"/>
      <c r="H53" s="218"/>
      <c r="I53" s="217" t="s">
        <v>2092</v>
      </c>
      <c r="J53" s="229">
        <v>1000</v>
      </c>
      <c r="K53" s="226"/>
      <c r="L53" s="223" t="s">
        <v>2093</v>
      </c>
      <c r="M53" s="75"/>
      <c r="N53" s="75"/>
      <c r="O53" s="75"/>
    </row>
    <row r="54" spans="1:16" s="73" customFormat="1" ht="12.75" x14ac:dyDescent="0.2">
      <c r="A54" s="373">
        <v>43849.553969907407</v>
      </c>
      <c r="B54" s="374" t="s">
        <v>2097</v>
      </c>
      <c r="D54" s="375" t="s">
        <v>2098</v>
      </c>
      <c r="E54" s="376" t="s">
        <v>2099</v>
      </c>
      <c r="G54" s="75"/>
      <c r="H54" s="218"/>
      <c r="I54" s="217" t="s">
        <v>2092</v>
      </c>
      <c r="J54" s="229">
        <v>500</v>
      </c>
      <c r="K54" s="226"/>
      <c r="L54" s="223" t="s">
        <v>2093</v>
      </c>
      <c r="M54" s="75"/>
      <c r="N54" s="75"/>
      <c r="O54" s="75"/>
    </row>
    <row r="55" spans="1:16" s="73" customFormat="1" ht="12.75" x14ac:dyDescent="0.2">
      <c r="A55" s="377" t="s">
        <v>2100</v>
      </c>
      <c r="B55" s="374" t="s">
        <v>1068</v>
      </c>
      <c r="D55" s="375" t="s">
        <v>2101</v>
      </c>
      <c r="E55" s="376" t="s">
        <v>2102</v>
      </c>
      <c r="G55" s="75"/>
      <c r="H55" s="218"/>
      <c r="I55" s="217" t="s">
        <v>2092</v>
      </c>
      <c r="J55" s="229">
        <v>9620</v>
      </c>
      <c r="K55" s="226"/>
      <c r="L55" s="223" t="s">
        <v>2093</v>
      </c>
      <c r="M55" s="75"/>
      <c r="N55" s="75"/>
      <c r="O55" s="75"/>
    </row>
    <row r="56" spans="1:16" s="73" customFormat="1" ht="12.75" x14ac:dyDescent="0.2">
      <c r="A56" s="373">
        <v>43990.598877314813</v>
      </c>
      <c r="B56" s="374" t="s">
        <v>2103</v>
      </c>
      <c r="D56" s="378" t="s">
        <v>2104</v>
      </c>
      <c r="E56" s="379" t="s">
        <v>2105</v>
      </c>
      <c r="G56" s="75"/>
      <c r="H56" s="218"/>
      <c r="I56" s="217" t="s">
        <v>2092</v>
      </c>
      <c r="J56" s="229">
        <v>800</v>
      </c>
      <c r="K56" s="226"/>
      <c r="L56" s="223" t="s">
        <v>2093</v>
      </c>
      <c r="M56" s="75"/>
      <c r="N56" s="75"/>
      <c r="O56" s="75"/>
    </row>
    <row r="57" spans="1:16" s="73" customFormat="1" ht="12.75" x14ac:dyDescent="0.2">
      <c r="A57" s="373" t="s">
        <v>2106</v>
      </c>
      <c r="B57" s="374" t="s">
        <v>2107</v>
      </c>
      <c r="D57" s="231" t="s">
        <v>2108</v>
      </c>
      <c r="E57" s="379" t="s">
        <v>2109</v>
      </c>
      <c r="G57" s="75"/>
      <c r="H57" s="218"/>
      <c r="I57" s="217" t="s">
        <v>2092</v>
      </c>
      <c r="J57" s="229">
        <v>2000</v>
      </c>
      <c r="K57" s="226"/>
      <c r="L57" s="223" t="s">
        <v>2093</v>
      </c>
      <c r="M57" s="75"/>
      <c r="N57" s="75"/>
      <c r="O57" s="75"/>
    </row>
    <row r="58" spans="1:16" s="73" customFormat="1" ht="12.75" x14ac:dyDescent="0.2">
      <c r="A58" s="373" t="s">
        <v>2110</v>
      </c>
      <c r="B58" s="374" t="s">
        <v>2111</v>
      </c>
      <c r="D58" s="225" t="s">
        <v>2112</v>
      </c>
      <c r="E58" s="376" t="s">
        <v>2113</v>
      </c>
      <c r="G58" s="75"/>
      <c r="H58" s="218"/>
      <c r="I58" s="217" t="s">
        <v>2092</v>
      </c>
      <c r="J58" s="229">
        <v>500</v>
      </c>
      <c r="K58" s="226">
        <f>SUM(J52:J58)</f>
        <v>17418</v>
      </c>
      <c r="L58" s="223" t="s">
        <v>2093</v>
      </c>
      <c r="M58" s="75"/>
      <c r="N58" s="75"/>
      <c r="O58" s="75"/>
    </row>
    <row r="59" spans="1:16" s="73" customFormat="1" ht="12.75" x14ac:dyDescent="0.2">
      <c r="A59" s="380">
        <v>44534</v>
      </c>
      <c r="B59" s="169" t="s">
        <v>2114</v>
      </c>
      <c r="D59" s="225" t="s">
        <v>2115</v>
      </c>
      <c r="E59" s="169" t="s">
        <v>2116</v>
      </c>
      <c r="G59" s="75"/>
      <c r="H59" s="218"/>
      <c r="I59" s="217" t="s">
        <v>2117</v>
      </c>
      <c r="J59" s="170">
        <v>1570.87</v>
      </c>
      <c r="K59" s="226">
        <f>J59</f>
        <v>1570.87</v>
      </c>
      <c r="L59" s="232" t="s">
        <v>2118</v>
      </c>
      <c r="M59" s="75"/>
      <c r="N59" s="75"/>
      <c r="O59" s="75"/>
    </row>
    <row r="60" spans="1:16" s="73" customFormat="1" ht="12.75" x14ac:dyDescent="0.2">
      <c r="A60" s="380">
        <v>44788</v>
      </c>
      <c r="B60" s="169" t="s">
        <v>2119</v>
      </c>
      <c r="D60" s="225" t="s">
        <v>2120</v>
      </c>
      <c r="E60" s="169" t="s">
        <v>2121</v>
      </c>
      <c r="G60" s="75"/>
      <c r="H60" s="218"/>
      <c r="I60" s="217" t="s">
        <v>2122</v>
      </c>
      <c r="J60" s="229">
        <v>500</v>
      </c>
      <c r="K60" s="226">
        <f>J60</f>
        <v>500</v>
      </c>
      <c r="L60" s="232" t="s">
        <v>2118</v>
      </c>
      <c r="M60" s="75"/>
      <c r="N60" s="75"/>
      <c r="O60" s="75"/>
    </row>
    <row r="61" spans="1:16" s="73" customFormat="1" ht="12.75" x14ac:dyDescent="0.2">
      <c r="A61" s="233">
        <v>45015</v>
      </c>
      <c r="B61" s="230" t="s">
        <v>2123</v>
      </c>
      <c r="D61" s="225" t="s">
        <v>2124</v>
      </c>
      <c r="E61" s="169" t="s">
        <v>2125</v>
      </c>
      <c r="G61" s="75"/>
      <c r="H61" s="223"/>
      <c r="I61" s="217" t="s">
        <v>2126</v>
      </c>
      <c r="J61" s="170">
        <v>1500</v>
      </c>
      <c r="K61" s="226">
        <f>J61</f>
        <v>1500</v>
      </c>
      <c r="L61" s="232" t="s">
        <v>2118</v>
      </c>
      <c r="M61" s="75"/>
      <c r="N61" s="75"/>
      <c r="O61" s="75"/>
    </row>
    <row r="62" spans="1:16" s="73" customFormat="1" ht="12.75" x14ac:dyDescent="0.2">
      <c r="A62" s="233">
        <v>45015</v>
      </c>
      <c r="B62" s="230" t="s">
        <v>2123</v>
      </c>
      <c r="D62" s="225" t="s">
        <v>2124</v>
      </c>
      <c r="E62" s="169" t="s">
        <v>2125</v>
      </c>
      <c r="G62" s="75"/>
      <c r="H62" s="223"/>
      <c r="I62" s="217" t="s">
        <v>2127</v>
      </c>
      <c r="J62" s="170">
        <v>1500</v>
      </c>
      <c r="K62" s="226">
        <f>J62</f>
        <v>1500</v>
      </c>
      <c r="L62" s="225" t="s">
        <v>2128</v>
      </c>
      <c r="M62" s="75"/>
      <c r="N62" s="75"/>
      <c r="O62" s="75"/>
    </row>
    <row r="63" spans="1:16" s="73" customFormat="1" ht="12.75" x14ac:dyDescent="0.2">
      <c r="B63" s="106"/>
      <c r="F63" s="234"/>
      <c r="G63" s="235"/>
      <c r="I63" s="75"/>
      <c r="J63" s="223"/>
      <c r="K63" s="223"/>
      <c r="L63" s="223"/>
      <c r="M63" s="223"/>
      <c r="N63" s="75"/>
      <c r="O63" s="75"/>
      <c r="P63" s="75"/>
    </row>
    <row r="64" spans="1:16" s="73" customFormat="1" x14ac:dyDescent="0.25">
      <c r="B64" s="236"/>
      <c r="C64" s="19"/>
      <c r="D64" s="154"/>
      <c r="E64" s="154"/>
      <c r="F64" s="154"/>
      <c r="G64" s="154"/>
      <c r="H64" s="154"/>
      <c r="I64" s="75"/>
      <c r="J64" s="223"/>
      <c r="K64" s="223"/>
      <c r="L64" s="223"/>
      <c r="M64" s="223"/>
      <c r="N64" s="75"/>
      <c r="O64" s="75"/>
      <c r="P64" s="75"/>
    </row>
    <row r="65" spans="1:16" s="73" customFormat="1" x14ac:dyDescent="0.25">
      <c r="B65" s="236"/>
      <c r="C65" s="19"/>
      <c r="D65" s="154"/>
      <c r="E65" s="154"/>
      <c r="H65" s="154"/>
      <c r="I65" s="75"/>
      <c r="J65" s="223"/>
      <c r="K65" s="223"/>
      <c r="L65" s="223"/>
      <c r="M65" s="223"/>
      <c r="N65" s="75"/>
      <c r="O65" s="75"/>
      <c r="P65" s="75"/>
    </row>
    <row r="66" spans="1:16" s="73" customFormat="1" x14ac:dyDescent="0.25">
      <c r="A66" s="154"/>
      <c r="B66" s="153"/>
      <c r="C66" s="19"/>
      <c r="D66" s="154"/>
      <c r="E66" s="154"/>
      <c r="H66" s="154"/>
      <c r="I66" s="75"/>
      <c r="J66" s="223"/>
      <c r="K66" s="223"/>
      <c r="L66" s="223"/>
      <c r="M66" s="223"/>
      <c r="N66" s="75"/>
      <c r="O66" s="75"/>
      <c r="P66" s="75"/>
    </row>
    <row r="67" spans="1:16" s="73" customFormat="1" x14ac:dyDescent="0.25">
      <c r="A67" s="154" t="s">
        <v>712</v>
      </c>
      <c r="B67" s="237">
        <f>+K38</f>
        <v>74656</v>
      </c>
      <c r="C67" s="19"/>
      <c r="D67" s="154"/>
      <c r="E67" s="154"/>
      <c r="H67" s="154"/>
      <c r="I67" s="75"/>
      <c r="J67" s="223"/>
      <c r="K67" s="223"/>
      <c r="L67" s="223"/>
      <c r="M67" s="223"/>
      <c r="N67" s="75"/>
      <c r="O67" s="75"/>
      <c r="P67" s="75"/>
    </row>
    <row r="68" spans="1:16" s="73" customFormat="1" x14ac:dyDescent="0.25">
      <c r="A68" s="154" t="s">
        <v>923</v>
      </c>
      <c r="B68" s="210">
        <f>K49</f>
        <v>3973</v>
      </c>
      <c r="C68" s="19"/>
      <c r="D68" s="154"/>
      <c r="E68" s="154"/>
      <c r="H68" s="154"/>
      <c r="I68" s="75"/>
      <c r="J68" s="223"/>
      <c r="K68" s="223"/>
      <c r="L68" s="223"/>
      <c r="M68" s="223"/>
      <c r="N68" s="75"/>
      <c r="O68" s="75"/>
      <c r="P68" s="75"/>
    </row>
    <row r="69" spans="1:16" s="73" customFormat="1" x14ac:dyDescent="0.25">
      <c r="A69" s="154" t="s">
        <v>2129</v>
      </c>
      <c r="B69" s="210">
        <f>K50</f>
        <v>9852.2900000000009</v>
      </c>
      <c r="C69" s="19"/>
      <c r="D69" s="154"/>
      <c r="E69" s="154"/>
      <c r="H69" s="154"/>
      <c r="I69" s="75"/>
      <c r="J69" s="223"/>
      <c r="K69" s="223"/>
      <c r="L69" s="223"/>
      <c r="M69" s="223"/>
      <c r="N69" s="75"/>
      <c r="O69" s="75"/>
      <c r="P69" s="75"/>
    </row>
    <row r="70" spans="1:16" s="73" customFormat="1" x14ac:dyDescent="0.25">
      <c r="A70" s="154" t="s">
        <v>2089</v>
      </c>
      <c r="B70" s="210">
        <f>K51</f>
        <v>3500</v>
      </c>
      <c r="C70" s="19"/>
      <c r="D70" s="154"/>
      <c r="E70" s="154"/>
      <c r="H70" s="154"/>
      <c r="I70" s="75"/>
      <c r="J70" s="223"/>
      <c r="K70" s="223"/>
      <c r="L70" s="223"/>
      <c r="M70" s="223"/>
      <c r="N70" s="75"/>
      <c r="O70" s="75"/>
      <c r="P70" s="75"/>
    </row>
    <row r="71" spans="1:16" s="73" customFormat="1" x14ac:dyDescent="0.25">
      <c r="A71" s="154" t="s">
        <v>2092</v>
      </c>
      <c r="B71" s="210">
        <f>K58</f>
        <v>17418</v>
      </c>
      <c r="C71" s="19"/>
      <c r="D71" s="154"/>
      <c r="E71" s="154"/>
      <c r="H71" s="154"/>
      <c r="I71" s="75"/>
      <c r="J71" s="223"/>
      <c r="K71" s="223"/>
      <c r="L71" s="223"/>
      <c r="M71" s="223"/>
      <c r="N71" s="75"/>
      <c r="O71" s="75"/>
      <c r="P71" s="75"/>
    </row>
    <row r="72" spans="1:16" s="73" customFormat="1" x14ac:dyDescent="0.25">
      <c r="A72" s="154" t="s">
        <v>2130</v>
      </c>
      <c r="B72" s="210">
        <f>K59</f>
        <v>1570.87</v>
      </c>
      <c r="C72" s="19"/>
      <c r="D72" s="154"/>
      <c r="E72" s="154"/>
      <c r="H72" s="154"/>
      <c r="I72" s="75"/>
      <c r="J72" s="223"/>
      <c r="K72" s="223"/>
      <c r="L72" s="223"/>
      <c r="M72" s="223"/>
      <c r="N72" s="75"/>
      <c r="O72" s="75"/>
      <c r="P72" s="75"/>
    </row>
    <row r="73" spans="1:16" s="73" customFormat="1" x14ac:dyDescent="0.25">
      <c r="A73" s="154" t="s">
        <v>2122</v>
      </c>
      <c r="B73" s="210">
        <f>K60</f>
        <v>500</v>
      </c>
      <c r="C73" s="19"/>
      <c r="D73" s="154"/>
      <c r="E73" s="154"/>
      <c r="H73" s="154"/>
      <c r="I73" s="75"/>
      <c r="J73" s="223"/>
      <c r="K73" s="223"/>
      <c r="L73" s="223"/>
      <c r="M73" s="223"/>
      <c r="N73" s="75"/>
      <c r="O73" s="75"/>
      <c r="P73" s="75"/>
    </row>
    <row r="74" spans="1:16" s="73" customFormat="1" x14ac:dyDescent="0.25">
      <c r="A74" s="154" t="s">
        <v>2126</v>
      </c>
      <c r="B74" s="238">
        <f>K61</f>
        <v>1500</v>
      </c>
      <c r="C74" s="19"/>
      <c r="D74" s="154"/>
      <c r="E74" s="154"/>
      <c r="H74" s="154"/>
      <c r="I74" s="75"/>
      <c r="J74" s="223"/>
      <c r="K74" s="223"/>
      <c r="L74" s="223"/>
      <c r="M74" s="223"/>
      <c r="N74" s="75"/>
      <c r="O74" s="75"/>
      <c r="P74" s="75"/>
    </row>
    <row r="75" spans="1:16" s="73" customFormat="1" x14ac:dyDescent="0.25">
      <c r="A75" s="154" t="s">
        <v>2127</v>
      </c>
      <c r="B75" s="268">
        <f>K62</f>
        <v>1500</v>
      </c>
      <c r="C75" s="19"/>
      <c r="D75" s="154"/>
      <c r="E75" s="154"/>
      <c r="H75" s="154"/>
      <c r="I75" s="75"/>
      <c r="J75" s="223"/>
      <c r="K75" s="223"/>
      <c r="L75" s="223"/>
      <c r="M75" s="223"/>
      <c r="N75" s="75"/>
      <c r="O75" s="75"/>
      <c r="P75" s="75"/>
    </row>
    <row r="76" spans="1:16" s="73" customFormat="1" x14ac:dyDescent="0.25">
      <c r="A76" s="130" t="s">
        <v>691</v>
      </c>
      <c r="B76" s="239">
        <f>SUM(B67:B75)</f>
        <v>114470.16</v>
      </c>
      <c r="C76" s="19"/>
      <c r="D76" s="154"/>
      <c r="E76" s="154"/>
      <c r="F76" s="154"/>
      <c r="G76" s="154"/>
      <c r="H76" s="154"/>
      <c r="I76" s="75"/>
      <c r="J76" s="223"/>
      <c r="K76" s="223"/>
      <c r="L76" s="223"/>
      <c r="M76" s="223"/>
      <c r="N76" s="75"/>
      <c r="O76" s="75"/>
      <c r="P76" s="75"/>
    </row>
    <row r="77" spans="1:16" s="73" customFormat="1" ht="12.75" x14ac:dyDescent="0.2">
      <c r="J77" s="223"/>
      <c r="K77" s="223"/>
      <c r="L77" s="223"/>
      <c r="M77" s="223"/>
      <c r="N77" s="75"/>
      <c r="O77" s="75"/>
      <c r="P77" s="75"/>
    </row>
    <row r="78" spans="1:16" s="73" customFormat="1" ht="12.75" x14ac:dyDescent="0.2">
      <c r="B78" s="127"/>
      <c r="J78" s="223"/>
      <c r="K78" s="223"/>
      <c r="L78" s="223"/>
      <c r="M78" s="223"/>
      <c r="N78" s="75"/>
      <c r="O78" s="75"/>
      <c r="P78" s="75"/>
    </row>
    <row r="79" spans="1:16" s="73" customFormat="1" ht="12.75" x14ac:dyDescent="0.2">
      <c r="J79" s="223"/>
      <c r="K79" s="223"/>
      <c r="L79" s="223"/>
      <c r="M79" s="223"/>
      <c r="N79" s="75"/>
      <c r="O79" s="75"/>
      <c r="P79" s="75"/>
    </row>
    <row r="80" spans="1:16" s="73" customFormat="1" ht="12.75" x14ac:dyDescent="0.2">
      <c r="B80" s="125"/>
      <c r="J80" s="223"/>
      <c r="K80" s="223"/>
      <c r="L80" s="223"/>
      <c r="M80" s="223"/>
      <c r="N80" s="75"/>
      <c r="O80" s="75"/>
      <c r="P80" s="75"/>
    </row>
    <row r="81" spans="2:16" s="73" customFormat="1" ht="12.75" x14ac:dyDescent="0.2">
      <c r="B81" s="125"/>
      <c r="J81" s="223"/>
      <c r="K81" s="223"/>
      <c r="L81" s="223"/>
      <c r="M81" s="223"/>
      <c r="N81" s="75"/>
      <c r="O81" s="75"/>
      <c r="P81" s="75"/>
    </row>
    <row r="82" spans="2:16" s="73" customFormat="1" ht="12.75" x14ac:dyDescent="0.2">
      <c r="J82" s="223"/>
      <c r="K82" s="223"/>
      <c r="L82" s="223"/>
      <c r="M82" s="223"/>
      <c r="N82" s="75"/>
      <c r="O82" s="75"/>
      <c r="P82" s="75"/>
    </row>
    <row r="83" spans="2:16" s="73" customFormat="1" ht="12.75" x14ac:dyDescent="0.2">
      <c r="J83" s="223"/>
      <c r="K83" s="223"/>
      <c r="L83" s="223"/>
      <c r="M83" s="223"/>
      <c r="N83" s="75"/>
      <c r="O83" s="75"/>
      <c r="P83" s="75"/>
    </row>
    <row r="84" spans="2:16" s="73" customFormat="1" x14ac:dyDescent="0.25">
      <c r="B84"/>
      <c r="C84"/>
      <c r="D84"/>
      <c r="E84"/>
      <c r="F84"/>
      <c r="G84"/>
      <c r="H84"/>
      <c r="I84"/>
      <c r="J84" s="223"/>
      <c r="K84" s="223"/>
      <c r="L84" s="223"/>
      <c r="M84" s="223"/>
      <c r="N84" s="75"/>
      <c r="O84" s="75"/>
      <c r="P84" s="75"/>
    </row>
    <row r="85" spans="2:16" s="73" customFormat="1" x14ac:dyDescent="0.25">
      <c r="B85"/>
      <c r="C85"/>
      <c r="D85"/>
      <c r="E85"/>
      <c r="F85"/>
      <c r="G85"/>
      <c r="H85"/>
      <c r="I85"/>
      <c r="J85" s="223"/>
      <c r="K85" s="223"/>
      <c r="L85" s="223"/>
      <c r="M85" s="223"/>
      <c r="N85" s="75"/>
      <c r="O85" s="75"/>
      <c r="P85" s="75"/>
    </row>
    <row r="86" spans="2:16" s="73" customFormat="1" x14ac:dyDescent="0.25">
      <c r="B86"/>
      <c r="C86"/>
      <c r="D86"/>
      <c r="E86"/>
      <c r="F86"/>
      <c r="G86"/>
      <c r="H86"/>
      <c r="I86"/>
      <c r="J86" s="223"/>
      <c r="K86" s="223"/>
      <c r="L86" s="223"/>
      <c r="M86" s="223"/>
      <c r="N86" s="75"/>
      <c r="O86" s="75"/>
      <c r="P86" s="75"/>
    </row>
    <row r="87" spans="2:16" s="73" customFormat="1" x14ac:dyDescent="0.25">
      <c r="B87"/>
      <c r="C87"/>
      <c r="D87"/>
      <c r="E87"/>
      <c r="F87"/>
      <c r="G87"/>
      <c r="H87"/>
      <c r="I87"/>
      <c r="J87" s="154"/>
      <c r="K87" s="154"/>
      <c r="L87" s="154"/>
      <c r="M87" s="154"/>
      <c r="N87" s="154"/>
      <c r="O87" s="154"/>
      <c r="P87" s="154"/>
    </row>
    <row r="88" spans="2:16" s="73" customFormat="1" x14ac:dyDescent="0.25">
      <c r="B88"/>
      <c r="C88"/>
      <c r="D88"/>
      <c r="E88"/>
      <c r="F88"/>
      <c r="G88"/>
      <c r="H88"/>
      <c r="I88"/>
      <c r="J88" s="154"/>
      <c r="K88" s="154"/>
      <c r="L88" s="154"/>
      <c r="M88" s="154"/>
      <c r="N88" s="154"/>
      <c r="O88" s="154"/>
      <c r="P88" s="154"/>
    </row>
    <row r="89" spans="2:16" s="73" customFormat="1" x14ac:dyDescent="0.25">
      <c r="B89" s="236"/>
      <c r="C89" s="19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</row>
    <row r="90" spans="2:16" s="73" customFormat="1" x14ac:dyDescent="0.25">
      <c r="B90" s="236"/>
      <c r="C90" s="19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</row>
    <row r="91" spans="2:16" s="73" customFormat="1" x14ac:dyDescent="0.25">
      <c r="B91" s="236"/>
      <c r="C91" s="19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</row>
    <row r="92" spans="2:16" s="73" customFormat="1" x14ac:dyDescent="0.25">
      <c r="B92" s="236"/>
      <c r="C92" s="19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</row>
    <row r="93" spans="2:16" s="73" customFormat="1" x14ac:dyDescent="0.25">
      <c r="B93" s="236"/>
      <c r="C93" s="19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</row>
    <row r="94" spans="2:16" s="73" customFormat="1" x14ac:dyDescent="0.25">
      <c r="B94" s="236"/>
      <c r="C94" s="19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</row>
    <row r="95" spans="2:16" s="73" customFormat="1" x14ac:dyDescent="0.25">
      <c r="B95" s="236"/>
      <c r="C95" s="19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</row>
    <row r="96" spans="2:16" s="73" customFormat="1" x14ac:dyDescent="0.25">
      <c r="B96" s="236"/>
      <c r="C96" s="19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</row>
    <row r="97" spans="2:16" s="73" customFormat="1" x14ac:dyDescent="0.25">
      <c r="B97" s="236"/>
      <c r="C97" s="19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</row>
  </sheetData>
  <conditionalFormatting sqref="D4:D38">
    <cfRule type="duplicateValues" dxfId="5" priority="14"/>
  </conditionalFormatting>
  <conditionalFormatting sqref="D50">
    <cfRule type="duplicateValues" dxfId="4" priority="6"/>
  </conditionalFormatting>
  <conditionalFormatting sqref="D51">
    <cfRule type="duplicateValues" dxfId="3" priority="5"/>
  </conditionalFormatting>
  <conditionalFormatting sqref="D61">
    <cfRule type="duplicateValues" dxfId="2" priority="4"/>
  </conditionalFormatting>
  <conditionalFormatting sqref="D62">
    <cfRule type="duplicateValues" dxfId="1" priority="3"/>
  </conditionalFormatting>
  <conditionalFormatting sqref="F76:F1048576 F63:F64 J50:J51 F39:F49 F1:F2 D3:D38 J59 A66:A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29</vt:lpstr>
      <vt:lpstr>30</vt:lpstr>
      <vt:lpstr>31</vt:lpstr>
      <vt:lpstr>AP AR</vt:lpstr>
      <vt:lpstr>PAID SC</vt:lpstr>
      <vt:lpstr>UNPAID SF</vt:lpstr>
      <vt:lpstr>BPW UNDEDUCTED</vt:lpstr>
      <vt:lpstr>BPX UNDEDUCTED</vt:lpstr>
      <vt:lpstr>AUDIT FINDINGS</vt:lpstr>
      <vt:lpstr>BANKS</vt:lpstr>
      <vt:lpstr>OTHER PARTNERS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culp19025686</dc:creator>
  <cp:lastModifiedBy>M Lhuillier M Lhuillier</cp:lastModifiedBy>
  <dcterms:created xsi:type="dcterms:W3CDTF">2024-01-18T00:18:39Z</dcterms:created>
  <dcterms:modified xsi:type="dcterms:W3CDTF">2025-09-05T08:50:02Z</dcterms:modified>
</cp:coreProperties>
</file>